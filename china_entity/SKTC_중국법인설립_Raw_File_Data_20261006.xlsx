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  <Override PartName="/xl/tables/table12.xml" ContentType="application/vnd.openxmlformats-officedocument.spreadsheetml.table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ables/table13.xml" ContentType="application/vnd.openxmlformats-officedocument.spreadsheetml.table+xml"/>
  <Override PartName="/xl/worksheets/sheet17.xml" ContentType="application/vnd.openxmlformats-officedocument.spreadsheetml.worksheet+xml"/>
  <Override PartName="/xl/tables/table14.xml" ContentType="application/vnd.openxmlformats-officedocument.spreadsheetml.table+xml"/>
  <Override PartName="/xl/worksheets/sheet18.xml" ContentType="application/vnd.openxmlformats-officedocument.spreadsheetml.worksheet+xml"/>
  <Override PartName="/xl/tables/table15.xml" ContentType="application/vnd.openxmlformats-officedocument.spreadsheetml.table+xml"/>
  <Override PartName="/xl/worksheets/sheet19.xml" ContentType="application/vnd.openxmlformats-officedocument.spreadsheetml.worksheet+xml"/>
  <Override PartName="/xl/tables/table1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README" sheetId="1" state="visible" r:id="rId1"/>
    <sheet xmlns:r="http://schemas.openxmlformats.org/officeDocument/2006/relationships" name="02_ExecutiveSummary" sheetId="2" state="visible" r:id="rId2"/>
    <sheet xmlns:r="http://schemas.openxmlformats.org/officeDocument/2006/relationships" name="03_SourceRegister" sheetId="3" state="visible" r:id="rId3"/>
    <sheet xmlns:r="http://schemas.openxmlformats.org/officeDocument/2006/relationships" name="04_EvidenceRaw" sheetId="4" state="visible" r:id="rId4"/>
    <sheet xmlns:r="http://schemas.openxmlformats.org/officeDocument/2006/relationships" name="05_Materials" sheetId="5" state="visible" r:id="rId5"/>
    <sheet xmlns:r="http://schemas.openxmlformats.org/officeDocument/2006/relationships" name="06_LegalMatrix" sheetId="6" state="visible" r:id="rId6"/>
    <sheet xmlns:r="http://schemas.openxmlformats.org/officeDocument/2006/relationships" name="07_PermitPaths" sheetId="7" state="visible" r:id="rId7"/>
    <sheet xmlns:r="http://schemas.openxmlformats.org/officeDocument/2006/relationships" name="08_CityComparison" sheetId="8" state="visible" r:id="rId8"/>
    <sheet xmlns:r="http://schemas.openxmlformats.org/officeDocument/2006/relationships" name="09_SitesWarehouses" sheetId="9" state="visible" r:id="rId9"/>
    <sheet xmlns:r="http://schemas.openxmlformats.org/officeDocument/2006/relationships" name="10_OperatingModels" sheetId="10" state="visible" r:id="rId10"/>
    <sheet xmlns:r="http://schemas.openxmlformats.org/officeDocument/2006/relationships" name="11_MPComparison" sheetId="11" state="visible" r:id="rId11"/>
    <sheet xmlns:r="http://schemas.openxmlformats.org/officeDocument/2006/relationships" name="12_LogisticsStaff" sheetId="12" state="visible" r:id="rId12"/>
    <sheet xmlns:r="http://schemas.openxmlformats.org/officeDocument/2006/relationships" name="13_FXAssumptions" sheetId="13" state="visible" r:id="rId13"/>
    <sheet xmlns:r="http://schemas.openxmlformats.org/officeDocument/2006/relationships" name="14_CostsRaw" sheetId="14" state="visible" r:id="rId14"/>
    <sheet xmlns:r="http://schemas.openxmlformats.org/officeDocument/2006/relationships" name="15_CostModel" sheetId="15" state="visible" r:id="rId15"/>
    <sheet xmlns:r="http://schemas.openxmlformats.org/officeDocument/2006/relationships" name="16_Timeline" sheetId="16" state="visible" r:id="rId16"/>
    <sheet xmlns:r="http://schemas.openxmlformats.org/officeDocument/2006/relationships" name="17_RisksActions" sheetId="17" state="visible" r:id="rId17"/>
    <sheet xmlns:r="http://schemas.openxmlformats.org/officeDocument/2006/relationships" name="18_PPTTraceability" sheetId="18" state="visible" r:id="rId18"/>
    <sheet xmlns:r="http://schemas.openxmlformats.org/officeDocument/2006/relationships" name="19_Glossary_Q" sheetId="19" state="visible" r:id="rId19"/>
  </sheets>
  <definedNames>
    <definedName name="FX_KRW">'13_FXAssumptions'!$C$6</definedName>
    <definedName name="BASE_WAGE">'13_FXAssumptions'!$C$7</definedName>
    <definedName name="WAGE_MULT">'13_FXAssumptions'!$C$8</definedName>
    <definedName name="ER_RATE">'13_FXAssumptions'!$C$9</definedName>
    <definedName name="LOCAL_HC">'13_FXAssumptions'!$C$10</definedName>
    <definedName name="OFFICE_SQM">'13_FXAssumptions'!$C$11</definedName>
    <definedName name="OFFICE_RENT">'13_FXAssumptions'!$C$12</definedName>
    <definedName name="DEP_MONTHS">'13_FXAssumptions'!$C$13</definedName>
    <definedName name="INV_DAYS">'13_FXAssumptions'!$C$14</definedName>
    <definedName name="MONTHLY_SALES">'13_FXAssumptions'!$C$15</definedName>
    <definedName name="CAP_MULT">'13_FXAssumptions'!$C$16</definedName>
    <definedName name="T0">'16_Timeline'!$C$4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0.0"/>
    <numFmt numFmtId="166" formatCode="yyyy-mm-dd"/>
  </numFmts>
  <fonts count="10">
    <font>
      <name val="Calibri"/>
      <family val="2"/>
      <color theme="1"/>
      <sz val="11"/>
      <scheme val="minor"/>
    </font>
    <font>
      <b val="1"/>
      <color rgb="00EB002C"/>
      <sz val="13"/>
    </font>
    <font>
      <color rgb="00595959"/>
      <sz val="9"/>
    </font>
    <font>
      <color rgb="00808080"/>
      <sz val="9"/>
    </font>
    <font>
      <b val="1"/>
    </font>
    <font>
      <b val="1"/>
      <color rgb="00EB002C"/>
    </font>
    <font>
      <b val="1"/>
      <color rgb="00FFFFFF"/>
    </font>
    <font>
      <color rgb="000563C1"/>
      <u val="single"/>
    </font>
    <font>
      <b val="1"/>
      <color rgb="000000FF"/>
    </font>
    <font>
      <b val="1"/>
      <sz val="9"/>
    </font>
  </fonts>
  <fills count="11">
    <fill>
      <patternFill/>
    </fill>
    <fill>
      <patternFill patternType="gray125"/>
    </fill>
    <fill>
      <patternFill patternType="solid">
        <fgColor rgb="00E2EFD9"/>
      </patternFill>
    </fill>
    <fill>
      <patternFill patternType="solid">
        <fgColor rgb="00EAF1FB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DE9E7"/>
      </patternFill>
    </fill>
    <fill>
      <patternFill patternType="solid">
        <fgColor rgb="00D9D9D9"/>
      </patternFill>
    </fill>
    <fill>
      <patternFill patternType="solid">
        <fgColor rgb="00404040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0" fillId="2" borderId="0" pivotButton="0" quotePrefix="0" xfId="0"/>
    <xf numFmtId="0" fontId="0" fillId="0" borderId="0" applyAlignment="1" pivotButton="0" quotePrefix="0" xfId="0">
      <alignment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6" fillId="9" borderId="0" pivotButton="0" quotePrefix="0" xfId="0"/>
    <xf numFmtId="0" fontId="0" fillId="0" borderId="1" applyAlignment="1" pivotButton="0" quotePrefix="0" xfId="0">
      <alignment vertical="top" wrapText="1"/>
    </xf>
    <xf numFmtId="3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6" fillId="9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/>
    </xf>
    <xf numFmtId="0" fontId="7" fillId="0" borderId="1" applyAlignment="1" pivotButton="0" quotePrefix="0" xfId="0">
      <alignment vertical="top"/>
    </xf>
    <xf numFmtId="0" fontId="0" fillId="2" borderId="1" applyAlignment="1" pivotButton="0" quotePrefix="0" xfId="0">
      <alignment vertical="top"/>
    </xf>
    <xf numFmtId="0" fontId="0" fillId="3" borderId="1" applyAlignment="1" pivotButton="0" quotePrefix="0" xfId="0">
      <alignment vertical="top"/>
    </xf>
    <xf numFmtId="0" fontId="0" fillId="4" borderId="1" applyAlignment="1" pivotButton="0" quotePrefix="0" xfId="0">
      <alignment vertical="top"/>
    </xf>
    <xf numFmtId="0" fontId="0" fillId="8" borderId="1" applyAlignment="1" pivotButton="0" quotePrefix="0" xfId="0">
      <alignment vertical="top"/>
    </xf>
    <xf numFmtId="0" fontId="8" fillId="10" borderId="1" applyAlignment="1" pivotButton="0" quotePrefix="0" xfId="0">
      <alignment vertical="top"/>
    </xf>
    <xf numFmtId="0" fontId="0" fillId="7" borderId="1" applyAlignment="1" pivotButton="0" quotePrefix="0" xfId="0">
      <alignment vertical="top"/>
    </xf>
    <xf numFmtId="0" fontId="9" fillId="0" borderId="0" pivotButton="0" quotePrefix="0" xfId="0"/>
    <xf numFmtId="0" fontId="8" fillId="10" borderId="0" pivotButton="0" quotePrefix="0" xfId="0"/>
    <xf numFmtId="165" fontId="0" fillId="0" borderId="1" applyAlignment="1" pivotButton="0" quotePrefix="0" xfId="0">
      <alignment vertical="top"/>
    </xf>
    <xf numFmtId="0" fontId="0" fillId="8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/>
    </xf>
    <xf numFmtId="0" fontId="0" fillId="6" borderId="1" applyAlignment="1" pivotButton="0" quotePrefix="0" xfId="0">
      <alignment vertical="top"/>
    </xf>
    <xf numFmtId="2" fontId="8" fillId="10" borderId="1" applyAlignment="1" pivotButton="0" quotePrefix="0" xfId="0">
      <alignment vertical="top"/>
    </xf>
    <xf numFmtId="3" fontId="8" fillId="10" borderId="1" applyAlignment="1" pivotButton="0" quotePrefix="0" xfId="0">
      <alignment vertical="top"/>
    </xf>
    <xf numFmtId="0" fontId="0" fillId="6" borderId="1" applyAlignment="1" pivotButton="0" quotePrefix="0" xfId="0">
      <alignment vertical="top" wrapText="1"/>
    </xf>
    <xf numFmtId="9" fontId="8" fillId="10" borderId="1" applyAlignment="1" pivotButton="0" quotePrefix="0" xfId="0">
      <alignment vertical="top"/>
    </xf>
    <xf numFmtId="3" fontId="0" fillId="0" borderId="1" applyAlignment="1" pivotButton="0" quotePrefix="0" xfId="0">
      <alignment vertical="top"/>
    </xf>
    <xf numFmtId="0" fontId="6" fillId="9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164" fontId="0" fillId="0" borderId="0" pivotButton="0" quotePrefix="0" xfId="0"/>
    <xf numFmtId="166" fontId="8" fillId="10" borderId="0" pivotButton="0" quotePrefix="0" xfId="0"/>
    <xf numFmtId="166" fontId="0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ables/table1.xml><?xml version="1.0" encoding="utf-8"?>
<table xmlns="http://schemas.openxmlformats.org/spreadsheetml/2006/main" id="1" name="tSource" displayName="tSource" ref="A5:N45" headerRowCount="1">
  <autoFilter ref="A5:N45"/>
  <tableColumns count="14">
    <tableColumn id="1" name="출처 ID"/>
    <tableColumn id="2" name="문서명"/>
    <tableColumn id="3" name="기관·발행자"/>
    <tableColumn id="4" name="문서 종류"/>
    <tableColumn id="5" name="공식 여부"/>
    <tableColumn id="6" name="적용 지역"/>
    <tableColumn id="7" name="발령일"/>
    <tableColumn id="8" name="시행일"/>
    <tableColumn id="9" name="유효 상태"/>
    <tableColumn id="10" name="원문 URL"/>
    <tableColumn id="11" name="확인일"/>
    <tableColumn id="12" name="관련 페이지·조문"/>
    <tableColumn id="13" name="주의사항"/>
    <tableColumn id="14" name="정보 상태"/>
  </tableColumns>
  <tableStyleInfo name="TableStyleLight1" showRowStripes="1"/>
</table>
</file>

<file path=xl/tables/table2.xml><?xml version="1.0" encoding="utf-8"?>
<table xmlns="http://schemas.openxmlformats.org/spreadsheetml/2006/main" id="2" name="tEvidence" displayName="tEvidence" ref="A5:J41" headerRowCount="1">
  <autoFilter ref="A5:J41"/>
  <tableColumns count="10">
    <tableColumn id="1" name="근거 ID"/>
    <tableColumn id="2" name="출처 ID"/>
    <tableColumn id="3" name="조사 질문"/>
    <tableColumn id="4" name="원문 핵심 구절·원자료"/>
    <tableColumn id="5" name="한국어 해석"/>
    <tableColumn id="6" name="적용 대상"/>
    <tableColumn id="7" name="적용 조건"/>
    <tableColumn id="8" name="확인·추정 구분"/>
    <tableColumn id="9" name="연결 제품·도시·허가"/>
    <tableColumn id="10" name="PPT 페이지"/>
  </tableColumns>
  <tableStyleInfo name="TableStyleLight1" showRowStripes="1"/>
</table>
</file>

<file path=xl/tables/table3.xml><?xml version="1.0" encoding="utf-8"?>
<table xmlns="http://schemas.openxmlformats.org/spreadsheetml/2006/main" id="3" name="tMaterials" displayName="tMaterials" ref="A5:P9" headerRowCount="1">
  <autoFilter ref="A5:P9"/>
  <tableColumns count="16">
    <tableColumn id="1" name="제품 ID"/>
    <tableColumn id="2" name="제품 코드·명"/>
    <tableColumn id="3" name="화학명"/>
    <tableColumn id="4" name="CAS"/>
    <tableColumn id="5" name="조성·용매"/>
    <tableColumn id="6" name="IECSC 등재"/>
    <tableColumn id="7" name="신규물질 판단"/>
    <tableColumn id="8" name="위험화학품 판단"/>
    <tableColumn id="9" name="운송 분류·UN"/>
    <tableColumn id="10" name="물성·보관 조건"/>
    <tableColumn id="11" name="연간 물량"/>
    <tableColumn id="12" name="기존 등록·备案"/>
    <tableColumn id="13" name="자료 소유권"/>
    <tableColumn id="14" name="정보 상태"/>
    <tableColumn id="15" name="추가 필요 자료"/>
    <tableColumn id="16" name="근거 ID"/>
  </tableColumns>
  <tableStyleInfo name="TableStyleLight1" showRowStripes="1"/>
</table>
</file>

<file path=xl/tables/table4.xml><?xml version="1.0" encoding="utf-8"?>
<table xmlns="http://schemas.openxmlformats.org/spreadsheetml/2006/main" id="4" name="tLegal" displayName="tLegal" ref="A5:L15" headerRowCount="1">
  <autoFilter ref="A5:L15"/>
  <tableColumns count="12">
    <tableColumn id="1" name="법적 쟁점"/>
    <tableColumn id="2" name="국가·성·시"/>
    <tableColumn id="3" name="관련 규정"/>
    <tableColumn id="4" name="조문"/>
    <tableColumn id="5" name="활동·품목"/>
    <tableColumn id="6" name="의무·예외"/>
    <tableColumn id="7" name="필요 자료"/>
    <tableColumn id="8" name="담당 기관"/>
    <tableColumn id="9" name="결론"/>
    <tableColumn id="10" name="조건"/>
    <tableColumn id="11" name="미확인"/>
    <tableColumn id="12" name="근거 ID"/>
  </tableColumns>
  <tableStyleInfo name="TableStyleLight1" showRowStripes="1"/>
</table>
</file>

<file path=xl/tables/table5.xml><?xml version="1.0" encoding="utf-8"?>
<table xmlns="http://schemas.openxmlformats.org/spreadsheetml/2006/main" id="5" name="tPermit" displayName="tPermit" ref="A5:M13" headerRowCount="1">
  <autoFilter ref="A5:M13"/>
  <tableColumns count="13">
    <tableColumn id="1" name="운영 구조"/>
    <tableColumn id="2" name="절차·허가명"/>
    <tableColumn id="3" name="신청 주체"/>
    <tableColumn id="4" name="관할"/>
    <tableColumn id="5" name="선행 조건"/>
    <tableColumn id="6" name="제출 자료"/>
    <tableColumn id="7" name="시설"/>
    <tableColumn id="8" name="인력"/>
    <tableColumn id="9" name="법정 처리기간"/>
    <tableColumn id="10" name="현실 예상기간(주)"/>
    <tableColumn id="11" name="비용"/>
    <tableColumn id="12" name="갱신·유지"/>
    <tableColumn id="13" name="근거 ID"/>
  </tableColumns>
  <tableStyleInfo name="TableStyleLight1" showRowStripes="1"/>
</table>
</file>

<file path=xl/tables/table6.xml><?xml version="1.0" encoding="utf-8"?>
<table xmlns="http://schemas.openxmlformats.org/spreadsheetml/2006/main" id="6" name="tCity" displayName="tCity" ref="A12:W28" headerRowCount="1">
  <autoFilter ref="A12:W28"/>
  <tableColumns count="23">
    <tableColumn id="1" name="도시 ID"/>
    <tableColumn id="2" name="성·직할시"/>
    <tableColumn id="3" name="지급시"/>
    <tableColumn id="4" name="구·현·현급시"/>
    <tableColumn id="5" name="운영 구조 역할"/>
    <tableColumn id="6" name="위도"/>
    <tableColumn id="7" name="경도"/>
    <tableColumn id="8" name="G1 법인 설립"/>
    <tableColumn id="9" name="G2 무저장 경영 경로"/>
    <tableColumn id="10" name="G3 적격 창고 후보"/>
    <tableColumn id="11" name="점수: 인허가 경로"/>
    <tableColumn id="12" name="점수: 적격 창고"/>
    <tableColumn id="13" name="점수: 개시 일정"/>
    <tableColumn id="14" name="점수: 고객·물류"/>
    <tableColumn id="15" name="점수: 비용"/>
    <tableColumn id="16" name="점수: 인력·확장"/>
    <tableColumn id="17" name="종합(기본)"/>
    <tableColumn id="18" name="종합(속도 우선)"/>
    <tableColumn id="19" name="종합(비용 우선)"/>
    <tableColumn id="20" name="근거 충족"/>
    <tableColumn id="21" name="판정"/>
    <tableColumn id="22" name="이유"/>
    <tableColumn id="23" name="근거 ID"/>
  </tableColumns>
  <tableStyleInfo name="TableStyleLight1" showRowStripes="1"/>
</table>
</file>

<file path=xl/tables/table7.xml><?xml version="1.0" encoding="utf-8"?>
<table xmlns="http://schemas.openxmlformats.org/spreadsheetml/2006/main" id="7" name="tSite" displayName="tSite" ref="A5:O18" headerRowCount="1">
  <autoFilter ref="A5:O18"/>
  <tableColumns count="15">
    <tableColumn id="1" name="시설 ID"/>
    <tableColumn id="2" name="도시 ID"/>
    <tableColumn id="3" name="단지·창고 정식 명칭"/>
    <tableColumn id="4" name="주소"/>
    <tableColumn id="5" name="운영사"/>
    <tableColumn id="6" name="시설 종류"/>
    <tableColumn id="7" name="공식 인정·허가"/>
    <tableColumn id="8" name="취급 가능 품목"/>
    <tableColumn id="9" name="특수 물성 수용"/>
    <tableColumn id="10" name="외자·무역법인 입주"/>
    <tableColumn id="11" name="임차 조건"/>
    <tableColumn id="12" name="공개 연락처"/>
    <tableColumn id="13" name="문의 상태"/>
    <tableColumn id="14" name="견적 필요"/>
    <tableColumn id="15" name="근거 ID"/>
  </tableColumns>
  <tableStyleInfo name="TableStyleLight1" showRowStripes="1"/>
</table>
</file>

<file path=xl/tables/table8.xml><?xml version="1.0" encoding="utf-8"?>
<table xmlns="http://schemas.openxmlformats.org/spreadsheetml/2006/main" id="8" name="tModel" displayName="tModel" ref="A5:Q12" headerRowCount="1">
  <autoFilter ref="A5:Q12"/>
  <tableColumns count="17">
    <tableColumn id="1" name="구조 ID"/>
    <tableColumn id="2" name="구조"/>
    <tableColumn id="3" name="등록 주체"/>
    <tableColumn id="4" name="수입자"/>
    <tableColumn id="5" name="판매자"/>
    <tableColumn id="6" name="창고 운영자"/>
    <tableColumn id="7" name="필요 허가"/>
    <tableColumn id="8" name="법적 가능성"/>
    <tableColumn id="9" name="선행 조건"/>
    <tableColumn id="10" name="IP·자료"/>
    <tableColumn id="11" name="책임"/>
    <tableColumn id="12" name="투자·운영비"/>
    <tableColumn id="13" name="기간"/>
    <tableColumn id="14" name="고객 승인"/>
    <tableColumn id="15" name="장점"/>
    <tableColumn id="16" name="단점"/>
    <tableColumn id="17" name="근거 ID"/>
  </tableColumns>
  <tableStyleInfo name="TableStyleLight1" showRowStripes="1"/>
</table>
</file>

<file path=xl/tables/table9.xml><?xml version="1.0" encoding="utf-8"?>
<table xmlns="http://schemas.openxmlformats.org/spreadsheetml/2006/main" id="9" name="tMP" displayName="tMP" ref="A5:I15" headerRowCount="1">
  <autoFilter ref="A5:I15"/>
  <tableColumns count="9">
    <tableColumn id="1" name="비교 항목"/>
    <tableColumn id="2" name="MP 현황"/>
    <tableColumn id="3" name="TC 신규 법인 조건"/>
    <tableColumn id="4" name="시나리오1: MP 허가 보유"/>
    <tableColumn id="5" name="시나리오2: MP 신규 취득"/>
    <tableColumn id="6" name="수수료·책임"/>
    <tableColumn id="7" name="비용·기간 차이"/>
    <tableColumn id="8" name="데이터 상태"/>
    <tableColumn id="9" name="내부 확인 질문"/>
  </tableColumns>
  <tableStyleInfo name="TableStyleLight1" showRowStripes="1"/>
</table>
</file>

<file path=xl/tables/table10.xml><?xml version="1.0" encoding="utf-8"?>
<table xmlns="http://schemas.openxmlformats.org/spreadsheetml/2006/main" id="10" name="tDist" displayName="tDist" ref="A5:I21" headerRowCount="1">
  <autoFilter ref="A5:I21"/>
  <tableColumns count="9">
    <tableColumn id="1" name="도시 ID"/>
    <tableColumn id="2" name="도시"/>
    <tableColumn id="3" name="위도"/>
    <tableColumn id="4" name="경도"/>
    <tableColumn id="5" name="직선거리 CXMT(km)"/>
    <tableColumn id="6" name="직선거리 SK하이닉스 우시(km)"/>
    <tableColumn id="7" name="직선거리 YMTC(km)"/>
    <tableColumn id="8" name="도로거리·시간"/>
    <tableColumn id="9" name="위험물 운송 리드타임"/>
  </tableColumns>
  <tableStyleInfo name="TableStyleLight1" showRowStripes="1"/>
</table>
</file>

<file path=xl/tables/table11.xml><?xml version="1.0" encoding="utf-8"?>
<table xmlns="http://schemas.openxmlformats.org/spreadsheetml/2006/main" id="11" name="tAssume" displayName="tAssume" ref="A5:L16" headerRowCount="1">
  <autoFilter ref="A5:L16"/>
  <tableColumns count="12">
    <tableColumn id="1" name="가정 ID"/>
    <tableColumn id="2" name="항목"/>
    <tableColumn id="3" name="입력값"/>
    <tableColumn id="4" name="단위"/>
    <tableColumn id="5" name="통화"/>
    <tableColumn id="6" name="적용일"/>
    <tableColumn id="7" name="환율·출처"/>
    <tableColumn id="8" name="가정 이유"/>
    <tableColumn id="9" name="적용 구조"/>
    <tableColumn id="10" name="범위"/>
    <tableColumn id="11" name="확인 상태"/>
    <tableColumn id="12" name="변경 영향"/>
  </tableColumns>
  <tableStyleInfo name="TableStyleLight1" showRowStripes="1"/>
</table>
</file>

<file path=xl/tables/table12.xml><?xml version="1.0" encoding="utf-8"?>
<table xmlns="http://schemas.openxmlformats.org/spreadsheetml/2006/main" id="12" name="tCost" displayName="tCost" ref="A5:N23" headerRowCount="1">
  <autoFilter ref="A5:N23"/>
  <tableColumns count="14">
    <tableColumn id="1" name="비용 ID"/>
    <tableColumn id="2" name="항목"/>
    <tableColumn id="3" name="유형"/>
    <tableColumn id="4" name="구조"/>
    <tableColumn id="5" name="단가(CNY)"/>
    <tableColumn id="6" name="수량"/>
    <tableColumn id="7" name="주기"/>
    <tableColumn id="8" name="세금 조건"/>
    <tableColumn id="9" name="근거 구분"/>
    <tableColumn id="10" name="회수 가능"/>
    <tableColumn id="11" name="기준일"/>
    <tableColumn id="12" name="출처·가정 ID"/>
    <tableColumn id="13" name="금액(CNY)"/>
    <tableColumn id="14" name="산출 상태"/>
  </tableColumns>
  <tableStyleInfo name="TableStyleLight1" showRowStripes="1"/>
</table>
</file>

<file path=xl/tables/table13.xml><?xml version="1.0" encoding="utf-8"?>
<table xmlns="http://schemas.openxmlformats.org/spreadsheetml/2006/main" id="13" name="tTask" displayName="tTask" ref="A5:T20" headerRowCount="1">
  <autoFilter ref="A5:T20"/>
  <tableColumns count="20">
    <tableColumn id="1" name="작업 ID"/>
    <tableColumn id="2" name="단계"/>
    <tableColumn id="3" name="구조"/>
    <tableColumn id="4" name="책임 부서"/>
    <tableColumn id="5" name="산출물"/>
    <tableColumn id="6" name="선행1"/>
    <tableColumn id="7" name="선행2"/>
    <tableColumn id="8" name="기간 낙관(주)"/>
    <tableColumn id="9" name="기간 기준(주)"/>
    <tableColumn id="10" name="기간 보수(주)"/>
    <tableColumn id="11" name="시작(기준)"/>
    <tableColumn id="12" name="종료(기준)"/>
    <tableColumn id="13" name="종료(기준)·참조용"/>
    <tableColumn id="14" name="종료(낙관)"/>
    <tableColumn id="15" name="종료(보수)"/>
    <tableColumn id="16" name="기간 근거"/>
    <tableColumn id="17" name="법정·현실"/>
    <tableColumn id="18" name="병목"/>
    <tableColumn id="19" name="시작(낙관)"/>
    <tableColumn id="20" name="시작(보수)"/>
  </tableColumns>
  <tableStyleInfo name="TableStyleLight1" showRowStripes="1"/>
</table>
</file>

<file path=xl/tables/table14.xml><?xml version="1.0" encoding="utf-8"?>
<table xmlns="http://schemas.openxmlformats.org/spreadsheetml/2006/main" id="14" name="tRisk" displayName="tRisk" ref="A5:L18" headerRowCount="1">
  <autoFilter ref="A5:L18"/>
  <tableColumns count="12">
    <tableColumn id="1" name="리스크 ID"/>
    <tableColumn id="2" name="내용"/>
    <tableColumn id="3" name="영향"/>
    <tableColumn id="4" name="현재 근거"/>
    <tableColumn id="5" name="확인 대상"/>
    <tableColumn id="6" name="담당 부서"/>
    <tableColumn id="7" name="우선순위"/>
    <tableColumn id="8" name="대응"/>
    <tableColumn id="9" name="기한"/>
    <tableColumn id="10" name="진행 상태"/>
    <tableColumn id="11" name="완료 증거"/>
    <tableColumn id="12" name="PPT 페이지"/>
  </tableColumns>
  <tableStyleInfo name="TableStyleLight1" showRowStripes="1"/>
</table>
</file>

<file path=xl/tables/table15.xml><?xml version="1.0" encoding="utf-8"?>
<table xmlns="http://schemas.openxmlformats.org/spreadsheetml/2006/main" id="15" name="tTrace" displayName="tTrace" ref="A5:J15" headerRowCount="1">
  <autoFilter ref="A5:J15"/>
  <tableColumns count="10">
    <tableColumn id="1" name="PPT 페이지"/>
    <tableColumn id="2" name="슬라이드"/>
    <tableColumn id="3" name="핵심 주장"/>
    <tableColumn id="4" name="숫자·비교 결과"/>
    <tableColumn id="5" name="원자료 시트"/>
    <tableColumn id="6" name="근거 ID"/>
    <tableColumn id="7" name="출처 ID"/>
    <tableColumn id="8" name="가정 ID"/>
    <tableColumn id="9" name="조건·한계"/>
    <tableColumn id="10" name="검증 상태"/>
  </tableColumns>
  <tableStyleInfo name="TableStyleLight1" showRowStripes="1"/>
</table>
</file>

<file path=xl/tables/table16.xml><?xml version="1.0" encoding="utf-8"?>
<table xmlns="http://schemas.openxmlformats.org/spreadsheetml/2006/main" id="16" name="tGloss" displayName="tGloss" ref="A5:C19" headerRowCount="1">
  <autoFilter ref="A5:C19"/>
  <tableColumns count="3">
    <tableColumn id="1" name="용어"/>
    <tableColumn id="2" name="쉬운 뜻"/>
    <tableColumn id="3" name="이번 사업과의 관계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www.gov.cn/zhengce/zhengceku/2020-05/11/content_5510520.htm" TargetMode="External" Id="rId1"/><Relationship Type="http://schemas.openxmlformats.org/officeDocument/2006/relationships/hyperlink" Target="https://www.mee.gov.cn/xxgk2018/xxgk/xxgk01/202011/W020201119648157169625.pdf" TargetMode="External" Id="rId2"/><Relationship Type="http://schemas.openxmlformats.org/officeDocument/2006/relationships/hyperlink" Target="https://www.mee.gov.cn/xxgk2018/xxgk/xxgk06/202606/t20260611_1159143.html" TargetMode="External" Id="rId3"/><Relationship Type="http://schemas.openxmlformats.org/officeDocument/2006/relationships/hyperlink" Target="https://www.mee.gov.cn/xxgk2018/xxgk/xxgk06/202606/W020260611818449079632.pdf" TargetMode="External" Id="rId4"/><Relationship Type="http://schemas.openxmlformats.org/officeDocument/2006/relationships/hyperlink" Target="https://www.mee.gov.cn/xxgk2018/xxgk/xxgk06/202608/t20260804_1163416.html" TargetMode="External" Id="rId5"/><Relationship Type="http://schemas.openxmlformats.org/officeDocument/2006/relationships/hyperlink" Target="https://www.cirs-group.com/cn/chemicals/sheng-tai-huan-jing-fa-dian-luo-di-zhi-ji-xin-hua-xue-wu-zhi-deng-ji-zhi-du-ying-lai-zhong-gou-shi-xiu-ding" TargetMode="External" Id="rId6"/><Relationship Type="http://schemas.openxmlformats.org/officeDocument/2006/relationships/hyperlink" Target="https://www.hoganlovells.com/en/publications/chinas-new-ecological-and-environmental-code-key-highlights-and-practical-implications" TargetMode="External" Id="rId7"/><Relationship Type="http://schemas.openxmlformats.org/officeDocument/2006/relationships/hyperlink" Target="https://www.reach24h.com/chemical/industry-news/faq-revision-draft" TargetMode="External" Id="rId8"/><Relationship Type="http://schemas.openxmlformats.org/officeDocument/2006/relationships/hyperlink" Target="http://www.npc.gov.cn/npc/c2/c30834/202512/t20251227_450708.html" TargetMode="External" Id="rId9"/><Relationship Type="http://schemas.openxmlformats.org/officeDocument/2006/relationships/hyperlink" Target="https://www.mem.gov.cn/gk/gwgg/agwzlfl/zjl_01/201505/t20150527_233724.shtml" TargetMode="External" Id="rId10"/><Relationship Type="http://schemas.openxmlformats.org/officeDocument/2006/relationships/hyperlink" Target="http://yjglj.wuxi.gov.cn/doc/2023/03/22/3913243.shtml" TargetMode="External" Id="rId11"/><Relationship Type="http://schemas.openxmlformats.org/officeDocument/2006/relationships/hyperlink" Target="http://safety.nanjing.gov.cn/njsaqscjdglj/202201/t20220117_3263584.html" TargetMode="External" Id="rId12"/><Relationship Type="http://schemas.openxmlformats.org/officeDocument/2006/relationships/hyperlink" Target="http://www.jiangsu.gov.cn/art/2023/6/2/art_46143_10911831.html" TargetMode="External" Id="rId13"/><Relationship Type="http://schemas.openxmlformats.org/officeDocument/2006/relationships/hyperlink" Target="https://www.jiangsu.gov.cn/art/2023/12/25/art_46143_11108896.html" TargetMode="External" Id="rId14"/><Relationship Type="http://schemas.openxmlformats.org/officeDocument/2006/relationships/hyperlink" Target="https://hgt.cirs-group.com/lawinfo/detail/f8n5oq59uayo" TargetMode="External" Id="rId15"/><Relationship Type="http://schemas.openxmlformats.org/officeDocument/2006/relationships/hyperlink" Target="https://www.expcenter.chemeng.tsinghua.edu.cn/Standards/&#22269;&#20869;&#21270;&#23398;&#21697;&#23433;&#20840;&#31649;&#29702;&#30456;&#20851;&#27861;&#35268;&#26631;&#20934;/&#37096;&#38376;&#35268;&#31456;/&#37096;&#38376;&#35268;&#31456;/&#21361;&#38505;&#21270;&#23398;&#21697;&#30331;&#35760;&#31649;&#29702;&#21150;&#27861;-&#24635;&#23616;&#20196;53&#21495;.docx" TargetMode="External" Id="rId16"/><Relationship Type="http://schemas.openxmlformats.org/officeDocument/2006/relationships/hyperlink" Target="https://www.cirs-group.com/cn/chemicals/shang-pin-jian-yan-jin-kou-wei-xian-hua-xue-pin-tong-guan-tips" TargetMode="External" Id="rId17"/><Relationship Type="http://schemas.openxmlformats.org/officeDocument/2006/relationships/hyperlink" Target="https://www.cirs-group.com/cn/chemicals/gb-15603-2022-wei-xian-hua-xue-pin-cang-ku-chu-cun-tong-ze-fa-bu-2023-nian-7-yue-1-ri-shi-shi" TargetMode="External" Id="rId18"/><Relationship Type="http://schemas.openxmlformats.org/officeDocument/2006/relationships/hyperlink" Target="https://chemical.chemlinked.com/database/view/2656" TargetMode="External" Id="rId19"/><Relationship Type="http://schemas.openxmlformats.org/officeDocument/2006/relationships/hyperlink" Target="https://paper.people.com.cn/rmrbwap/html/2024-07/02/nw.D110000renmrb_20240702_1-15.htm" TargetMode="External" Id="rId20"/><Relationship Type="http://schemas.openxmlformats.org/officeDocument/2006/relationships/hyperlink" Target="https://www.ndrc.gov.cn/xxgk/jd/jd/202409/t20240907_1392878.html" TargetMode="External" Id="rId21"/><Relationship Type="http://schemas.openxmlformats.org/officeDocument/2006/relationships/hyperlink" Target="https://www.mfa.gov.cn/web/wjbxw_673019/202310/t20231023_11165858.shtml" TargetMode="External" Id="rId22"/><Relationship Type="http://schemas.openxmlformats.org/officeDocument/2006/relationships/hyperlink" Target="https://www.etoday.co.kr/news/view/1619152" TargetMode="External" Id="rId23"/><Relationship Type="http://schemas.openxmlformats.org/officeDocument/2006/relationships/hyperlink" Target="https://www.yzwb.net/news/jiangsu/202607/t20260716_372860.html" TargetMode="External" Id="rId24"/><Relationship Type="http://schemas.openxmlformats.org/officeDocument/2006/relationships/hyperlink" Target="https://jiangsu.chinatax.gov.cn/art/2026/1/9/art_8274_1695385.html" TargetMode="External" Id="rId25"/><Relationship Type="http://schemas.openxmlformats.org/officeDocument/2006/relationships/hyperlink" Target="https://xe.soft9.us/convert/cny-to-krw" TargetMode="External" Id="rId26"/><Relationship Type="http://schemas.openxmlformats.org/officeDocument/2006/relationships/hyperlink" Target="https://www.cls.cn/detail/2331445" TargetMode="External" Id="rId27"/><Relationship Type="http://schemas.openxmlformats.org/officeDocument/2006/relationships/hyperlink" Target="https://www.ithome.com/0/913/335.htm" TargetMode="External" Id="rId28"/><Relationship Type="http://schemas.openxmlformats.org/officeDocument/2006/relationships/hyperlink" Target="https://tech.ifeng.com/c/8t4IS42CqqC" TargetMode="External" Id="rId29"/><Relationship Type="http://schemas.openxmlformats.org/officeDocument/2006/relationships/hyperlink" Target="https://www.yzwb.net/news/jiangsu/suzhou/202510/t20251009_274315.html" TargetMode="External" Id="rId30"/><Relationship Type="http://schemas.openxmlformats.org/officeDocument/2006/relationships/hyperlink" Target="https://www.shanghai.gov.cn/xxzfgzwj/20230714/bb4d7f393a07460dba9a6ca6952808b5.html" TargetMode="External" Id="rId31"/><Relationship Type="http://schemas.openxmlformats.org/officeDocument/2006/relationships/hyperlink" Target="https://yjglj.sh.gov.cn/cmsres/f5/f5b6c42ed8f445139addf137cc66d4f4/41ec57d5581db3a1f595d4f1a8f907a2.pdf" TargetMode="External" Id="rId32"/><Relationship Type="http://schemas.openxmlformats.org/officeDocument/2006/relationships/hyperlink" Target="https://www.qianzhan.com/analyst/detail/220/220307-55693c0d.html" TargetMode="External" Id="rId33"/><Relationship Type="http://schemas.openxmlformats.org/officeDocument/2006/relationships/hyperlink" Target="https://ahccci.huainan.gov.cn/group4/M00/0F/91/rB40qWfKTXKABLSFAAGhft5x_xU539.pdf" TargetMode="External" Id="rId34"/><Relationship Type="http://schemas.openxmlformats.org/officeDocument/2006/relationships/hyperlink" Target="https://www.sz.gov.cn/zfgb/2025/gb1390/content/post_12464094.html" TargetMode="External" Id="rId35"/><Relationship Type="http://schemas.openxmlformats.org/officeDocument/2006/relationships/hyperlink" Target="https://chemical.chemlinked.com/news/chemical-news/china-mee-allows-extension-for-cbi-non-disclosure-under-mee-order-no12" TargetMode="External" Id="rId36"/><Relationship Type="http://schemas.openxmlformats.org/officeDocument/2006/relationships/hyperlink" Target="https://www.fieldfisher.com/zh-cn/locations/china/&#35265;&#35299;/&#26377;&#21738;&#20123;&#31246;&#25910;&#20248;&#24800;&#25919;&#31574;" TargetMode="External" Id="rId37"/><Relationship Type="http://schemas.openxmlformats.org/officeDocument/2006/relationships/hyperlink" Target="http://kszhuce8.com/nd.jsp?id=1200" TargetMode="External" Id="rId38"/><Relationship Type="http://schemas.openxmlformats.org/officeDocument/2006/relationships/hyperlink" Target="https://www.waizi.org.cn/policy/210128.html" TargetMode="External" Id="rId39"/><Relationship Type="http://schemas.openxmlformats.org/officeDocument/2006/relationships/hyperlink" Target="https://www.mee.gov.cn/ywgz/gtfwyhxpgl/hxphjgl/zcfgybzgf/202011/t20201120_808952.shtml" TargetMode="External" Id="rId40"/><Relationship Type="http://schemas.openxmlformats.org/officeDocument/2006/relationships/table" Target="/xl/tables/table1.xml" Id="rId4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6.xml" Id="rId1"/></Relationships>
</file>

<file path=xl/worksheets/sheet1.xml><?xml version="1.0" encoding="utf-8"?>
<worksheet xmlns="http://schemas.openxmlformats.org/spreadsheetml/2006/main">
  <sheetPr>
    <tabColor rgb="00EB002C"/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cols>
    <col width="26" customWidth="1" min="1" max="1"/>
    <col width="120" customWidth="1" min="2" max="2"/>
  </cols>
  <sheetData>
    <row r="1">
      <c r="A1" s="1" t="inlineStr">
        <is>
          <t>SKTC 중국법인 설립 검토 — Raw File Data</t>
        </is>
      </c>
    </row>
    <row r="2">
      <c r="A2" s="2" t="inlineStr">
        <is>
          <t>원자료 → 법적·사업적 판단 → 계산·비교 → PPT 결론을 ID로 추적하는 워크북</t>
        </is>
      </c>
    </row>
    <row r="3">
      <c r="A3" s="3" t="inlineStr">
        <is>
          <t>조사 기준일 2026-10-06 · 단위·상태는 각 열 머리글 참조</t>
        </is>
      </c>
    </row>
    <row r="5">
      <c r="A5" s="4" t="inlineStr">
        <is>
          <t>목적</t>
        </is>
      </c>
      <c r="B5" s="5" t="inlineStr">
        <is>
          <t>TC 중국법인의 운영 구조·입지(강소성 우선)·인허가·비용·일정 의사결정 근거 보관 및 갱신</t>
        </is>
      </c>
    </row>
    <row r="6">
      <c r="A6" s="4" t="inlineStr">
        <is>
          <t>조사 기준일</t>
        </is>
      </c>
      <c r="B6" s="5" t="inlineStr">
        <is>
          <t>2026-10-06 (내부 회의일). 작업일도 동일</t>
        </is>
      </c>
    </row>
    <row r="7">
      <c r="A7" s="4" t="inlineStr">
        <is>
          <t>수정일 / 버전</t>
        </is>
      </c>
      <c r="B7" s="5" t="inlineStr">
        <is>
          <t>2026-10-06 / v1.0</t>
        </is>
      </c>
    </row>
    <row r="8">
      <c r="A8" s="4" t="inlineStr">
        <is>
          <t>조사 한계</t>
        </is>
      </c>
      <c r="B8" s="5" t="inlineStr">
        <is>
          <t>이 작업 환경의 네트워크 정책으로 중국 정부 사이트 원문을 직접 열지 못함. 웹 검색 결과 요약으로 내용을 확인했으며, 공식 출처라도 상태를 '공식 출처·요약 확인'으로 표시(원문 조문 대조 필요)</t>
        </is>
      </c>
    </row>
    <row r="9">
      <c r="A9" s="4" t="inlineStr">
        <is>
          <t>ID 체계</t>
        </is>
      </c>
      <c r="B9" s="5" t="inlineStr">
        <is>
          <t>SRC(출처) → EVD(근거) → 판단 시트(06·07·08·10) / CITY(도시)·SITE(시설)·MAT(제품)·ASM(가정)·CST(비용)·T(일정)·R(리스크)</t>
        </is>
      </c>
    </row>
    <row r="10">
      <c r="A10" s="4" t="inlineStr">
        <is>
          <t>입력 셀</t>
        </is>
      </c>
      <c r="B10" s="5" t="inlineStr">
        <is>
          <t>파란 글자·연파랑 칸 = 바꿀 수 있는 입력값 (13_FXAssumptions, 08 점수, 16 기간)</t>
        </is>
      </c>
    </row>
    <row r="11">
      <c r="A11" s="4" t="inlineStr">
        <is>
          <t>수식 셀</t>
        </is>
      </c>
      <c r="B11" s="5" t="inlineStr">
        <is>
          <t>검정 글자 = 수식. 계산 결과를 붙여넣은 칸 없음</t>
        </is>
      </c>
    </row>
    <row r="12">
      <c r="A12" s="4" t="inlineStr">
        <is>
          <t>미확인 값</t>
        </is>
      </c>
      <c r="B12" s="5" t="inlineStr">
        <is>
          <t>빈칸 = 견적 필요·정보 없음. 0으로 처리하지 않으며, 합계 옆에 '미완성(견적 n건)'으로 표시</t>
        </is>
      </c>
    </row>
    <row r="13">
      <c r="A13" s="4" t="inlineStr">
        <is>
          <t>외부 연결</t>
        </is>
      </c>
      <c r="B13" s="5" t="inlineStr">
        <is>
          <t>외부 링크·매크로 없음. 출처 URL은 하이퍼링크(클릭 시 브라우저)</t>
        </is>
      </c>
    </row>
    <row r="14">
      <c r="A14" s="4" t="inlineStr">
        <is>
          <t>사용 방법</t>
        </is>
      </c>
      <c r="B14" s="5" t="inlineStr">
        <is>
          <t>① 13 시트 입력값·14 시트 단가를 견적으로 교체 → 15 합계 자동 갱신 ② 08 점수·가중치 변경 → 순위 갱신 ③ 16 기간 변경 → 일정 갱신</t>
        </is>
      </c>
    </row>
    <row r="16">
      <c r="A16" s="6" t="inlineStr">
        <is>
          <t>정보 상태 범례</t>
        </is>
      </c>
    </row>
    <row r="17">
      <c r="A17" s="7" t="inlineStr">
        <is>
          <t>공식 출처·요약 확인</t>
        </is>
      </c>
      <c r="B17" s="8" t="inlineStr">
        <is>
          <t>정부·기관 공식 URL을 찾았고 내용은 검색 결과 요약으로 확인. 원문 조문 대조 전 (네트워크 정책상 원문 미열람)</t>
        </is>
      </c>
    </row>
    <row r="18">
      <c r="A18" s="9" t="inlineStr">
        <is>
          <t>전문가 자료</t>
        </is>
      </c>
      <c r="B18" s="8" t="inlineStr">
        <is>
          <t>법무법인·인증 컨설팅·회계법인 등 전문가 해설. 원문과 대조 필요</t>
        </is>
      </c>
    </row>
    <row r="19">
      <c r="A19" s="10" t="inlineStr">
        <is>
          <t>언론·기타</t>
        </is>
      </c>
      <c r="B19" s="8" t="inlineStr">
        <is>
          <t>언론 보도·업체 자료. 사실 확인용 보조 근거</t>
        </is>
      </c>
    </row>
    <row r="20">
      <c r="A20" s="11" t="inlineStr">
        <is>
          <t>내부 제공</t>
        </is>
      </c>
      <c r="B20" s="8" t="inlineStr">
        <is>
          <t>2026-10-06 내부 회의에서 나온 내용. 검증 전</t>
        </is>
      </c>
    </row>
    <row r="21">
      <c r="A21" s="12" t="inlineStr">
        <is>
          <t>분석 가정</t>
        </is>
      </c>
      <c r="B21" s="8" t="inlineStr">
        <is>
          <t>의사결정 비교를 위한 분석상 가정. 견적·실측으로 교체 필요</t>
        </is>
      </c>
    </row>
    <row r="22">
      <c r="A22" s="13" t="inlineStr">
        <is>
          <t>기관 확인 필요</t>
        </is>
      </c>
      <c r="B22" s="8" t="inlineStr">
        <is>
          <t>담당 기관·업체에 질의해야 확정되는 항목 (문의 예정)</t>
        </is>
      </c>
    </row>
    <row r="23">
      <c r="A23" s="14" t="inlineStr">
        <is>
          <t>정보 없음</t>
        </is>
      </c>
      <c r="B23" s="8" t="inlineStr">
        <is>
          <t>현재 정보 없음 (0이 아님)</t>
        </is>
      </c>
    </row>
    <row r="25">
      <c r="A25" s="6" t="inlineStr">
        <is>
          <t>시트 구성</t>
        </is>
      </c>
    </row>
    <row r="26">
      <c r="A26" t="inlineStr">
        <is>
          <t>02_ExecutiveSummary</t>
        </is>
      </c>
      <c r="B26" t="inlineStr">
        <is>
          <t>PPT 핵심 결론·근거 ID</t>
        </is>
      </c>
    </row>
    <row r="27">
      <c r="A27" t="inlineStr">
        <is>
          <t>03_SourceRegister</t>
        </is>
      </c>
      <c r="B27" t="inlineStr">
        <is>
          <t>출처 40건</t>
        </is>
      </c>
    </row>
    <row r="28">
      <c r="A28" t="inlineStr">
        <is>
          <t>04_EvidenceRaw</t>
        </is>
      </c>
      <c r="B28" t="inlineStr">
        <is>
          <t>근거 36건 (원문 핵심 구절·한국어 해석)</t>
        </is>
      </c>
    </row>
    <row r="29">
      <c r="A29" t="inlineStr">
        <is>
          <t>05_Materials</t>
        </is>
      </c>
      <c r="B29" t="inlineStr">
        <is>
          <t>제품 입력자료·규제 시나리오 A~D</t>
        </is>
      </c>
    </row>
    <row r="30">
      <c r="A30" t="inlineStr">
        <is>
          <t>06_LegalMatrix</t>
        </is>
      </c>
      <c r="B30" t="inlineStr">
        <is>
          <t>법적 쟁점별 결론</t>
        </is>
      </c>
    </row>
    <row r="31">
      <c r="A31" t="inlineStr">
        <is>
          <t>07_PermitPaths</t>
        </is>
      </c>
      <c r="B31" t="inlineStr">
        <is>
          <t>허가 절차·기간</t>
        </is>
      </c>
    </row>
    <row r="32">
      <c r="A32" t="inlineStr">
        <is>
          <t>08_CityComparison</t>
        </is>
      </c>
      <c r="B32" t="inlineStr">
        <is>
          <t>도시 관문·점수·민감도 (수식)</t>
        </is>
      </c>
    </row>
    <row r="33">
      <c r="A33" t="inlineStr">
        <is>
          <t>09_SitesWarehouses</t>
        </is>
      </c>
      <c r="B33" t="inlineStr">
        <is>
          <t>단지·창고 후보</t>
        </is>
      </c>
    </row>
    <row r="34">
      <c r="A34" t="inlineStr">
        <is>
          <t>10_OperatingModels</t>
        </is>
      </c>
      <c r="B34" t="inlineStr">
        <is>
          <t>운영 구조 A~G</t>
        </is>
      </c>
    </row>
    <row r="35">
      <c r="A35" t="inlineStr">
        <is>
          <t>11_MPComparison</t>
        </is>
      </c>
      <c r="B35" t="inlineStr">
        <is>
          <t>MP 활용 vs TC 법인</t>
        </is>
      </c>
    </row>
    <row r="36">
      <c r="A36" t="inlineStr">
        <is>
          <t>12_LogisticsStaff</t>
        </is>
      </c>
      <c r="B36" t="inlineStr">
        <is>
          <t>직선거리(수식)·인력</t>
        </is>
      </c>
    </row>
    <row r="37">
      <c r="A37" t="inlineStr">
        <is>
          <t>13_FXAssumptions</t>
        </is>
      </c>
      <c r="B37" t="inlineStr">
        <is>
          <t>환율·단가 입력</t>
        </is>
      </c>
    </row>
    <row r="38">
      <c r="A38" t="inlineStr">
        <is>
          <t>14_CostsRaw</t>
        </is>
      </c>
      <c r="B38" t="inlineStr">
        <is>
          <t>비용 원자료 (수식·견적 필요 구분)</t>
        </is>
      </c>
    </row>
    <row r="39">
      <c r="A39" t="inlineStr">
        <is>
          <t>15_CostModel</t>
        </is>
      </c>
      <c r="B39" t="inlineStr">
        <is>
          <t>구조별 합계·KRW 환산·미완성 표시</t>
        </is>
      </c>
    </row>
    <row r="40">
      <c r="A40" t="inlineStr">
        <is>
          <t>16_Timeline</t>
        </is>
      </c>
      <c r="B40" t="inlineStr">
        <is>
          <t>일정 (선행관계 수식, 3시나리오)</t>
        </is>
      </c>
    </row>
    <row r="41">
      <c r="A41" t="inlineStr">
        <is>
          <t>17_RisksActions</t>
        </is>
      </c>
      <c r="B41" t="inlineStr">
        <is>
          <t>리스크·조치</t>
        </is>
      </c>
    </row>
    <row r="42">
      <c r="A42" t="inlineStr">
        <is>
          <t>18_PPTTraceability</t>
        </is>
      </c>
      <c r="B42" t="inlineStr">
        <is>
          <t>PPT 페이지 ↔ 근거 ID</t>
        </is>
      </c>
    </row>
    <row r="43">
      <c r="A43" t="inlineStr">
        <is>
          <t>19_Glossary_Q</t>
        </is>
      </c>
      <c r="B43" t="inlineStr">
        <is>
          <t>용어 해설·기관 질문지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B002C"/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  <col width="34" customWidth="1" min="3" max="3"/>
    <col width="26" customWidth="1" min="4" max="4"/>
    <col width="12" customWidth="1" min="5" max="5"/>
    <col width="22" customWidth="1" min="6" max="6"/>
  </cols>
  <sheetData>
    <row r="1">
      <c r="A1" s="1" t="inlineStr">
        <is>
          <t>02_ExecutiveSummary | 핵심 결론 (PPT 02·28장)</t>
        </is>
      </c>
    </row>
    <row r="2">
      <c r="A2" s="2" t="inlineStr">
        <is>
          <t>숫자 칸은 다른 시트 수식 참조. 결론은 조건부이며 '확정 불가' 항목은 그대로 표시</t>
        </is>
      </c>
    </row>
    <row r="4">
      <c r="A4" s="15" t="inlineStr">
        <is>
          <t>구분</t>
        </is>
      </c>
      <c r="B4" s="15" t="inlineStr">
        <is>
          <t>내용</t>
        </is>
      </c>
      <c r="C4" s="15" t="inlineStr">
        <is>
          <t>조건·전제</t>
        </is>
      </c>
      <c r="D4" s="15" t="inlineStr">
        <is>
          <t>근거 충족 상태</t>
        </is>
      </c>
      <c r="E4" s="15" t="inlineStr">
        <is>
          <t>PPT 페이지</t>
        </is>
      </c>
      <c r="F4" s="15" t="inlineStr">
        <is>
          <t>근거 ID</t>
        </is>
      </c>
    </row>
    <row r="5">
      <c r="A5" s="16" t="inlineStr">
        <is>
          <t>권고 운영 구조</t>
        </is>
      </c>
      <c r="B5" s="16" t="inlineStr">
        <is>
          <t>B안: TC 독자 법인 + 무저장 위험화학품 경영허가 + 허가 외부 창고(3PL)</t>
        </is>
      </c>
      <c r="C5" s="16" t="inlineStr">
        <is>
          <t>제품이 위험화학품·신규물질(시나리오 A)일 때 기준</t>
        </is>
      </c>
      <c r="D5" s="16" t="inlineStr">
        <is>
          <t>중 (규정 근거 기반, 기관 확인 전)</t>
        </is>
      </c>
      <c r="E5" s="16" t="inlineStr">
        <is>
          <t>02, 08, 22</t>
        </is>
      </c>
      <c r="F5" s="16" t="inlineStr">
        <is>
          <t>EVD-014, EVD-015</t>
        </is>
      </c>
    </row>
    <row r="6">
      <c r="A6" s="16" t="inlineStr">
        <is>
          <t>강소성 1순위</t>
        </is>
      </c>
      <c r="B6" s="16" t="inlineStr">
        <is>
          <t>무석 신오구 (법인·영업) + 무석 관할 인정 화공원구 창고</t>
        </is>
      </c>
      <c r="C6" s="16" t="inlineStr">
        <is>
          <t>창고 운영사의 품목·물성 수용</t>
        </is>
      </c>
      <c r="D6" s="16" t="inlineStr">
        <is>
          <t>중</t>
        </is>
      </c>
      <c r="E6" s="16" t="inlineStr">
        <is>
          <t>15, 18</t>
        </is>
      </c>
      <c r="F6" s="16" t="inlineStr">
        <is>
          <t>EVD-014, EVD-020</t>
        </is>
      </c>
    </row>
    <row r="7">
      <c r="A7" s="16" t="inlineStr">
        <is>
          <t>강소성 차선</t>
        </is>
      </c>
      <c r="B7" s="16" t="inlineStr">
        <is>
          <t>쑤저우 SIP 법인 + 장자강 扬子江国际化学工业园 창고</t>
        </is>
      </c>
      <c r="C7" s="16" t="inlineStr">
        <is>
          <t>쑤저우 세칙·창고 품목 확인</t>
        </is>
      </c>
      <c r="D7" s="16" t="inlineStr">
        <is>
          <t>중</t>
        </is>
      </c>
      <c r="E7" s="16" t="inlineStr">
        <is>
          <t>16, 18</t>
        </is>
      </c>
      <c r="F7" s="16" t="inlineStr">
        <is>
          <t>EVD-021</t>
        </is>
      </c>
    </row>
    <row r="8">
      <c r="A8" s="16" t="inlineStr">
        <is>
          <t>인근 대안 1·2</t>
        </is>
      </c>
      <c r="B8" s="16" t="inlineStr">
        <is>
          <t>상하이(수입항·보세 물류) / 허페이(CXMT 대응)</t>
        </is>
      </c>
      <c r="C8" s="16" t="inlineStr">
        <is>
          <t>강소성 창고 미확보 시</t>
        </is>
      </c>
      <c r="D8" s="16" t="inlineStr">
        <is>
          <t>하</t>
        </is>
      </c>
      <c r="E8" s="16" t="inlineStr">
        <is>
          <t>20, 21</t>
        </is>
      </c>
      <c r="F8" s="16" t="inlineStr">
        <is>
          <t>SRC-031, EVD-029</t>
        </is>
      </c>
    </row>
    <row r="9">
      <c r="A9" s="16" t="inlineStr">
        <is>
          <t>연말 기한</t>
        </is>
      </c>
      <c r="B9" s="16" t="inlineStr">
        <is>
          <t>备案 접수 중단(2026-08-15)·기존 备案은 2026-12-31까지 등록증 취득</t>
        </is>
      </c>
      <c r="C9" s="16" t="inlineStr">
        <is>
          <t>TC 제품이 备案으로 수입돼 왔을 때</t>
        </is>
      </c>
      <c r="D9" s="16" t="inlineStr">
        <is>
          <t>중 (공식 통지, 원문 대조 필요)</t>
        </is>
      </c>
      <c r="E9" s="16" t="inlineStr">
        <is>
          <t>05, 26</t>
        </is>
      </c>
      <c r="F9" s="16" t="inlineStr">
        <is>
          <t>EVD-003</t>
        </is>
      </c>
    </row>
    <row r="10">
      <c r="A10" s="16" t="inlineStr">
        <is>
          <t>등록 주체</t>
        </is>
      </c>
      <c r="B10" s="16" t="inlineStr">
        <is>
          <t>현행: 해외 생산자+대리인 가능 / 개정 초안: 중국 생산·수입기업만</t>
        </is>
      </c>
      <c r="C10" s="16" t="inlineStr">
        <is>
          <t>개정 최종 공포 여부</t>
        </is>
      </c>
      <c r="D10" s="16" t="inlineStr">
        <is>
          <t>중</t>
        </is>
      </c>
      <c r="E10" s="16" t="inlineStr">
        <is>
          <t>05, 10</t>
        </is>
      </c>
      <c r="F10" s="16" t="inlineStr">
        <is>
          <t>EVD-001, EVD-002</t>
        </is>
      </c>
    </row>
    <row r="11">
      <c r="A11" s="16" t="inlineStr">
        <is>
          <t>생산설비 필요 가설</t>
        </is>
      </c>
      <c r="B11" s="16" t="inlineStr">
        <is>
          <t>단순 수입·판매에는 생산허가·생산설비 불필요 (근거 기반)</t>
        </is>
      </c>
      <c r="C11" s="16" t="inlineStr">
        <is>
          <t>충진·소분 등 가공 없음</t>
        </is>
      </c>
      <c r="D11" s="16" t="inlineStr">
        <is>
          <t>중</t>
        </is>
      </c>
      <c r="E11" s="16" t="inlineStr">
        <is>
          <t>05, 07</t>
        </is>
      </c>
      <c r="F11" s="16" t="inlineStr">
        <is>
          <t>EVD-009, EVD-011</t>
        </is>
      </c>
    </row>
    <row r="12">
      <c r="A12" s="4" t="inlineStr">
        <is>
          <t>B안 초기 일회성 비용 (확인 가능분, CNY)</t>
        </is>
      </c>
      <c r="B12" s="17" t="str">
        <f>'15_CostModel'!C6</f>
        <v>확인분 없음</v>
      </c>
      <c r="C12" t="str">
        <f>'15_CostModel'!E6</f>
        <v>미완성(견적 6건)</v>
      </c>
    </row>
    <row r="13">
      <c r="A13" s="4" t="inlineStr">
        <is>
          <t>B안 연간 고정비 (확인 가능분, CNY)</t>
        </is>
      </c>
      <c r="B13" s="17">
        <f>'15_CostModel'!C8</f>
        <v>715843.98</v>
      </c>
      <c r="C13" t="str">
        <f>'15_CostModel'!E8</f>
        <v>미완성(견적 5건)</v>
      </c>
    </row>
    <row r="14">
      <c r="A14" s="4" t="inlineStr">
        <is>
          <t>B안 연 인건비 최소 시나리오 (CNY)</t>
        </is>
      </c>
      <c r="B14" s="17">
        <f>'15_CostModel'!D14</f>
        <v>715843.98</v>
      </c>
      <c r="C14" t="inlineStr">
        <is>
          <t>분석 가정</t>
        </is>
      </c>
    </row>
    <row r="15">
      <c r="A15" s="4" t="inlineStr">
        <is>
          <t>무석 종합점수 (기본 가중치)</t>
        </is>
      </c>
      <c r="B15" s="18">
        <f>'08_CityComparison'!Q13</f>
        <v>76</v>
      </c>
      <c r="C15" t="inlineStr">
        <is>
          <t>분석 가정 점수</t>
        </is>
      </c>
    </row>
    <row r="16">
      <c r="A16" s="4" t="inlineStr">
        <is>
          <t>기준 시나리오 초도 공급 예상일</t>
        </is>
      </c>
      <c r="B16" s="19">
        <f>'16_Timeline'!L19</f>
        <v>46587.0</v>
      </c>
      <c r="C16" t="inlineStr">
        <is>
          <t>분석 가정 일정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N4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2" customWidth="1" min="2" max="2"/>
    <col width="26" customWidth="1" min="3" max="3"/>
    <col width="14" customWidth="1" min="4" max="4"/>
    <col width="9" customWidth="1" min="5" max="5"/>
    <col width="11" customWidth="1" min="6" max="6"/>
    <col width="11" customWidth="1" min="7" max="7"/>
    <col width="11" customWidth="1" min="8" max="8"/>
    <col width="18" customWidth="1" min="9" max="9"/>
    <col width="50" customWidth="1" min="10" max="10"/>
    <col width="11" customWidth="1" min="11" max="11"/>
    <col width="36" customWidth="1" min="12" max="12"/>
    <col width="34" customWidth="1" min="13" max="13"/>
    <col width="22" customWidth="1" min="14" max="14"/>
  </cols>
  <sheetData>
    <row r="1">
      <c r="A1" s="1" t="inlineStr">
        <is>
          <t>03_SourceRegister | 출처 목록</t>
        </is>
      </c>
    </row>
    <row r="2">
      <c r="A2" s="2" t="inlineStr">
        <is>
          <t>확인일은 모두 조사 기준일. '공식여부'는 발행 기관 기준이며, 원문 열람 여부와 별개</t>
        </is>
      </c>
    </row>
    <row r="3">
      <c r="A3" s="3" t="inlineStr">
        <is>
          <t>조사 기준일 2026-10-06 · 단위·상태는 각 열 머리글 참조</t>
        </is>
      </c>
    </row>
    <row r="5">
      <c r="A5" s="20" t="inlineStr">
        <is>
          <t>출처 ID</t>
        </is>
      </c>
      <c r="B5" s="20" t="inlineStr">
        <is>
          <t>문서명</t>
        </is>
      </c>
      <c r="C5" s="20" t="inlineStr">
        <is>
          <t>기관·발행자</t>
        </is>
      </c>
      <c r="D5" s="20" t="inlineStr">
        <is>
          <t>문서 종류</t>
        </is>
      </c>
      <c r="E5" s="20" t="inlineStr">
        <is>
          <t>공식 여부</t>
        </is>
      </c>
      <c r="F5" s="20" t="inlineStr">
        <is>
          <t>적용 지역</t>
        </is>
      </c>
      <c r="G5" s="20" t="inlineStr">
        <is>
          <t>발령일</t>
        </is>
      </c>
      <c r="H5" s="20" t="inlineStr">
        <is>
          <t>시행일</t>
        </is>
      </c>
      <c r="I5" s="20" t="inlineStr">
        <is>
          <t>유효 상태</t>
        </is>
      </c>
      <c r="J5" s="20" t="inlineStr">
        <is>
          <t>원문 URL</t>
        </is>
      </c>
      <c r="K5" s="20" t="inlineStr">
        <is>
          <t>확인일</t>
        </is>
      </c>
      <c r="L5" s="20" t="inlineStr">
        <is>
          <t>관련 페이지·조문</t>
        </is>
      </c>
      <c r="M5" s="20" t="inlineStr">
        <is>
          <t>주의사항</t>
        </is>
      </c>
      <c r="N5" s="20" t="inlineStr">
        <is>
          <t>정보 상태</t>
        </is>
      </c>
    </row>
    <row r="6">
      <c r="A6" s="21" t="inlineStr">
        <is>
          <t>SRC-001</t>
        </is>
      </c>
      <c r="B6" s="16" t="inlineStr">
        <is>
          <t>新化学物质环境管理登记办法 (生态环境部令第12号)</t>
        </is>
      </c>
      <c r="C6" s="21" t="inlineStr">
        <is>
          <t>生态环境部</t>
        </is>
      </c>
      <c r="D6" s="21" t="inlineStr">
        <is>
          <t>부문규장</t>
        </is>
      </c>
      <c r="E6" s="21" t="inlineStr">
        <is>
          <t>공식</t>
        </is>
      </c>
      <c r="F6" s="21" t="inlineStr">
        <is>
          <t>전국</t>
        </is>
      </c>
      <c r="G6" s="21" t="inlineStr">
        <is>
          <t>2020-04-29</t>
        </is>
      </c>
      <c r="H6" s="21" t="inlineStr">
        <is>
          <t>2021-01-01</t>
        </is>
      </c>
      <c r="I6" s="21" t="inlineStr">
        <is>
          <t>현행 (2026 개정 추진 중)</t>
        </is>
      </c>
      <c r="J6" s="22" t="inlineStr">
        <is>
          <t>https://www.gov.cn/zhengce/zhengceku/2020-05/11/content_5510520.htm</t>
        </is>
      </c>
      <c r="K6" s="21" t="inlineStr">
        <is>
          <t>2026-10-06</t>
        </is>
      </c>
      <c r="L6" s="16" t="inlineStr">
        <is>
          <t>신청인·해외 생산자 대리인·등록 유형</t>
        </is>
      </c>
      <c r="M6" s="16" t="inlineStr">
        <is>
          <t>개정 시 신청 주체 변경 가능</t>
        </is>
      </c>
      <c r="N6" s="23" t="inlineStr">
        <is>
          <t>공식 출처·요약 확인</t>
        </is>
      </c>
    </row>
    <row r="7">
      <c r="A7" s="21" t="inlineStr">
        <is>
          <t>SRC-002</t>
        </is>
      </c>
      <c r="B7" s="16" t="inlineStr">
        <is>
          <t>新化学物质环境管理登记指南</t>
        </is>
      </c>
      <c r="C7" s="21" t="inlineStr">
        <is>
          <t>生态环境部</t>
        </is>
      </c>
      <c r="D7" s="21" t="inlineStr">
        <is>
          <t>지침</t>
        </is>
      </c>
      <c r="E7" s="21" t="inlineStr">
        <is>
          <t>공식</t>
        </is>
      </c>
      <c r="F7" s="21" t="inlineStr">
        <is>
          <t>전국</t>
        </is>
      </c>
      <c r="G7" s="21" t="inlineStr">
        <is>
          <t>2020-11-17</t>
        </is>
      </c>
      <c r="H7" s="21" t="inlineStr">
        <is>
          <t>2021-01-01</t>
        </is>
      </c>
      <c r="I7" s="21" t="inlineStr">
        <is>
          <t>현행</t>
        </is>
      </c>
      <c r="J7" s="22" t="inlineStr">
        <is>
          <t>https://www.mee.gov.cn/xxgk2018/xxgk/xxgk01/202011/W020201119648157169625.pdf</t>
        </is>
      </c>
      <c r="K7" s="21" t="inlineStr">
        <is>
          <t>2026-10-06</t>
        </is>
      </c>
      <c r="L7" s="16" t="inlineStr">
        <is>
          <t>대리인 요건·시험자료 요건</t>
        </is>
      </c>
      <c r="M7" s="16" t="inlineStr"/>
      <c r="N7" s="23" t="inlineStr">
        <is>
          <t>공식 출처·요약 확인</t>
        </is>
      </c>
    </row>
    <row r="8">
      <c r="A8" s="21" t="inlineStr">
        <is>
          <t>SRC-003</t>
        </is>
      </c>
      <c r="B8" s="16" t="inlineStr">
        <is>
          <t>关于公开征求《新化学物质环境管理登记办法（修订征求意见稿）》意见的函</t>
        </is>
      </c>
      <c r="C8" s="21" t="inlineStr">
        <is>
          <t>生态环境部</t>
        </is>
      </c>
      <c r="D8" s="21" t="inlineStr">
        <is>
          <t>의견수렴 공문</t>
        </is>
      </c>
      <c r="E8" s="21" t="inlineStr">
        <is>
          <t>공식</t>
        </is>
      </c>
      <c r="F8" s="21" t="inlineStr">
        <is>
          <t>전국</t>
        </is>
      </c>
      <c r="G8" s="21" t="inlineStr">
        <is>
          <t>2026-06-11</t>
        </is>
      </c>
      <c r="H8" s="21" t="inlineStr">
        <is>
          <t>-</t>
        </is>
      </c>
      <c r="I8" s="21" t="inlineStr">
        <is>
          <t>초안 (의견수렴 2026-07-12 마감)</t>
        </is>
      </c>
      <c r="J8" s="22" t="inlineStr">
        <is>
          <t>https://www.mee.gov.cn/xxgk2018/xxgk/xxgk06/202606/t20260611_1159143.html</t>
        </is>
      </c>
      <c r="K8" s="21" t="inlineStr">
        <is>
          <t>2026-10-06</t>
        </is>
      </c>
      <c r="L8" s="16" t="inlineStr">
        <is>
          <t>개정 초안 공개</t>
        </is>
      </c>
      <c r="M8" s="16" t="inlineStr">
        <is>
          <t>초안 — 확정 규정 아님</t>
        </is>
      </c>
      <c r="N8" s="23" t="inlineStr">
        <is>
          <t>공식 출처·요약 확인</t>
        </is>
      </c>
    </row>
    <row r="9">
      <c r="A9" s="21" t="inlineStr">
        <is>
          <t>SRC-004</t>
        </is>
      </c>
      <c r="B9" s="16" t="inlineStr">
        <is>
          <t>新化学物质环境管理登记办法（修订征求意见稿）附件2</t>
        </is>
      </c>
      <c r="C9" s="21" t="inlineStr">
        <is>
          <t>生态环境部</t>
        </is>
      </c>
      <c r="D9" s="21" t="inlineStr">
        <is>
          <t>개정 초안</t>
        </is>
      </c>
      <c r="E9" s="21" t="inlineStr">
        <is>
          <t>공식</t>
        </is>
      </c>
      <c r="F9" s="21" t="inlineStr">
        <is>
          <t>전국</t>
        </is>
      </c>
      <c r="G9" s="21" t="inlineStr">
        <is>
          <t>2026-06-11</t>
        </is>
      </c>
      <c r="H9" s="21" t="inlineStr">
        <is>
          <t>-</t>
        </is>
      </c>
      <c r="I9" s="21" t="inlineStr">
        <is>
          <t>초안</t>
        </is>
      </c>
      <c r="J9" s="22" t="inlineStr">
        <is>
          <t>https://www.mee.gov.cn/xxgk2018/xxgk/xxgk06/202606/W020260611818449079632.pdf</t>
        </is>
      </c>
      <c r="K9" s="21" t="inlineStr">
        <is>
          <t>2026-10-06</t>
        </is>
      </c>
      <c r="L9" s="16" t="inlineStr">
        <is>
          <t>신청 주체·등록 유형·경과조치</t>
        </is>
      </c>
      <c r="M9" s="16" t="inlineStr">
        <is>
          <t>최종 공포 여부 기관 확인 필요</t>
        </is>
      </c>
      <c r="N9" s="23" t="inlineStr">
        <is>
          <t>공식 출처·요약 확인</t>
        </is>
      </c>
    </row>
    <row r="10">
      <c r="A10" s="21" t="inlineStr">
        <is>
          <t>SRC-005</t>
        </is>
      </c>
      <c r="B10" s="16" t="inlineStr">
        <is>
          <t>生态环境部办公厅关于新化学物质环境管理登记有关事项的通知 (环办固体函〔2026〕301号)</t>
        </is>
      </c>
      <c r="C10" s="21" t="inlineStr">
        <is>
          <t>生态环境部 판공청</t>
        </is>
      </c>
      <c r="D10" s="21" t="inlineStr">
        <is>
          <t>통지</t>
        </is>
      </c>
      <c r="E10" s="21" t="inlineStr">
        <is>
          <t>공식</t>
        </is>
      </c>
      <c r="F10" s="21" t="inlineStr">
        <is>
          <t>전국</t>
        </is>
      </c>
      <c r="G10" s="21" t="inlineStr">
        <is>
          <t>2026-07-31</t>
        </is>
      </c>
      <c r="H10" s="21" t="inlineStr">
        <is>
          <t>2026-08-15</t>
        </is>
      </c>
      <c r="I10" s="21" t="inlineStr">
        <is>
          <t>현행 (검색 요약 기준)</t>
        </is>
      </c>
      <c r="J10" s="22" t="inlineStr">
        <is>
          <t>https://www.mee.gov.cn/xxgk2018/xxgk/xxgk06/202608/t20260804_1163416.html</t>
        </is>
      </c>
      <c r="K10" s="21" t="inlineStr">
        <is>
          <t>2026-10-06</t>
        </is>
      </c>
      <c r="L10" s="16" t="inlineStr">
        <is>
          <t>备案 접수 중단(8/15)·기존 备案의 등록증 전환(12/31)</t>
        </is>
      </c>
      <c r="M10" s="16" t="inlineStr">
        <is>
          <t>연말 기한 문구의 정확한 출처(통지/개정안) 원문 대조 필요</t>
        </is>
      </c>
      <c r="N10" s="23" t="inlineStr">
        <is>
          <t>공식 출처·요약 확인</t>
        </is>
      </c>
    </row>
    <row r="11">
      <c r="A11" s="21" t="inlineStr">
        <is>
          <t>SRC-006</t>
        </is>
      </c>
      <c r="B11" s="16" t="inlineStr">
        <is>
          <t>생태환경법전(生态环境法典) 시행과 신규화학물질 등록 개정 해설</t>
        </is>
      </c>
      <c r="C11" s="21" t="inlineStr">
        <is>
          <t>瑞旭集团(CIRS)</t>
        </is>
      </c>
      <c r="D11" s="21" t="inlineStr">
        <is>
          <t>전문가 해설</t>
        </is>
      </c>
      <c r="E11" s="21" t="inlineStr">
        <is>
          <t>비공식</t>
        </is>
      </c>
      <c r="F11" s="21" t="inlineStr">
        <is>
          <t>전국</t>
        </is>
      </c>
      <c r="G11" s="21" t="inlineStr">
        <is>
          <t>2026</t>
        </is>
      </c>
      <c r="H11" s="21" t="inlineStr">
        <is>
          <t>-</t>
        </is>
      </c>
      <c r="I11" s="21" t="inlineStr">
        <is>
          <t>-</t>
        </is>
      </c>
      <c r="J11" s="22" t="inlineStr">
        <is>
          <t>https://www.cirs-group.com/cn/chemicals/sheng-tai-huan-jing-fa-dian-luo-di-zhi-ji-xin-hua-xue-wu-zhi-deng-ji-zhi-du-ying-lai-zhong-gou-shi-xiu-ding</t>
        </is>
      </c>
      <c r="K11" s="21" t="inlineStr">
        <is>
          <t>2026-10-06</t>
        </is>
      </c>
      <c r="L11" s="16" t="inlineStr">
        <is>
          <t>신청 주체를 중국 내 생산·수입 기업으로 한정하는 개정 방향</t>
        </is>
      </c>
      <c r="M11" s="16" t="inlineStr">
        <is>
          <t>전문가 해석</t>
        </is>
      </c>
      <c r="N11" s="24" t="inlineStr">
        <is>
          <t>전문가 자료</t>
        </is>
      </c>
    </row>
    <row r="12">
      <c r="A12" s="21" t="inlineStr">
        <is>
          <t>SRC-007</t>
        </is>
      </c>
      <c r="B12" s="16" t="inlineStr">
        <is>
          <t>China's New Ecological and Environmental Code: Key Highlights</t>
        </is>
      </c>
      <c r="C12" s="21" t="inlineStr">
        <is>
          <t>Hogan Lovells</t>
        </is>
      </c>
      <c r="D12" s="21" t="inlineStr">
        <is>
          <t>전문가 해설</t>
        </is>
      </c>
      <c r="E12" s="21" t="inlineStr">
        <is>
          <t>비공식</t>
        </is>
      </c>
      <c r="F12" s="21" t="inlineStr">
        <is>
          <t>전국</t>
        </is>
      </c>
      <c r="G12" s="21" t="inlineStr">
        <is>
          <t>2026</t>
        </is>
      </c>
      <c r="H12" s="21" t="inlineStr">
        <is>
          <t>2026-08-15</t>
        </is>
      </c>
      <c r="I12" s="21" t="inlineStr">
        <is>
          <t>-</t>
        </is>
      </c>
      <c r="J12" s="22" t="inlineStr">
        <is>
          <t>https://www.hoganlovells.com/en/publications/chinas-new-ecological-and-environmental-code-key-highlights-and-practical-implications</t>
        </is>
      </c>
      <c r="K12" s="21" t="inlineStr">
        <is>
          <t>2026-10-06</t>
        </is>
      </c>
      <c r="L12" s="16" t="inlineStr">
        <is>
          <t>생태환경법전 2026-03-12 채택·2026-08-15 시행</t>
        </is>
      </c>
      <c r="M12" s="16" t="inlineStr"/>
      <c r="N12" s="24" t="inlineStr">
        <is>
          <t>전문가 자료</t>
        </is>
      </c>
    </row>
    <row r="13">
      <c r="A13" s="21" t="inlineStr">
        <is>
          <t>SRC-008</t>
        </is>
      </c>
      <c r="B13" s="16" t="inlineStr">
        <is>
          <t>2026新化学物质登记办法修订解读 FAQ</t>
        </is>
      </c>
      <c r="C13" s="21" t="inlineStr">
        <is>
          <t>REACH24H</t>
        </is>
      </c>
      <c r="D13" s="21" t="inlineStr">
        <is>
          <t>전문가 해설</t>
        </is>
      </c>
      <c r="E13" s="21" t="inlineStr">
        <is>
          <t>비공식</t>
        </is>
      </c>
      <c r="F13" s="21" t="inlineStr">
        <is>
          <t>전국</t>
        </is>
      </c>
      <c r="G13" s="21" t="inlineStr">
        <is>
          <t>2026</t>
        </is>
      </c>
      <c r="H13" s="21" t="inlineStr">
        <is>
          <t>-</t>
        </is>
      </c>
      <c r="I13" s="21" t="inlineStr">
        <is>
          <t>-</t>
        </is>
      </c>
      <c r="J13" s="22" t="inlineStr">
        <is>
          <t>https://www.reach24h.com/chemical/industry-news/faq-revision-draft</t>
        </is>
      </c>
      <c r="K13" s="21" t="inlineStr">
        <is>
          <t>2026-10-06</t>
        </is>
      </c>
      <c r="L13" s="16" t="inlineStr">
        <is>
          <t>기존 등록증 유효·변경 시 재신청</t>
        </is>
      </c>
      <c r="M13" s="16" t="inlineStr"/>
      <c r="N13" s="24" t="inlineStr">
        <is>
          <t>전문가 자료</t>
        </is>
      </c>
    </row>
    <row r="14">
      <c r="A14" s="21" t="inlineStr">
        <is>
          <t>SRC-009</t>
        </is>
      </c>
      <c r="B14" s="16" t="inlineStr">
        <is>
          <t>中华人民共和国危险化学品安全法</t>
        </is>
      </c>
      <c r="C14" s="21" t="inlineStr">
        <is>
          <t>全国人大常委会</t>
        </is>
      </c>
      <c r="D14" s="21" t="inlineStr">
        <is>
          <t>법률</t>
        </is>
      </c>
      <c r="E14" s="21" t="inlineStr">
        <is>
          <t>공식</t>
        </is>
      </c>
      <c r="F14" s="21" t="inlineStr">
        <is>
          <t>전국</t>
        </is>
      </c>
      <c r="G14" s="21" t="inlineStr">
        <is>
          <t>2025-12-27</t>
        </is>
      </c>
      <c r="H14" s="21" t="inlineStr">
        <is>
          <t>2026-05-01</t>
        </is>
      </c>
      <c r="I14" s="21" t="inlineStr">
        <is>
          <t>현행</t>
        </is>
      </c>
      <c r="J14" s="22" t="inlineStr">
        <is>
          <t>http://www.npc.gov.cn/npc/c2/c30834/202512/t20251227_450708.html</t>
        </is>
      </c>
      <c r="K14" s="21" t="inlineStr">
        <is>
          <t>2026-10-06</t>
        </is>
      </c>
      <c r="L14" s="16" t="inlineStr">
        <is>
          <t>제53조 경영허가제·제54조 경영 조건·제56조 저장·제122조 수출입</t>
        </is>
      </c>
      <c r="M14" s="16" t="inlineStr">
        <is>
          <t>조문 번호는 검색 요약 기준 — 원문 대조 필요</t>
        </is>
      </c>
      <c r="N14" s="23" t="inlineStr">
        <is>
          <t>공식 출처·요약 확인</t>
        </is>
      </c>
    </row>
    <row r="15">
      <c r="A15" s="21" t="inlineStr">
        <is>
          <t>SRC-010</t>
        </is>
      </c>
      <c r="B15" s="16" t="inlineStr">
        <is>
          <t>危险化学品经营许可证管理办法 (原安监总局令第55号, 2015修正)</t>
        </is>
      </c>
      <c r="C15" s="21" t="inlineStr">
        <is>
          <t>应急管理部(原安监总局)</t>
        </is>
      </c>
      <c r="D15" s="21" t="inlineStr">
        <is>
          <t>부문규장</t>
        </is>
      </c>
      <c r="E15" s="21" t="inlineStr">
        <is>
          <t>공식</t>
        </is>
      </c>
      <c r="F15" s="21" t="inlineStr">
        <is>
          <t>전국</t>
        </is>
      </c>
      <c r="G15" s="21" t="inlineStr">
        <is>
          <t>2012-07-17</t>
        </is>
      </c>
      <c r="H15" s="21" t="inlineStr">
        <is>
          <t>2012-09-01</t>
        </is>
      </c>
      <c r="I15" s="21" t="inlineStr">
        <is>
          <t>현행 (신법 시행 후 개정 여부 확인 필요)</t>
        </is>
      </c>
      <c r="J15" s="22" t="inlineStr">
        <is>
          <t>https://www.mem.gov.cn/gk/gwgg/agwzlfl/zjl_01/201505/t20150527_233724.shtml</t>
        </is>
      </c>
      <c r="K15" s="21" t="inlineStr">
        <is>
          <t>2026-10-06</t>
        </is>
      </c>
      <c r="L15" s="16" t="inlineStr">
        <is>
          <t>제6조 기본 조건·발급 기관·유효기간 3년</t>
        </is>
      </c>
      <c r="M15" s="16" t="inlineStr">
        <is>
          <t>위험화학품안전법 하위 규정 정비 여부 확인</t>
        </is>
      </c>
      <c r="N15" s="23" t="inlineStr">
        <is>
          <t>공식 출처·요약 확인</t>
        </is>
      </c>
    </row>
    <row r="16">
      <c r="A16" s="21" t="inlineStr">
        <is>
          <t>SRC-011</t>
        </is>
      </c>
      <c r="B16" s="16" t="inlineStr">
        <is>
          <t>无锡市危险化学品经营许可工作实施细则（试行）</t>
        </is>
      </c>
      <c r="C16" s="21" t="inlineStr">
        <is>
          <t>无锡市应急管理局·无锡市行政审批局</t>
        </is>
      </c>
      <c r="D16" s="21" t="inlineStr">
        <is>
          <t>지방 규범성 문건</t>
        </is>
      </c>
      <c r="E16" s="21" t="inlineStr">
        <is>
          <t>공식</t>
        </is>
      </c>
      <c r="F16" s="21" t="inlineStr">
        <is>
          <t>무석시</t>
        </is>
      </c>
      <c r="G16" s="21" t="inlineStr">
        <is>
          <t>2023-03-22</t>
        </is>
      </c>
      <c r="H16" s="21" t="inlineStr">
        <is>
          <t>2023</t>
        </is>
      </c>
      <c r="I16" s="21" t="inlineStr">
        <is>
          <t>시행 (试行)</t>
        </is>
      </c>
      <c r="J16" s="22" t="inlineStr">
        <is>
          <t>http://yjglj.wuxi.gov.cn/doc/2023/03/22/3913243.shtml</t>
        </is>
      </c>
      <c r="K16" s="21" t="inlineStr">
        <is>
          <t>2026-10-06</t>
        </is>
      </c>
      <c r="L16" s="16" t="inlineStr">
        <is>
          <t>경영 방식: 무저장·유저장·임차저장·주유소</t>
        </is>
      </c>
      <c r="M16" s="16" t="inlineStr">
        <is>
          <t>세부 조건은 원문 대조 필요</t>
        </is>
      </c>
      <c r="N16" s="23" t="inlineStr">
        <is>
          <t>공식 출처·요약 확인</t>
        </is>
      </c>
    </row>
    <row r="17">
      <c r="A17" s="21" t="inlineStr">
        <is>
          <t>SRC-012</t>
        </is>
      </c>
      <c r="B17" s="16" t="inlineStr">
        <is>
          <t>南京市危险化学品经营许可工作实施细则（试行）</t>
        </is>
      </c>
      <c r="C17" s="21" t="inlineStr">
        <is>
          <t>南京市应急管理局</t>
        </is>
      </c>
      <c r="D17" s="21" t="inlineStr">
        <is>
          <t>지방 규범성 문건</t>
        </is>
      </c>
      <c r="E17" s="21" t="inlineStr">
        <is>
          <t>공식</t>
        </is>
      </c>
      <c r="F17" s="21" t="inlineStr">
        <is>
          <t>난징시</t>
        </is>
      </c>
      <c r="G17" s="21" t="inlineStr">
        <is>
          <t>2022-01-17</t>
        </is>
      </c>
      <c r="H17" s="21" t="inlineStr">
        <is>
          <t>2022</t>
        </is>
      </c>
      <c r="I17" s="21" t="inlineStr">
        <is>
          <t>시행 (试行)</t>
        </is>
      </c>
      <c r="J17" s="22" t="inlineStr">
        <is>
          <t>http://safety.nanjing.gov.cn/njsaqscjdglj/202201/t20220117_3263584.html</t>
        </is>
      </c>
      <c r="K17" s="21" t="inlineStr">
        <is>
          <t>2026-10-06</t>
        </is>
      </c>
      <c r="L17" s="16" t="inlineStr">
        <is>
          <t>경영 방식·심사 권한</t>
        </is>
      </c>
      <c r="M17" s="16" t="inlineStr"/>
      <c r="N17" s="23" t="inlineStr">
        <is>
          <t>공식 출처·요약 확인</t>
        </is>
      </c>
    </row>
    <row r="18">
      <c r="A18" s="21" t="inlineStr">
        <is>
          <t>SRC-013</t>
        </is>
      </c>
      <c r="B18" s="16" t="inlineStr">
        <is>
          <t>省政府关于公布江苏省化工园区认定复核通过名单（第一批）的通知</t>
        </is>
      </c>
      <c r="C18" s="21" t="inlineStr">
        <is>
          <t>江苏省人民政府</t>
        </is>
      </c>
      <c r="D18" s="21" t="inlineStr">
        <is>
          <t>공고</t>
        </is>
      </c>
      <c r="E18" s="21" t="inlineStr">
        <is>
          <t>공식</t>
        </is>
      </c>
      <c r="F18" s="21" t="inlineStr">
        <is>
          <t>강소성</t>
        </is>
      </c>
      <c r="G18" s="21" t="inlineStr">
        <is>
          <t>2023-06-02</t>
        </is>
      </c>
      <c r="H18" s="21" t="inlineStr">
        <is>
          <t>2023-06-02</t>
        </is>
      </c>
      <c r="I18" s="21" t="inlineStr">
        <is>
          <t>현행 (2차 명단 별도)</t>
        </is>
      </c>
      <c r="J18" s="22" t="inlineStr">
        <is>
          <t>http://www.jiangsu.gov.cn/art/2023/6/2/art_46143_10911831.html</t>
        </is>
      </c>
      <c r="K18" s="21" t="inlineStr">
        <is>
          <t>2026-10-06</t>
        </is>
      </c>
      <c r="L18" s="16" t="inlineStr">
        <is>
          <t>인정 화공원구 23곳</t>
        </is>
      </c>
      <c r="M18" s="16" t="inlineStr">
        <is>
          <t>2차 명단(苏政发〔2023〕115号) 원문 미확보</t>
        </is>
      </c>
      <c r="N18" s="23" t="inlineStr">
        <is>
          <t>공식 출처·요약 확인</t>
        </is>
      </c>
    </row>
    <row r="19">
      <c r="A19" s="21" t="inlineStr">
        <is>
          <t>SRC-014</t>
        </is>
      </c>
      <c r="B19" s="16" t="inlineStr">
        <is>
          <t>江苏省化工园区管理办法</t>
        </is>
      </c>
      <c r="C19" s="21" t="inlineStr">
        <is>
          <t>江苏省人民政府</t>
        </is>
      </c>
      <c r="D19" s="21" t="inlineStr">
        <is>
          <t>지방정부 규범</t>
        </is>
      </c>
      <c r="E19" s="21" t="inlineStr">
        <is>
          <t>공식</t>
        </is>
      </c>
      <c r="F19" s="21" t="inlineStr">
        <is>
          <t>강소성</t>
        </is>
      </c>
      <c r="G19" s="21" t="inlineStr">
        <is>
          <t>2023-12-25</t>
        </is>
      </c>
      <c r="H19" s="21" t="inlineStr">
        <is>
          <t>2024</t>
        </is>
      </c>
      <c r="I19" s="21" t="inlineStr">
        <is>
          <t>현행</t>
        </is>
      </c>
      <c r="J19" s="22" t="inlineStr">
        <is>
          <t>https://www.jiangsu.gov.cn/art/2023/12/25/art_46143_11108896.html</t>
        </is>
      </c>
      <c r="K19" s="21" t="inlineStr">
        <is>
          <t>2026-10-06</t>
        </is>
      </c>
      <c r="L19" s="16" t="inlineStr">
        <is>
          <t>원구 내 생산·저장 구역 분리</t>
        </is>
      </c>
      <c r="M19" s="16" t="inlineStr"/>
      <c r="N19" s="23" t="inlineStr">
        <is>
          <t>공식 출처·요약 확인</t>
        </is>
      </c>
    </row>
    <row r="20">
      <c r="A20" s="21" t="inlineStr">
        <is>
          <t>SRC-015</t>
        </is>
      </c>
      <c r="B20" s="16" t="inlineStr">
        <is>
          <t>江苏省化工产业结构调整限制和淘汰目录（2025年本）</t>
        </is>
      </c>
      <c r="C20" s="21" t="inlineStr">
        <is>
          <t>江苏省人民政府办公厅</t>
        </is>
      </c>
      <c r="D20" s="21" t="inlineStr">
        <is>
          <t>목록</t>
        </is>
      </c>
      <c r="E20" s="21" t="inlineStr">
        <is>
          <t>공식</t>
        </is>
      </c>
      <c r="F20" s="21" t="inlineStr">
        <is>
          <t>강소성</t>
        </is>
      </c>
      <c r="G20" s="21" t="inlineStr">
        <is>
          <t>2025</t>
        </is>
      </c>
      <c r="H20" s="21" t="inlineStr">
        <is>
          <t>2026-01-24</t>
        </is>
      </c>
      <c r="I20" s="21" t="inlineStr">
        <is>
          <t>현행 (2031-01-23까지)</t>
        </is>
      </c>
      <c r="J20" s="22" t="inlineStr">
        <is>
          <t>https://hgt.cirs-group.com/lawinfo/detail/f8n5oq59uayo</t>
        </is>
      </c>
      <c r="K20" s="21" t="inlineStr">
        <is>
          <t>2026-10-06</t>
        </is>
      </c>
      <c r="L20" s="16" t="inlineStr">
        <is>
          <t>화공 프로젝트 제한·도태</t>
        </is>
      </c>
      <c r="M20" s="16" t="inlineStr">
        <is>
          <t>제조 활동(F안) 검토 시 확인</t>
        </is>
      </c>
      <c r="N20" s="23" t="inlineStr">
        <is>
          <t>공식 출처·요약 확인</t>
        </is>
      </c>
    </row>
    <row r="21">
      <c r="A21" s="21" t="inlineStr">
        <is>
          <t>SRC-016</t>
        </is>
      </c>
      <c r="B21" s="16" t="inlineStr">
        <is>
          <t>危险化学品登记管理办法 (原安监总局令第53号)</t>
        </is>
      </c>
      <c r="C21" s="21" t="inlineStr">
        <is>
          <t>应急管理部(原安监总局)</t>
        </is>
      </c>
      <c r="D21" s="21" t="inlineStr">
        <is>
          <t>부문규장</t>
        </is>
      </c>
      <c r="E21" s="21" t="inlineStr">
        <is>
          <t>공식</t>
        </is>
      </c>
      <c r="F21" s="21" t="inlineStr">
        <is>
          <t>전국</t>
        </is>
      </c>
      <c r="G21" s="21" t="inlineStr">
        <is>
          <t>2012-07-01</t>
        </is>
      </c>
      <c r="H21" s="21" t="inlineStr">
        <is>
          <t>2012-08-01</t>
        </is>
      </c>
      <c r="I21" s="21" t="inlineStr">
        <is>
          <t>현행 (신법 하위 정비 확인)</t>
        </is>
      </c>
      <c r="J21" s="22" t="inlineStr">
        <is>
          <t>https://www.expcenter.chemeng.tsinghua.edu.cn/Standards/国内化学品安全管理相关法规标准/部门规章/部门规章/危险化学品登记管理办法-总局令53号.docx</t>
        </is>
      </c>
      <c r="K21" s="21" t="inlineStr">
        <is>
          <t>2026-10-06</t>
        </is>
      </c>
      <c r="L21" s="16" t="inlineStr">
        <is>
          <t>생산·수입기업의 위험화학품 등록(최초 수입 전)</t>
        </is>
      </c>
      <c r="M21" s="16" t="inlineStr">
        <is>
          <t>청화대 자료실 사본</t>
        </is>
      </c>
      <c r="N21" s="23" t="inlineStr">
        <is>
          <t>공식 출처·요약 확인</t>
        </is>
      </c>
    </row>
    <row r="22">
      <c r="A22" s="21" t="inlineStr">
        <is>
          <t>SRC-017</t>
        </is>
      </c>
      <c r="B22" s="16" t="inlineStr">
        <is>
          <t>海关总署公告2020年第129号 (进出口危险化学品及其包装检验)</t>
        </is>
      </c>
      <c r="C22" s="21" t="inlineStr">
        <is>
          <t>海关总署</t>
        </is>
      </c>
      <c r="D22" s="21" t="inlineStr">
        <is>
          <t>공고</t>
        </is>
      </c>
      <c r="E22" s="21" t="inlineStr">
        <is>
          <t>공식</t>
        </is>
      </c>
      <c r="F22" s="21" t="inlineStr">
        <is>
          <t>전국</t>
        </is>
      </c>
      <c r="G22" s="21" t="inlineStr">
        <is>
          <t>2020-12</t>
        </is>
      </c>
      <c r="H22" s="21" t="inlineStr">
        <is>
          <t>2021-01-10</t>
        </is>
      </c>
      <c r="I22" s="21" t="inlineStr">
        <is>
          <t>현행</t>
        </is>
      </c>
      <c r="J22" s="22" t="inlineStr">
        <is>
          <t>https://www.cirs-group.com/cn/chemicals/shang-pin-jian-yan-jin-kou-wei-xian-hua-xue-pin-tong-guan-tips</t>
        </is>
      </c>
      <c r="K22" s="21" t="inlineStr">
        <is>
          <t>2026-10-06</t>
        </is>
      </c>
      <c r="L22" s="16" t="inlineStr">
        <is>
          <t>수입 신고 항목·적합성 성명·중문 SDS/라벨</t>
        </is>
      </c>
      <c r="M22" s="16" t="inlineStr">
        <is>
          <t>CIRS 해설 경유</t>
        </is>
      </c>
      <c r="N22" s="23" t="inlineStr">
        <is>
          <t>공식 출처·요약 확인</t>
        </is>
      </c>
    </row>
    <row r="23">
      <c r="A23" s="21" t="inlineStr">
        <is>
          <t>SRC-018</t>
        </is>
      </c>
      <c r="B23" s="16" t="inlineStr">
        <is>
          <t>GB 15603-2022 危险化学品仓库储存通则</t>
        </is>
      </c>
      <c r="C23" s="21" t="inlineStr">
        <is>
          <t>国家市场监督管理总局·国家标准化管理委员会</t>
        </is>
      </c>
      <c r="D23" s="21" t="inlineStr">
        <is>
          <t>강제 국가표준</t>
        </is>
      </c>
      <c r="E23" s="21" t="inlineStr">
        <is>
          <t>공식</t>
        </is>
      </c>
      <c r="F23" s="21" t="inlineStr">
        <is>
          <t>전국</t>
        </is>
      </c>
      <c r="G23" s="21" t="inlineStr">
        <is>
          <t>2022-12-29</t>
        </is>
      </c>
      <c r="H23" s="21" t="inlineStr">
        <is>
          <t>2023-07-01</t>
        </is>
      </c>
      <c r="I23" s="21" t="inlineStr">
        <is>
          <t>현행</t>
        </is>
      </c>
      <c r="J23" s="22" t="inlineStr">
        <is>
          <t>https://www.cirs-group.com/cn/chemicals/gb-15603-2022-wei-xian-hua-xue-pin-cang-ku-chu-cun-tong-ze-fa-bu-2023-nian-7-yue-1-ri-shi-shi</t>
        </is>
      </c>
      <c r="K23" s="21" t="inlineStr">
        <is>
          <t>2026-10-06</t>
        </is>
      </c>
      <c r="L23" s="16" t="inlineStr">
        <is>
          <t>저장 금기(혼재 금지)·입출고·응급</t>
        </is>
      </c>
      <c r="M23" s="16" t="inlineStr">
        <is>
          <t>표준 원문 구매·열람 필요</t>
        </is>
      </c>
      <c r="N23" s="23" t="inlineStr">
        <is>
          <t>공식 출처·요약 확인</t>
        </is>
      </c>
    </row>
    <row r="24">
      <c r="A24" s="21" t="inlineStr">
        <is>
          <t>SRC-019</t>
        </is>
      </c>
      <c r="B24" s="16" t="inlineStr">
        <is>
          <t>应急管理部等10部门 2026年第3号公告 (危险化学品目录 5종 추가)</t>
        </is>
      </c>
      <c r="C24" s="21" t="inlineStr">
        <is>
          <t>应急管理部 등</t>
        </is>
      </c>
      <c r="D24" s="21" t="inlineStr">
        <is>
          <t>공고</t>
        </is>
      </c>
      <c r="E24" s="21" t="inlineStr">
        <is>
          <t>공식</t>
        </is>
      </c>
      <c r="F24" s="21" t="inlineStr">
        <is>
          <t>전국</t>
        </is>
      </c>
      <c r="G24" s="21" t="inlineStr">
        <is>
          <t>2026-04-16</t>
        </is>
      </c>
      <c r="H24" s="21" t="inlineStr">
        <is>
          <t>2026-04-16</t>
        </is>
      </c>
      <c r="I24" s="21" t="inlineStr">
        <is>
          <t>현행</t>
        </is>
      </c>
      <c r="J24" s="22" t="inlineStr">
        <is>
          <t>https://chemical.chemlinked.com/database/view/2656</t>
        </is>
      </c>
      <c r="K24" s="21" t="inlineStr">
        <is>
          <t>2026-10-06</t>
        </is>
      </c>
      <c r="L24" s="16" t="inlineStr">
        <is>
          <t>목록(2015판) 갱신 방식</t>
        </is>
      </c>
      <c r="M24" s="16" t="inlineStr">
        <is>
          <t>Y·Sc·La 전구체 해당 여부는 별도 판정</t>
        </is>
      </c>
      <c r="N24" s="23" t="inlineStr">
        <is>
          <t>공식 출처·요약 확인</t>
        </is>
      </c>
    </row>
    <row r="25">
      <c r="A25" s="21" t="inlineStr">
        <is>
          <t>SRC-020</t>
        </is>
      </c>
      <c r="B25" s="16" t="inlineStr">
        <is>
          <t>中华人民共和国公司法 (2023修订) 및 국무원 등록자본 관리 규정</t>
        </is>
      </c>
      <c r="C25" s="21" t="inlineStr">
        <is>
          <t>全国人大常委会·国务院</t>
        </is>
      </c>
      <c r="D25" s="21" t="inlineStr">
        <is>
          <t>법률·행정법규</t>
        </is>
      </c>
      <c r="E25" s="21" t="inlineStr">
        <is>
          <t>공식</t>
        </is>
      </c>
      <c r="F25" s="21" t="inlineStr">
        <is>
          <t>전국</t>
        </is>
      </c>
      <c r="G25" s="21" t="inlineStr">
        <is>
          <t>2023-12-29</t>
        </is>
      </c>
      <c r="H25" s="21" t="inlineStr">
        <is>
          <t>2024-07-01</t>
        </is>
      </c>
      <c r="I25" s="21" t="inlineStr">
        <is>
          <t>현행</t>
        </is>
      </c>
      <c r="J25" s="22" t="inlineStr">
        <is>
          <t>https://paper.people.com.cn/rmrbwap/html/2024-07/02/nw.D110000renmrb_20240702_1-15.htm</t>
        </is>
      </c>
      <c r="K25" s="21" t="inlineStr">
        <is>
          <t>2026-10-06</t>
        </is>
      </c>
      <c r="L25" s="16" t="inlineStr">
        <is>
          <t>5년 내 납입·법정대표인(이사/경리)·감사 생략</t>
        </is>
      </c>
      <c r="M25" s="16" t="inlineStr"/>
      <c r="N25" s="23" t="inlineStr">
        <is>
          <t>공식 출처·요약 확인</t>
        </is>
      </c>
    </row>
    <row r="26">
      <c r="A26" s="21" t="inlineStr">
        <is>
          <t>SRC-021</t>
        </is>
      </c>
      <c r="B26" s="16" t="inlineStr">
        <is>
          <t>外商投资准入特别管理措施（负面清单）（2024年版）</t>
        </is>
      </c>
      <c r="C26" s="21" t="inlineStr">
        <is>
          <t>国家发展改革委·商务部</t>
        </is>
      </c>
      <c r="D26" s="21" t="inlineStr">
        <is>
          <t>목록</t>
        </is>
      </c>
      <c r="E26" s="21" t="inlineStr">
        <is>
          <t>공식</t>
        </is>
      </c>
      <c r="F26" s="21" t="inlineStr">
        <is>
          <t>전국</t>
        </is>
      </c>
      <c r="G26" s="21" t="inlineStr">
        <is>
          <t>2024-09</t>
        </is>
      </c>
      <c r="H26" s="21" t="inlineStr">
        <is>
          <t>2024-11-01</t>
        </is>
      </c>
      <c r="I26" s="21" t="inlineStr">
        <is>
          <t>현행 (신판 여부 확인)</t>
        </is>
      </c>
      <c r="J26" s="22" t="inlineStr">
        <is>
          <t>https://www.ndrc.gov.cn/xxgk/jd/jd/202409/t20240907_1392878.html</t>
        </is>
      </c>
      <c r="K26" s="21" t="inlineStr">
        <is>
          <t>2026-10-06</t>
        </is>
      </c>
      <c r="L26" s="16" t="inlineStr">
        <is>
          <t>제한 29항목, 제조업 제한 전면 폐지</t>
        </is>
      </c>
      <c r="M26" s="16" t="inlineStr">
        <is>
          <t>화학품 도매가 목록에 없음은 원문 대조 필요</t>
        </is>
      </c>
      <c r="N26" s="23" t="inlineStr">
        <is>
          <t>공식 출처·요약 확인</t>
        </is>
      </c>
    </row>
    <row r="27">
      <c r="A27" s="21" t="inlineStr">
        <is>
          <t>SRC-022</t>
        </is>
      </c>
      <c r="B27" s="16" t="inlineStr">
        <is>
          <t>중국 아포스티유 협약 가입(2023-11-07 발효)</t>
        </is>
      </c>
      <c r="C27" s="21" t="inlineStr">
        <is>
          <t>中华人民共和国外交部</t>
        </is>
      </c>
      <c r="D27" s="21" t="inlineStr">
        <is>
          <t>공보</t>
        </is>
      </c>
      <c r="E27" s="21" t="inlineStr">
        <is>
          <t>공식</t>
        </is>
      </c>
      <c r="F27" s="21" t="inlineStr">
        <is>
          <t>전국</t>
        </is>
      </c>
      <c r="G27" s="21" t="inlineStr">
        <is>
          <t>2023-10-23</t>
        </is>
      </c>
      <c r="H27" s="21" t="inlineStr">
        <is>
          <t>2023-11-07</t>
        </is>
      </c>
      <c r="I27" s="21" t="inlineStr">
        <is>
          <t>현행</t>
        </is>
      </c>
      <c r="J27" s="22" t="inlineStr">
        <is>
          <t>https://www.mfa.gov.cn/web/wjbxw_673019/202310/t20231023_11165858.shtml</t>
        </is>
      </c>
      <c r="K27" s="21" t="inlineStr">
        <is>
          <t>2026-10-06</t>
        </is>
      </c>
      <c r="L27" s="16" t="inlineStr">
        <is>
          <t>영사 인증 → 아포스티유</t>
        </is>
      </c>
      <c r="M27" s="16" t="inlineStr"/>
      <c r="N27" s="23" t="inlineStr">
        <is>
          <t>공식 출처·요약 확인</t>
        </is>
      </c>
    </row>
    <row r="28">
      <c r="A28" s="21" t="inlineStr">
        <is>
          <t>SRC-023</t>
        </is>
      </c>
      <c r="B28" s="16" t="inlineStr">
        <is>
          <t>해외직접투자 신고 (외국환거래법·외국환거래규정)</t>
        </is>
      </c>
      <c r="C28" s="21" t="inlineStr">
        <is>
          <t>외국환은행·언론 해설</t>
        </is>
      </c>
      <c r="D28" s="21" t="inlineStr">
        <is>
          <t>국내 규정 해설</t>
        </is>
      </c>
      <c r="E28" s="21" t="inlineStr">
        <is>
          <t>비공식</t>
        </is>
      </c>
      <c r="F28" s="21" t="inlineStr">
        <is>
          <t>한국</t>
        </is>
      </c>
      <c r="G28" s="21" t="inlineStr">
        <is>
          <t>-</t>
        </is>
      </c>
      <c r="H28" s="21" t="inlineStr">
        <is>
          <t>-</t>
        </is>
      </c>
      <c r="I28" s="21" t="inlineStr">
        <is>
          <t>현행</t>
        </is>
      </c>
      <c r="J28" s="22" t="inlineStr">
        <is>
          <t>https://www.etoday.co.kr/news/view/1619152</t>
        </is>
      </c>
      <c r="K28" s="21" t="inlineStr">
        <is>
          <t>2026-10-06</t>
        </is>
      </c>
      <c r="L28" s="16" t="inlineStr">
        <is>
          <t>사전 신고·송금/증권취득 보고·2025 변경신고 사후화</t>
        </is>
      </c>
      <c r="M28" s="16" t="inlineStr">
        <is>
          <t>지정거래 외국환은행 확인</t>
        </is>
      </c>
      <c r="N28" s="25" t="inlineStr">
        <is>
          <t>언론·기타</t>
        </is>
      </c>
    </row>
    <row r="29">
      <c r="A29" s="21" t="inlineStr">
        <is>
          <t>SRC-024</t>
        </is>
      </c>
      <c r="B29" s="16" t="inlineStr">
        <is>
          <t>2025년 무석시 비사영 단위 평균임금 147,293 CNY</t>
        </is>
      </c>
      <c r="C29" s="21" t="inlineStr">
        <is>
          <t>언론(扬子晚报) 경유 통계</t>
        </is>
      </c>
      <c r="D29" s="21" t="inlineStr">
        <is>
          <t>통계 보도</t>
        </is>
      </c>
      <c r="E29" s="21" t="inlineStr">
        <is>
          <t>비공식</t>
        </is>
      </c>
      <c r="F29" s="21" t="inlineStr">
        <is>
          <t>무석시</t>
        </is>
      </c>
      <c r="G29" s="21" t="inlineStr">
        <is>
          <t>2026</t>
        </is>
      </c>
      <c r="H29" s="21" t="inlineStr">
        <is>
          <t>-</t>
        </is>
      </c>
      <c r="I29" s="21" t="inlineStr">
        <is>
          <t>-</t>
        </is>
      </c>
      <c r="J29" s="22" t="inlineStr">
        <is>
          <t>https://www.yzwb.net/news/jiangsu/202607/t20260716_372860.html</t>
        </is>
      </c>
      <c r="K29" s="21" t="inlineStr">
        <is>
          <t>2026-10-06</t>
        </is>
      </c>
      <c r="L29" s="16" t="inlineStr">
        <is>
          <t>인건비 가정 근거</t>
        </is>
      </c>
      <c r="M29" s="16" t="inlineStr">
        <is>
          <t>통계국 원자료 대조</t>
        </is>
      </c>
      <c r="N29" s="25" t="inlineStr">
        <is>
          <t>언론·기타</t>
        </is>
      </c>
    </row>
    <row r="30">
      <c r="A30" s="21" t="inlineStr">
        <is>
          <t>SRC-025</t>
        </is>
      </c>
      <c r="B30" s="16" t="inlineStr">
        <is>
          <t>2025년 강소성 사회보험 납부기수 상한 24,762 / 하한 4,952 CNY/월</t>
        </is>
      </c>
      <c r="C30" s="21" t="inlineStr">
        <is>
          <t>国家税务总局江苏省税务局(검색 요약)</t>
        </is>
      </c>
      <c r="D30" s="21" t="inlineStr">
        <is>
          <t>공고</t>
        </is>
      </c>
      <c r="E30" s="21" t="inlineStr">
        <is>
          <t>공식</t>
        </is>
      </c>
      <c r="F30" s="21" t="inlineStr">
        <is>
          <t>강소성</t>
        </is>
      </c>
      <c r="G30" s="21" t="inlineStr">
        <is>
          <t>2025</t>
        </is>
      </c>
      <c r="H30" s="21" t="inlineStr">
        <is>
          <t>2025-01-01</t>
        </is>
      </c>
      <c r="I30" s="21" t="inlineStr">
        <is>
          <t>2025년 기준 (2026년 기수 미확인)</t>
        </is>
      </c>
      <c r="J30" s="22" t="inlineStr">
        <is>
          <t>https://jiangsu.chinatax.gov.cn/art/2026/1/9/art_8274_1695385.html</t>
        </is>
      </c>
      <c r="K30" s="21" t="inlineStr">
        <is>
          <t>2026-10-06</t>
        </is>
      </c>
      <c r="L30" s="16" t="inlineStr">
        <is>
          <t>사회보험 기수</t>
        </is>
      </c>
      <c r="M30" s="16" t="inlineStr">
        <is>
          <t>2026년 기수 공고 확인 필요</t>
        </is>
      </c>
      <c r="N30" s="23" t="inlineStr">
        <is>
          <t>공식 출처·요약 확인</t>
        </is>
      </c>
    </row>
    <row r="31">
      <c r="A31" s="21" t="inlineStr">
        <is>
          <t>SRC-026</t>
        </is>
      </c>
      <c r="B31" s="16" t="inlineStr">
        <is>
          <t>CNY/KRW 환율 1 CNY = 204 KRW (2026-09-01)</t>
        </is>
      </c>
      <c r="C31" s="21" t="inlineStr">
        <is>
          <t>XE 환율 (검색 요약)</t>
        </is>
      </c>
      <c r="D31" s="21" t="inlineStr">
        <is>
          <t>시장 환율</t>
        </is>
      </c>
      <c r="E31" s="21" t="inlineStr">
        <is>
          <t>비공식</t>
        </is>
      </c>
      <c r="F31" s="21" t="inlineStr">
        <is>
          <t>-</t>
        </is>
      </c>
      <c r="G31" s="21" t="inlineStr">
        <is>
          <t>2026-09-01</t>
        </is>
      </c>
      <c r="H31" s="21" t="inlineStr">
        <is>
          <t>-</t>
        </is>
      </c>
      <c r="I31" s="21" t="inlineStr">
        <is>
          <t>-</t>
        </is>
      </c>
      <c r="J31" s="22" t="inlineStr">
        <is>
          <t>https://xe.soft9.us/convert/cny-to-krw</t>
        </is>
      </c>
      <c r="K31" s="21" t="inlineStr">
        <is>
          <t>2026-10-06</t>
        </is>
      </c>
      <c r="L31" s="16" t="inlineStr">
        <is>
          <t>환산 가정</t>
        </is>
      </c>
      <c r="M31" s="16" t="inlineStr">
        <is>
          <t>의사결정 시점 고시환율로 교체</t>
        </is>
      </c>
      <c r="N31" s="25" t="inlineStr">
        <is>
          <t>언론·기타</t>
        </is>
      </c>
    </row>
    <row r="32">
      <c r="A32" s="21" t="inlineStr">
        <is>
          <t>SRC-027</t>
        </is>
      </c>
      <c r="B32" s="16" t="inlineStr">
        <is>
          <t>长鑫存储 등록 주소 (合肥经开区空港工业园兴业大道388号)</t>
        </is>
      </c>
      <c r="C32" s="21" t="inlineStr">
        <is>
          <t>언론·기업정보 (검색 요약)</t>
        </is>
      </c>
      <c r="D32" s="21" t="inlineStr">
        <is>
          <t>기업 정보</t>
        </is>
      </c>
      <c r="E32" s="21" t="inlineStr">
        <is>
          <t>비공식</t>
        </is>
      </c>
      <c r="F32" s="21" t="inlineStr">
        <is>
          <t>허페이</t>
        </is>
      </c>
      <c r="G32" s="21" t="inlineStr">
        <is>
          <t>-</t>
        </is>
      </c>
      <c r="H32" s="21" t="inlineStr">
        <is>
          <t>-</t>
        </is>
      </c>
      <c r="I32" s="21" t="inlineStr">
        <is>
          <t>-</t>
        </is>
      </c>
      <c r="J32" s="22" t="inlineStr">
        <is>
          <t>https://www.cls.cn/detail/2331445</t>
        </is>
      </c>
      <c r="K32" s="21" t="inlineStr">
        <is>
          <t>2026-10-06</t>
        </is>
      </c>
      <c r="L32" s="16" t="inlineStr">
        <is>
          <t>고객 위치</t>
        </is>
      </c>
      <c r="M32" s="16" t="inlineStr">
        <is>
          <t>공장 위치는 고객 확인</t>
        </is>
      </c>
      <c r="N32" s="25" t="inlineStr">
        <is>
          <t>언론·기타</t>
        </is>
      </c>
    </row>
    <row r="33">
      <c r="A33" s="21" t="inlineStr">
        <is>
          <t>SRC-028</t>
        </is>
      </c>
      <c r="B33" s="16" t="inlineStr">
        <is>
          <t>长江存储 주소 (武汉东湖新技术开发区未来三路88号)</t>
        </is>
      </c>
      <c r="C33" s="21" t="inlineStr">
        <is>
          <t>언론·기업정보 (검색 요약)</t>
        </is>
      </c>
      <c r="D33" s="21" t="inlineStr">
        <is>
          <t>기업 정보</t>
        </is>
      </c>
      <c r="E33" s="21" t="inlineStr">
        <is>
          <t>비공식</t>
        </is>
      </c>
      <c r="F33" s="21" t="inlineStr">
        <is>
          <t>우한</t>
        </is>
      </c>
      <c r="G33" s="21" t="inlineStr">
        <is>
          <t>-</t>
        </is>
      </c>
      <c r="H33" s="21" t="inlineStr">
        <is>
          <t>-</t>
        </is>
      </c>
      <c r="I33" s="21" t="inlineStr">
        <is>
          <t>-</t>
        </is>
      </c>
      <c r="J33" s="22" t="inlineStr">
        <is>
          <t>https://www.ithome.com/0/913/335.htm</t>
        </is>
      </c>
      <c r="K33" s="21" t="inlineStr">
        <is>
          <t>2026-10-06</t>
        </is>
      </c>
      <c r="L33" s="16" t="inlineStr">
        <is>
          <t>고객 위치</t>
        </is>
      </c>
      <c r="M33" s="16" t="inlineStr"/>
      <c r="N33" s="25" t="inlineStr">
        <is>
          <t>언론·기타</t>
        </is>
      </c>
    </row>
    <row r="34">
      <c r="A34" s="21" t="inlineStr">
        <is>
          <t>SRC-029</t>
        </is>
      </c>
      <c r="B34" s="16" t="inlineStr">
        <is>
          <t>SK海力士 无锡 (新吴区) 공장</t>
        </is>
      </c>
      <c r="C34" s="21" t="inlineStr">
        <is>
          <t>언론 (검색 요약)</t>
        </is>
      </c>
      <c r="D34" s="21" t="inlineStr">
        <is>
          <t>기업 정보</t>
        </is>
      </c>
      <c r="E34" s="21" t="inlineStr">
        <is>
          <t>비공식</t>
        </is>
      </c>
      <c r="F34" s="21" t="inlineStr">
        <is>
          <t>무석</t>
        </is>
      </c>
      <c r="G34" s="21" t="inlineStr">
        <is>
          <t>-</t>
        </is>
      </c>
      <c r="H34" s="21" t="inlineStr">
        <is>
          <t>-</t>
        </is>
      </c>
      <c r="I34" s="21" t="inlineStr">
        <is>
          <t>-</t>
        </is>
      </c>
      <c r="J34" s="22" t="inlineStr">
        <is>
          <t>https://tech.ifeng.com/c/8t4IS42CqqC</t>
        </is>
      </c>
      <c r="K34" s="21" t="inlineStr">
        <is>
          <t>2026-10-06</t>
        </is>
      </c>
      <c r="L34" s="16" t="inlineStr">
        <is>
          <t>고객 위치</t>
        </is>
      </c>
      <c r="M34" s="16" t="inlineStr">
        <is>
          <t>정확한 반입 주소는 고객 확인</t>
        </is>
      </c>
      <c r="N34" s="25" t="inlineStr">
        <is>
          <t>언론·기타</t>
        </is>
      </c>
    </row>
    <row r="35">
      <c r="A35" s="21" t="inlineStr">
        <is>
          <t>SRC-030</t>
        </is>
      </c>
      <c r="B35" s="16" t="inlineStr">
        <is>
          <t>扬子江国际化学工业园 — 위험화학품 부두·보세 위험품 창고</t>
        </is>
      </c>
      <c r="C35" s="21" t="inlineStr">
        <is>
          <t>扬子晚报</t>
        </is>
      </c>
      <c r="D35" s="21" t="inlineStr">
        <is>
          <t>언론</t>
        </is>
      </c>
      <c r="E35" s="21" t="inlineStr">
        <is>
          <t>비공식</t>
        </is>
      </c>
      <c r="F35" s="21" t="inlineStr">
        <is>
          <t>장자강</t>
        </is>
      </c>
      <c r="G35" s="21" t="inlineStr">
        <is>
          <t>2025-10-09</t>
        </is>
      </c>
      <c r="H35" s="21" t="inlineStr">
        <is>
          <t>-</t>
        </is>
      </c>
      <c r="I35" s="21" t="inlineStr">
        <is>
          <t>-</t>
        </is>
      </c>
      <c r="J35" s="22" t="inlineStr">
        <is>
          <t>https://www.yzwb.net/news/jiangsu/suzhou/202510/t20251009_274315.html</t>
        </is>
      </c>
      <c r="K35" s="21" t="inlineStr">
        <is>
          <t>2026-10-06</t>
        </is>
      </c>
      <c r="L35" s="16" t="inlineStr">
        <is>
          <t>부두 5개·컨테이너 부두 2개·보세 위험품 창고</t>
        </is>
      </c>
      <c r="M35" s="16" t="inlineStr">
        <is>
          <t>취급 품목은 운영사 확인</t>
        </is>
      </c>
      <c r="N35" s="25" t="inlineStr">
        <is>
          <t>언론·기타</t>
        </is>
      </c>
    </row>
    <row r="36">
      <c r="A36" s="21" t="inlineStr">
        <is>
          <t>SRC-031</t>
        </is>
      </c>
      <c r="B36" s="16" t="inlineStr">
        <is>
          <t>上海市危险化学品安全管理办法</t>
        </is>
      </c>
      <c r="C36" s="21" t="inlineStr">
        <is>
          <t>上海市人民政府</t>
        </is>
      </c>
      <c r="D36" s="21" t="inlineStr">
        <is>
          <t>지방정부 규장</t>
        </is>
      </c>
      <c r="E36" s="21" t="inlineStr">
        <is>
          <t>공식</t>
        </is>
      </c>
      <c r="F36" s="21" t="inlineStr">
        <is>
          <t>상하이</t>
        </is>
      </c>
      <c r="G36" s="21" t="inlineStr">
        <is>
          <t>2023-07-14</t>
        </is>
      </c>
      <c r="H36" s="21" t="inlineStr">
        <is>
          <t>2023</t>
        </is>
      </c>
      <c r="I36" s="21" t="inlineStr">
        <is>
          <t>현행</t>
        </is>
      </c>
      <c r="J36" s="22" t="inlineStr">
        <is>
          <t>https://www.shanghai.gov.cn/xxzfgzwj/20230714/bb4d7f393a07460dba9a6ca6952808b5.html</t>
        </is>
      </c>
      <c r="K36" s="21" t="inlineStr">
        <is>
          <t>2026-10-06</t>
        </is>
      </c>
      <c r="L36" s="16" t="inlineStr">
        <is>
          <t>상하이 경영·저장 관리</t>
        </is>
      </c>
      <c r="M36" s="16" t="inlineStr"/>
      <c r="N36" s="23" t="inlineStr">
        <is>
          <t>공식 출처·요약 확인</t>
        </is>
      </c>
    </row>
    <row r="37">
      <c r="A37" s="21" t="inlineStr">
        <is>
          <t>SRC-032</t>
        </is>
      </c>
      <c r="B37" s="16" t="inlineStr">
        <is>
          <t>上海 危险化学品经营（仓储）许可 新增品名 申请 指引</t>
        </is>
      </c>
      <c r="C37" s="21" t="inlineStr">
        <is>
          <t>上海市应急管理局</t>
        </is>
      </c>
      <c r="D37" s="21" t="inlineStr">
        <is>
          <t>업무 안내</t>
        </is>
      </c>
      <c r="E37" s="21" t="inlineStr">
        <is>
          <t>공식</t>
        </is>
      </c>
      <c r="F37" s="21" t="inlineStr">
        <is>
          <t>상하이</t>
        </is>
      </c>
      <c r="G37" s="21" t="inlineStr">
        <is>
          <t>2026</t>
        </is>
      </c>
      <c r="H37" s="21" t="inlineStr">
        <is>
          <t>-</t>
        </is>
      </c>
      <c r="I37" s="21" t="inlineStr">
        <is>
          <t>현행</t>
        </is>
      </c>
      <c r="J37" s="22" t="inlineStr">
        <is>
          <t>https://yjglj.sh.gov.cn/cmsres/f5/f5b6c42ed8f445139addf137cc66d4f4/41ec57d5581db3a1f595d4f1a8f907a2.pdf</t>
        </is>
      </c>
      <c r="K37" s="21" t="inlineStr">
        <is>
          <t>2026-10-06</t>
        </is>
      </c>
      <c r="L37" s="16" t="inlineStr">
        <is>
          <t>창고 품목 추가 절차</t>
        </is>
      </c>
      <c r="M37" s="16" t="inlineStr"/>
      <c r="N37" s="23" t="inlineStr">
        <is>
          <t>공식 출처·요약 확인</t>
        </is>
      </c>
    </row>
    <row r="38">
      <c r="A38" s="21" t="inlineStr">
        <is>
          <t>SRC-033</t>
        </is>
      </c>
      <c r="B38" s="16" t="inlineStr">
        <is>
          <t>浙江省 化工园区 (宁波石化·中国化工新材料(嘉兴)·平湖独山港 등)</t>
        </is>
      </c>
      <c r="C38" s="21" t="inlineStr">
        <is>
          <t>前瞻产业研究院 등</t>
        </is>
      </c>
      <c r="D38" s="21" t="inlineStr">
        <is>
          <t>업계 자료</t>
        </is>
      </c>
      <c r="E38" s="21" t="inlineStr">
        <is>
          <t>비공식</t>
        </is>
      </c>
      <c r="F38" s="21" t="inlineStr">
        <is>
          <t>저장성</t>
        </is>
      </c>
      <c r="G38" s="21" t="inlineStr">
        <is>
          <t>2022</t>
        </is>
      </c>
      <c r="H38" s="21" t="inlineStr">
        <is>
          <t>-</t>
        </is>
      </c>
      <c r="I38" s="21" t="inlineStr">
        <is>
          <t>-</t>
        </is>
      </c>
      <c r="J38" s="22" t="inlineStr">
        <is>
          <t>https://www.qianzhan.com/analyst/detail/220/220307-55693c0d.html</t>
        </is>
      </c>
      <c r="K38" s="21" t="inlineStr">
        <is>
          <t>2026-10-06</t>
        </is>
      </c>
      <c r="L38" s="16" t="inlineStr">
        <is>
          <t>후보 원구 명칭</t>
        </is>
      </c>
      <c r="M38" s="16" t="inlineStr">
        <is>
          <t>성 정부 인정 명단 대조 필요</t>
        </is>
      </c>
      <c r="N38" s="25" t="inlineStr">
        <is>
          <t>언론·기타</t>
        </is>
      </c>
    </row>
    <row r="39">
      <c r="A39" s="21" t="inlineStr">
        <is>
          <t>SRC-034</t>
        </is>
      </c>
      <c r="B39" s="16" t="inlineStr">
        <is>
          <t>安徽省 化工园区 2批 39곳 인정 / 위험등급 공고</t>
        </is>
      </c>
      <c r="C39" s="21" t="inlineStr">
        <is>
          <t>安徽省应急管理厅 (검색 요약)</t>
        </is>
      </c>
      <c r="D39" s="21" t="inlineStr">
        <is>
          <t>공고</t>
        </is>
      </c>
      <c r="E39" s="21" t="inlineStr">
        <is>
          <t>공식</t>
        </is>
      </c>
      <c r="F39" s="21" t="inlineStr">
        <is>
          <t>안후이성</t>
        </is>
      </c>
      <c r="G39" s="21" t="inlineStr">
        <is>
          <t>2025-03-06</t>
        </is>
      </c>
      <c r="H39" s="21" t="inlineStr">
        <is>
          <t>-</t>
        </is>
      </c>
      <c r="I39" s="21" t="inlineStr">
        <is>
          <t>-</t>
        </is>
      </c>
      <c r="J39" s="22" t="inlineStr">
        <is>
          <t>https://ahccci.huainan.gov.cn/group4/M00/0F/91/rB40qWfKTXKABLSFAAGhft5x_xU539.pdf</t>
        </is>
      </c>
      <c r="K39" s="21" t="inlineStr">
        <is>
          <t>2026-10-06</t>
        </is>
      </c>
      <c r="L39" s="16" t="inlineStr">
        <is>
          <t>인정 원구 수</t>
        </is>
      </c>
      <c r="M39" s="16" t="inlineStr">
        <is>
          <t>허페이 원구 포함 여부 미확인</t>
        </is>
      </c>
      <c r="N39" s="23" t="inlineStr">
        <is>
          <t>공식 출처·요약 확인</t>
        </is>
      </c>
    </row>
    <row r="40">
      <c r="A40" s="21" t="inlineStr">
        <is>
          <t>SRC-035</t>
        </is>
      </c>
      <c r="B40" s="16" t="inlineStr">
        <is>
          <t>위험화학품 경영허가 심사기한 20 영업일(자유무역시험구 무저장 고지승낙 15 영업일) 사례</t>
        </is>
      </c>
      <c r="C40" s="21" t="inlineStr">
        <is>
          <t>지방정부 (검색 요약)</t>
        </is>
      </c>
      <c r="D40" s="21" t="inlineStr">
        <is>
          <t>업무 안내</t>
        </is>
      </c>
      <c r="E40" s="21" t="inlineStr">
        <is>
          <t>공식</t>
        </is>
      </c>
      <c r="F40" s="21" t="inlineStr">
        <is>
          <t>일부 지역</t>
        </is>
      </c>
      <c r="G40" s="21" t="inlineStr">
        <is>
          <t>-</t>
        </is>
      </c>
      <c r="H40" s="21" t="inlineStr">
        <is>
          <t>-</t>
        </is>
      </c>
      <c r="I40" s="21" t="inlineStr">
        <is>
          <t>-</t>
        </is>
      </c>
      <c r="J40" s="22" t="inlineStr">
        <is>
          <t>https://www.sz.gov.cn/zfgb/2025/gb1390/content/post_12464094.html</t>
        </is>
      </c>
      <c r="K40" s="21" t="inlineStr">
        <is>
          <t>2026-10-06</t>
        </is>
      </c>
      <c r="L40" s="16" t="inlineStr">
        <is>
          <t>처리기한</t>
        </is>
      </c>
      <c r="M40" s="16" t="inlineStr">
        <is>
          <t>강소성·무석 기한은 별도 확인</t>
        </is>
      </c>
      <c r="N40" s="23" t="inlineStr">
        <is>
          <t>공식 출처·요약 확인</t>
        </is>
      </c>
    </row>
    <row r="41">
      <c r="A41" s="21" t="inlineStr">
        <is>
          <t>SRC-036</t>
        </is>
      </c>
      <c r="B41" s="16" t="inlineStr">
        <is>
          <t>신규화학물질 식별정보 보호(기간·연장 최대 5년)</t>
        </is>
      </c>
      <c r="C41" s="21" t="inlineStr">
        <is>
          <t>ChemLinked (생태환경부 공고 해설)</t>
        </is>
      </c>
      <c r="D41" s="21" t="inlineStr">
        <is>
          <t>전문가 해설</t>
        </is>
      </c>
      <c r="E41" s="21" t="inlineStr">
        <is>
          <t>비공식</t>
        </is>
      </c>
      <c r="F41" s="21" t="inlineStr">
        <is>
          <t>전국</t>
        </is>
      </c>
      <c r="G41" s="21" t="inlineStr">
        <is>
          <t>-</t>
        </is>
      </c>
      <c r="H41" s="21" t="inlineStr">
        <is>
          <t>-</t>
        </is>
      </c>
      <c r="I41" s="21" t="inlineStr">
        <is>
          <t>-</t>
        </is>
      </c>
      <c r="J41" s="22" t="inlineStr">
        <is>
          <t>https://chemical.chemlinked.com/news/chemical-news/china-mee-allows-extension-for-cbi-non-disclosure-under-mee-order-no12</t>
        </is>
      </c>
      <c r="K41" s="21" t="inlineStr">
        <is>
          <t>2026-10-06</t>
        </is>
      </c>
      <c r="L41" s="16" t="inlineStr">
        <is>
          <t>정보보호(명칭·CAS 비공개)</t>
        </is>
      </c>
      <c r="M41" s="16" t="inlineStr"/>
      <c r="N41" s="24" t="inlineStr">
        <is>
          <t>전문가 자료</t>
        </is>
      </c>
    </row>
    <row r="42">
      <c r="A42" s="21" t="inlineStr">
        <is>
          <t>SRC-037</t>
        </is>
      </c>
      <c r="B42" s="16" t="inlineStr">
        <is>
          <t>배당 원천징수 10%(조약 시 인하)·배당 재투자 세액공제 10%(2025~2028)</t>
        </is>
      </c>
      <c r="C42" s="21" t="inlineStr">
        <is>
          <t>Fieldfisher</t>
        </is>
      </c>
      <c r="D42" s="21" t="inlineStr">
        <is>
          <t>전문가 해설</t>
        </is>
      </c>
      <c r="E42" s="21" t="inlineStr">
        <is>
          <t>비공식</t>
        </is>
      </c>
      <c r="F42" s="21" t="inlineStr">
        <is>
          <t>전국</t>
        </is>
      </c>
      <c r="G42" s="21" t="inlineStr">
        <is>
          <t>-</t>
        </is>
      </c>
      <c r="H42" s="21" t="inlineStr">
        <is>
          <t>2025-01-01</t>
        </is>
      </c>
      <c r="I42" s="21" t="inlineStr">
        <is>
          <t>-</t>
        </is>
      </c>
      <c r="J42" s="22" t="inlineStr">
        <is>
          <t>https://www.fieldfisher.com/zh-cn/locations/china/见解/有哪些税收优惠政策</t>
        </is>
      </c>
      <c r="K42" s="21" t="inlineStr">
        <is>
          <t>2026-10-06</t>
        </is>
      </c>
      <c r="L42" s="16" t="inlineStr">
        <is>
          <t>이익 회수</t>
        </is>
      </c>
      <c r="M42" s="16" t="inlineStr">
        <is>
          <t>한중 조세조약 세율은 원문 확인</t>
        </is>
      </c>
      <c r="N42" s="24" t="inlineStr">
        <is>
          <t>전문가 자료</t>
        </is>
      </c>
    </row>
    <row r="43">
      <c r="A43" s="21" t="inlineStr">
        <is>
          <t>SRC-038</t>
        </is>
      </c>
      <c r="B43" s="16" t="inlineStr">
        <is>
          <t>苏州 무저장 위험화학품 경영허가 장소 요건 (업체 안내)</t>
        </is>
      </c>
      <c r="C43" s="21" t="inlineStr">
        <is>
          <t>등록대행 업체</t>
        </is>
      </c>
      <c r="D43" s="21" t="inlineStr">
        <is>
          <t>업체 자료</t>
        </is>
      </c>
      <c r="E43" s="21" t="inlineStr">
        <is>
          <t>비공식</t>
        </is>
      </c>
      <c r="F43" s="21" t="inlineStr">
        <is>
          <t>쑤저우</t>
        </is>
      </c>
      <c r="G43" s="21" t="inlineStr">
        <is>
          <t>-</t>
        </is>
      </c>
      <c r="H43" s="21" t="inlineStr">
        <is>
          <t>-</t>
        </is>
      </c>
      <c r="I43" s="21" t="inlineStr">
        <is>
          <t>-</t>
        </is>
      </c>
      <c r="J43" s="22" t="inlineStr">
        <is>
          <t>http://kszhuce8.com/nd.jsp?id=1200</t>
        </is>
      </c>
      <c r="K43" s="21" t="inlineStr">
        <is>
          <t>2026-10-06</t>
        </is>
      </c>
      <c r="L43" s="16" t="inlineStr">
        <is>
          <t>사무 장소 요건</t>
        </is>
      </c>
      <c r="M43" s="16" t="inlineStr">
        <is>
          <t>신뢰도 낮음 — 참고만</t>
        </is>
      </c>
      <c r="N43" s="25" t="inlineStr">
        <is>
          <t>언론·기타</t>
        </is>
      </c>
    </row>
    <row r="44">
      <c r="A44" s="21" t="inlineStr">
        <is>
          <t>SRC-039</t>
        </is>
      </c>
      <c r="B44" s="16" t="inlineStr">
        <is>
          <t>省政府关于公布江苏省化工园区认定复核通过名单（第二批）(苏政发〔2023〕115号)</t>
        </is>
      </c>
      <c r="C44" s="21" t="inlineStr">
        <is>
          <t>江苏省人民政府</t>
        </is>
      </c>
      <c r="D44" s="21" t="inlineStr">
        <is>
          <t>공고</t>
        </is>
      </c>
      <c r="E44" s="21" t="inlineStr">
        <is>
          <t>공식</t>
        </is>
      </c>
      <c r="F44" s="21" t="inlineStr">
        <is>
          <t>강소성</t>
        </is>
      </c>
      <c r="G44" s="21" t="inlineStr">
        <is>
          <t>2023</t>
        </is>
      </c>
      <c r="H44" s="21" t="inlineStr">
        <is>
          <t>-</t>
        </is>
      </c>
      <c r="I44" s="21" t="inlineStr">
        <is>
          <t>현행</t>
        </is>
      </c>
      <c r="J44" s="22" t="inlineStr">
        <is>
          <t>https://www.waizi.org.cn/policy/210128.html</t>
        </is>
      </c>
      <c r="K44" s="21" t="inlineStr">
        <is>
          <t>2026-10-06</t>
        </is>
      </c>
      <c r="L44" s="16" t="inlineStr">
        <is>
          <t>2차 인정 명단</t>
        </is>
      </c>
      <c r="M44" s="16" t="inlineStr">
        <is>
          <t>명단 본문 미확보 — 기관 확인</t>
        </is>
      </c>
      <c r="N44" s="23" t="inlineStr">
        <is>
          <t>공식 출처·요약 확인</t>
        </is>
      </c>
    </row>
    <row r="45">
      <c r="A45" s="21" t="inlineStr">
        <is>
          <t>SRC-040</t>
        </is>
      </c>
      <c r="B45" s="16" t="inlineStr">
        <is>
          <t>简易登记 시험자료 요건(중국 공시생물 생태독성 시험 포함)</t>
        </is>
      </c>
      <c r="C45" s="21" t="inlineStr">
        <is>
          <t>생태환경부 지침 (검색 요약)</t>
        </is>
      </c>
      <c r="D45" s="21" t="inlineStr">
        <is>
          <t>지침</t>
        </is>
      </c>
      <c r="E45" s="21" t="inlineStr">
        <is>
          <t>공식</t>
        </is>
      </c>
      <c r="F45" s="21" t="inlineStr">
        <is>
          <t>전국</t>
        </is>
      </c>
      <c r="G45" s="21" t="inlineStr">
        <is>
          <t>2020</t>
        </is>
      </c>
      <c r="H45" s="21" t="inlineStr">
        <is>
          <t>2021-01-01</t>
        </is>
      </c>
      <c r="I45" s="21" t="inlineStr">
        <is>
          <t>현행 (개정 확인)</t>
        </is>
      </c>
      <c r="J45" s="22" t="inlineStr">
        <is>
          <t>https://www.mee.gov.cn/ywgz/gtfwyhxpgl/hxphjgl/zcfgybzgf/202011/t20201120_808952.shtml</t>
        </is>
      </c>
      <c r="K45" s="21" t="inlineStr">
        <is>
          <t>2026-10-06</t>
        </is>
      </c>
      <c r="L45" s="16" t="inlineStr">
        <is>
          <t>간이등록 자료·중국 내 시험</t>
        </is>
      </c>
      <c r="M45" s="16" t="inlineStr"/>
      <c r="N45" s="23" t="inlineStr">
        <is>
          <t>공식 출처·요약 확인</t>
        </is>
      </c>
    </row>
  </sheetData>
  <hyperlinks>
    <hyperlink xmlns:r="http://schemas.openxmlformats.org/officeDocument/2006/relationships" ref="J6" r:id="rId1"/>
    <hyperlink xmlns:r="http://schemas.openxmlformats.org/officeDocument/2006/relationships" ref="J7" r:id="rId2"/>
    <hyperlink xmlns:r="http://schemas.openxmlformats.org/officeDocument/2006/relationships" ref="J8" r:id="rId3"/>
    <hyperlink xmlns:r="http://schemas.openxmlformats.org/officeDocument/2006/relationships" ref="J9" r:id="rId4"/>
    <hyperlink xmlns:r="http://schemas.openxmlformats.org/officeDocument/2006/relationships" ref="J10" r:id="rId5"/>
    <hyperlink xmlns:r="http://schemas.openxmlformats.org/officeDocument/2006/relationships" ref="J11" r:id="rId6"/>
    <hyperlink xmlns:r="http://schemas.openxmlformats.org/officeDocument/2006/relationships" ref="J12" r:id="rId7"/>
    <hyperlink xmlns:r="http://schemas.openxmlformats.org/officeDocument/2006/relationships" ref="J13" r:id="rId8"/>
    <hyperlink xmlns:r="http://schemas.openxmlformats.org/officeDocument/2006/relationships" ref="J14" r:id="rId9"/>
    <hyperlink xmlns:r="http://schemas.openxmlformats.org/officeDocument/2006/relationships" ref="J15" r:id="rId10"/>
    <hyperlink xmlns:r="http://schemas.openxmlformats.org/officeDocument/2006/relationships" ref="J16" r:id="rId11"/>
    <hyperlink xmlns:r="http://schemas.openxmlformats.org/officeDocument/2006/relationships" ref="J17" r:id="rId12"/>
    <hyperlink xmlns:r="http://schemas.openxmlformats.org/officeDocument/2006/relationships" ref="J18" r:id="rId13"/>
    <hyperlink xmlns:r="http://schemas.openxmlformats.org/officeDocument/2006/relationships" ref="J19" r:id="rId14"/>
    <hyperlink xmlns:r="http://schemas.openxmlformats.org/officeDocument/2006/relationships" ref="J20" r:id="rId15"/>
    <hyperlink xmlns:r="http://schemas.openxmlformats.org/officeDocument/2006/relationships" ref="J21" r:id="rId16"/>
    <hyperlink xmlns:r="http://schemas.openxmlformats.org/officeDocument/2006/relationships" ref="J22" r:id="rId17"/>
    <hyperlink xmlns:r="http://schemas.openxmlformats.org/officeDocument/2006/relationships" ref="J23" r:id="rId18"/>
    <hyperlink xmlns:r="http://schemas.openxmlformats.org/officeDocument/2006/relationships" ref="J24" r:id="rId19"/>
    <hyperlink xmlns:r="http://schemas.openxmlformats.org/officeDocument/2006/relationships" ref="J25" r:id="rId20"/>
    <hyperlink xmlns:r="http://schemas.openxmlformats.org/officeDocument/2006/relationships" ref="J26" r:id="rId21"/>
    <hyperlink xmlns:r="http://schemas.openxmlformats.org/officeDocument/2006/relationships" ref="J27" r:id="rId22"/>
    <hyperlink xmlns:r="http://schemas.openxmlformats.org/officeDocument/2006/relationships" ref="J28" r:id="rId23"/>
    <hyperlink xmlns:r="http://schemas.openxmlformats.org/officeDocument/2006/relationships" ref="J29" r:id="rId24"/>
    <hyperlink xmlns:r="http://schemas.openxmlformats.org/officeDocument/2006/relationships" ref="J30" r:id="rId25"/>
    <hyperlink xmlns:r="http://schemas.openxmlformats.org/officeDocument/2006/relationships" ref="J31" r:id="rId26"/>
    <hyperlink xmlns:r="http://schemas.openxmlformats.org/officeDocument/2006/relationships" ref="J32" r:id="rId27"/>
    <hyperlink xmlns:r="http://schemas.openxmlformats.org/officeDocument/2006/relationships" ref="J33" r:id="rId28"/>
    <hyperlink xmlns:r="http://schemas.openxmlformats.org/officeDocument/2006/relationships" ref="J34" r:id="rId29"/>
    <hyperlink xmlns:r="http://schemas.openxmlformats.org/officeDocument/2006/relationships" ref="J35" r:id="rId30"/>
    <hyperlink xmlns:r="http://schemas.openxmlformats.org/officeDocument/2006/relationships" ref="J36" r:id="rId31"/>
    <hyperlink xmlns:r="http://schemas.openxmlformats.org/officeDocument/2006/relationships" ref="J37" r:id="rId32"/>
    <hyperlink xmlns:r="http://schemas.openxmlformats.org/officeDocument/2006/relationships" ref="J38" r:id="rId33"/>
    <hyperlink xmlns:r="http://schemas.openxmlformats.org/officeDocument/2006/relationships" ref="J39" r:id="rId34"/>
    <hyperlink xmlns:r="http://schemas.openxmlformats.org/officeDocument/2006/relationships" ref="J40" r:id="rId35"/>
    <hyperlink xmlns:r="http://schemas.openxmlformats.org/officeDocument/2006/relationships" ref="J41" r:id="rId36"/>
    <hyperlink xmlns:r="http://schemas.openxmlformats.org/officeDocument/2006/relationships" ref="J42" r:id="rId37"/>
    <hyperlink xmlns:r="http://schemas.openxmlformats.org/officeDocument/2006/relationships" ref="J43" r:id="rId38"/>
    <hyperlink xmlns:r="http://schemas.openxmlformats.org/officeDocument/2006/relationships" ref="J44" r:id="rId39"/>
    <hyperlink xmlns:r="http://schemas.openxmlformats.org/officeDocument/2006/relationships" ref="J45" r:id="rId40"/>
  </hyperlinks>
  <pageMargins left="0.75" right="0.75" top="1" bottom="1" header="0.5" footer="0.5"/>
  <tableParts count="1">
    <tablePart xmlns:r="http://schemas.openxmlformats.org/officeDocument/2006/relationships" r:id="rId41"/>
  </tableParts>
</worksheet>
</file>

<file path=xl/worksheets/sheet4.xml><?xml version="1.0" encoding="utf-8"?>
<worksheet xmlns="http://schemas.openxmlformats.org/spreadsheetml/2006/main">
  <sheetPr>
    <tabColor rgb="002E75B6"/>
    <outlinePr summaryBelow="1" summaryRight="1"/>
    <pageSetUpPr/>
  </sheetPr>
  <dimension ref="A1:J4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6" customWidth="1" min="3" max="3"/>
    <col width="48" customWidth="1" min="4" max="4"/>
    <col width="48" customWidth="1" min="5" max="5"/>
    <col width="18" customWidth="1" min="6" max="6"/>
    <col width="26" customWidth="1" min="7" max="7"/>
    <col width="20" customWidth="1" min="8" max="8"/>
    <col width="18" customWidth="1" min="9" max="9"/>
    <col width="10" customWidth="1" min="10" max="10"/>
  </cols>
  <sheetData>
    <row r="1">
      <c r="A1" s="1" t="inlineStr">
        <is>
          <t>04_EvidenceRaw | 근거 원자료</t>
        </is>
      </c>
    </row>
    <row r="2">
      <c r="A2" s="2" t="inlineStr">
        <is>
          <t>원문 핵심 구절은 짧게(검색 요약에서 확인된 문구). '(요약)' 표시는 원문 문구가 아닌 요약</t>
        </is>
      </c>
    </row>
    <row r="3">
      <c r="A3" s="3" t="inlineStr">
        <is>
          <t>조사 기준일 2026-10-06 · 단위·상태는 각 열 머리글 참조</t>
        </is>
      </c>
    </row>
    <row r="5">
      <c r="A5" s="20" t="inlineStr">
        <is>
          <t>근거 ID</t>
        </is>
      </c>
      <c r="B5" s="20" t="inlineStr">
        <is>
          <t>출처 ID</t>
        </is>
      </c>
      <c r="C5" s="20" t="inlineStr">
        <is>
          <t>조사 질문</t>
        </is>
      </c>
      <c r="D5" s="20" t="inlineStr">
        <is>
          <t>원문 핵심 구절·원자료</t>
        </is>
      </c>
      <c r="E5" s="20" t="inlineStr">
        <is>
          <t>한국어 해석</t>
        </is>
      </c>
      <c r="F5" s="20" t="inlineStr">
        <is>
          <t>적용 대상</t>
        </is>
      </c>
      <c r="G5" s="20" t="inlineStr">
        <is>
          <t>적용 조건</t>
        </is>
      </c>
      <c r="H5" s="20" t="inlineStr">
        <is>
          <t>확인·추정 구분</t>
        </is>
      </c>
      <c r="I5" s="20" t="inlineStr">
        <is>
          <t>연결 제품·도시·허가</t>
        </is>
      </c>
      <c r="J5" s="20" t="inlineStr">
        <is>
          <t>PPT 페이지</t>
        </is>
      </c>
    </row>
    <row r="6">
      <c r="A6" s="21" t="inlineStr">
        <is>
          <t>EVD-001</t>
        </is>
      </c>
      <c r="B6" s="21" t="inlineStr">
        <is>
          <t>SRC-001</t>
        </is>
      </c>
      <c r="C6" s="16" t="inlineStr">
        <is>
          <t>해외 제조자가 등록 신청인이 될 수 있나 (현행)</t>
        </is>
      </c>
      <c r="D6" s="16" t="inlineStr">
        <is>
          <t>境外企业…可以作为申请人…指定在中国境内依法登记…代理人…共同履行</t>
        </is>
      </c>
      <c r="E6" s="16" t="inlineStr">
        <is>
          <t>현행 12호령: 해외 생산자도 중국 내 대리인을 지정하면 신청 가능</t>
        </is>
      </c>
      <c r="F6" s="21" t="inlineStr">
        <is>
          <t>해외 생산·무역 기업</t>
        </is>
      </c>
      <c r="G6" s="16" t="inlineStr">
        <is>
          <t>대리인이 함께 의무·책임 부담</t>
        </is>
      </c>
      <c r="H6" s="23" t="inlineStr">
        <is>
          <t>공식 출처·요약 확인</t>
        </is>
      </c>
      <c r="I6" s="21" t="inlineStr">
        <is>
          <t>등록 주체·G안</t>
        </is>
      </c>
      <c r="J6" s="21" t="inlineStr">
        <is>
          <t>05,10</t>
        </is>
      </c>
    </row>
    <row r="7">
      <c r="A7" s="21" t="inlineStr">
        <is>
          <t>EVD-002</t>
        </is>
      </c>
      <c r="B7" s="21" t="inlineStr">
        <is>
          <t>SRC-004</t>
        </is>
      </c>
      <c r="C7" s="16" t="inlineStr">
        <is>
          <t>개정안에서 신청 주체가 바뀌나</t>
        </is>
      </c>
      <c r="D7" s="16" t="inlineStr">
        <is>
          <t>仅境内…从事新化学物质生产或者进口的企业…作为申请人 (요약)</t>
        </is>
      </c>
      <c r="E7" s="16" t="inlineStr">
        <is>
          <t>개정 초안: 중국 내 생산·수입 기업만 신청인. 해외 기업은 자료 제공만</t>
        </is>
      </c>
      <c r="F7" s="21" t="inlineStr">
        <is>
          <t>신규화학물질 등록 신청인</t>
        </is>
      </c>
      <c r="G7" s="16" t="inlineStr">
        <is>
          <t>개정안 확정 시 (현재 초안 확인)</t>
        </is>
      </c>
      <c r="H7" s="23" t="inlineStr">
        <is>
          <t>공식 출처·요약 확인</t>
        </is>
      </c>
      <c r="I7" s="21" t="inlineStr">
        <is>
          <t>등록 주체·TC 법인 필요성</t>
        </is>
      </c>
      <c r="J7" s="21" t="inlineStr">
        <is>
          <t>02,05,10,23</t>
        </is>
      </c>
    </row>
    <row r="8">
      <c r="A8" s="21" t="inlineStr">
        <is>
          <t>EVD-003</t>
        </is>
      </c>
      <c r="B8" s="21" t="inlineStr">
        <is>
          <t>SRC-005</t>
        </is>
      </c>
      <c r="C8" s="16" t="inlineStr">
        <is>
          <t>备案 제도와 연말 기한</t>
        </is>
      </c>
      <c r="D8" s="16" t="inlineStr">
        <is>
          <t>自2026年8月15日起，停止办理新化学物质环境管理备案…于2026年12月31日前…申请取得登记证</t>
        </is>
      </c>
      <c r="E8" s="16" t="inlineStr">
        <is>
          <t>2026-08-15부터 备案(소량 신고) 접수 중단, 기존 备案 보유자는 12-31까지 등록증 취득</t>
        </is>
      </c>
      <c r="F8" s="21" t="inlineStr">
        <is>
          <t>기존 备案 보유자</t>
        </is>
      </c>
      <c r="G8" s="16" t="inlineStr">
        <is>
          <t>제품이 备案으로 수입돼 왔다면 적용</t>
        </is>
      </c>
      <c r="H8" s="23" t="inlineStr">
        <is>
          <t>공식 출처·요약 확인</t>
        </is>
      </c>
      <c r="I8" s="21" t="inlineStr">
        <is>
          <t>연말 기한</t>
        </is>
      </c>
      <c r="J8" s="21" t="inlineStr">
        <is>
          <t>02,05,26</t>
        </is>
      </c>
    </row>
    <row r="9">
      <c r="A9" s="21" t="inlineStr">
        <is>
          <t>EVD-004</t>
        </is>
      </c>
      <c r="B9" s="21" t="inlineStr">
        <is>
          <t>SRC-005</t>
        </is>
      </c>
      <c r="C9" s="16" t="inlineStr">
        <is>
          <t>备案 대상 물질의 전환 심사 방식</t>
        </is>
      </c>
      <c r="D9" s="16" t="inlineStr">
        <is>
          <t>参照简易登记程序和时限受理并审批</t>
        </is>
      </c>
      <c r="E9" s="16" t="inlineStr">
        <is>
          <t>1톤 미만 등 종전 备案 대상은 간이등록 절차·기한을 준용해 심사</t>
        </is>
      </c>
      <c r="F9" s="21" t="inlineStr">
        <is>
          <t>신규화학물질(소량)</t>
        </is>
      </c>
      <c r="G9" s="16" t="inlineStr">
        <is>
          <t>제출: 신청표·증명자료·보유 위해성 정보</t>
        </is>
      </c>
      <c r="H9" s="23" t="inlineStr">
        <is>
          <t>공식 출처·요약 확인</t>
        </is>
      </c>
      <c r="I9" s="21" t="inlineStr">
        <is>
          <t>등록 일정</t>
        </is>
      </c>
      <c r="J9" s="21" t="inlineStr">
        <is>
          <t>10,26</t>
        </is>
      </c>
    </row>
    <row r="10">
      <c r="A10" s="21" t="inlineStr">
        <is>
          <t>EVD-005</t>
        </is>
      </c>
      <c r="B10" s="21" t="inlineStr">
        <is>
          <t>SRC-008</t>
        </is>
      </c>
      <c r="C10" s="16" t="inlineStr">
        <is>
          <t>기존 등록증의 효력</t>
        </is>
      </c>
      <c r="D10" s="16" t="inlineStr">
        <is>
          <t>原登记证继续有效；登记证载明事项发生变化…重新申请 (요약)</t>
        </is>
      </c>
      <c r="E10" s="16" t="inlineStr">
        <is>
          <t>기존 등록증은 유효, 기재 사항이 바뀌면 새 규정으로 재신청</t>
        </is>
      </c>
      <c r="F10" s="21" t="inlineStr">
        <is>
          <t>기존 등록증 보유자</t>
        </is>
      </c>
      <c r="G10" s="16" t="inlineStr">
        <is>
          <t>주체 변경 = 기재 사항 변경으로 볼 가능성</t>
        </is>
      </c>
      <c r="H10" s="24" t="inlineStr">
        <is>
          <t>전문가 자료</t>
        </is>
      </c>
      <c r="I10" s="21" t="inlineStr">
        <is>
          <t>등록증 이관</t>
        </is>
      </c>
      <c r="J10" s="21" t="inlineStr">
        <is>
          <t>10,23</t>
        </is>
      </c>
    </row>
    <row r="11">
      <c r="A11" s="21" t="inlineStr">
        <is>
          <t>EVD-006</t>
        </is>
      </c>
      <c r="B11" s="21" t="inlineStr">
        <is>
          <t>SRC-040</t>
        </is>
      </c>
      <c r="C11" s="16" t="inlineStr">
        <is>
          <t>간이등록 시험자료</t>
        </is>
      </c>
      <c r="D11" s="16" t="inlineStr">
        <is>
          <t>生态毒理学测试报告应当包括使用中华人民共和国的供试生物…完成的测试数据</t>
        </is>
      </c>
      <c r="E11" s="16" t="inlineStr">
        <is>
          <t>간이등록 생태독성 자료에 중국 공시생물로 수행한 시험 포함 필요</t>
        </is>
      </c>
      <c r="F11" s="21" t="inlineStr">
        <is>
          <t>1~10 t/년 신규물질</t>
        </is>
      </c>
      <c r="G11" s="16" t="inlineStr">
        <is>
          <t>한국 시험자료만으로는 부족할 가능성</t>
        </is>
      </c>
      <c r="H11" s="23" t="inlineStr">
        <is>
          <t>공식 출처·요약 확인</t>
        </is>
      </c>
      <c r="I11" s="21" t="inlineStr">
        <is>
          <t>한국 시험자료 활용</t>
        </is>
      </c>
      <c r="J11" s="21" t="inlineStr">
        <is>
          <t>05,10</t>
        </is>
      </c>
    </row>
    <row r="12">
      <c r="A12" s="21" t="inlineStr">
        <is>
          <t>EVD-007</t>
        </is>
      </c>
      <c r="B12" s="21" t="inlineStr">
        <is>
          <t>SRC-036</t>
        </is>
      </c>
      <c r="C12" s="16" t="inlineStr">
        <is>
          <t>구조정보 비공개</t>
        </is>
      </c>
      <c r="D12" s="16" t="inlineStr">
        <is>
          <t>申请保护…标识信息…仅体现通用名 (요약)</t>
        </is>
      </c>
      <c r="E12" s="16" t="inlineStr">
        <is>
          <t>명칭·CAS·구조식 보호 신청 가능, 승인 시 공시·명록에 일반명만 표시(기간 제한)</t>
        </is>
      </c>
      <c r="F12" s="21" t="inlineStr">
        <is>
          <t>등록 신청인</t>
        </is>
      </c>
      <c r="G12" s="16" t="inlineStr">
        <is>
          <t>필요성 설명서 제출·기간 만료 시 공개</t>
        </is>
      </c>
      <c r="H12" s="24" t="inlineStr">
        <is>
          <t>전문가 자료</t>
        </is>
      </c>
      <c r="I12" s="21" t="inlineStr">
        <is>
          <t>IP</t>
        </is>
      </c>
      <c r="J12" s="21" t="inlineStr">
        <is>
          <t>10,23</t>
        </is>
      </c>
    </row>
    <row r="13">
      <c r="A13" s="21" t="inlineStr">
        <is>
          <t>EVD-008</t>
        </is>
      </c>
      <c r="B13" s="21" t="inlineStr">
        <is>
          <t>SRC-009</t>
        </is>
      </c>
      <c r="C13" s="16" t="inlineStr">
        <is>
          <t>위험화학품 경영 허가제</t>
        </is>
      </c>
      <c r="D13" s="16" t="inlineStr">
        <is>
          <t>国家对危险化学品经营（包括仓储经营）实行许可制度。未经许可…不得经营</t>
        </is>
      </c>
      <c r="E13" s="16" t="inlineStr">
        <is>
          <t>위험화학품 판매(창고업 포함)는 허가 필요</t>
        </is>
      </c>
      <c r="F13" s="21" t="inlineStr">
        <is>
          <t>위험화학품 판매자</t>
        </is>
      </c>
      <c r="G13" s="16" t="inlineStr">
        <is>
          <t>목록 해당 물질</t>
        </is>
      </c>
      <c r="H13" s="23" t="inlineStr">
        <is>
          <t>공식 출처·요약 확인</t>
        </is>
      </c>
      <c r="I13" s="21" t="inlineStr">
        <is>
          <t>B·C·D안 경영허가</t>
        </is>
      </c>
      <c r="J13" s="21" t="inlineStr">
        <is>
          <t>07,11</t>
        </is>
      </c>
    </row>
    <row r="14">
      <c r="A14" s="21" t="inlineStr">
        <is>
          <t>EVD-009</t>
        </is>
      </c>
      <c r="B14" s="21" t="inlineStr">
        <is>
          <t>SRC-009</t>
        </is>
      </c>
      <c r="C14" s="16" t="inlineStr">
        <is>
          <t>생산기업 예외</t>
        </is>
      </c>
      <c r="D14" s="16" t="inlineStr">
        <is>
          <t>生产企业在其厂区范围内销售本企业生产的危险化学品，不需要取得…经营许可</t>
        </is>
      </c>
      <c r="E14" s="16" t="inlineStr">
        <is>
          <t>자기 공장에서 만든 제품을 공장 안에서 파는 경우만 경영허가 면제</t>
        </is>
      </c>
      <c r="F14" s="21" t="inlineStr">
        <is>
          <t>생산기업</t>
        </is>
      </c>
      <c r="G14" s="16" t="inlineStr">
        <is>
          <t>수입·유통 법인에는 해당 없음</t>
        </is>
      </c>
      <c r="H14" s="23" t="inlineStr">
        <is>
          <t>공식 출처·요약 확인</t>
        </is>
      </c>
      <c r="I14" s="21" t="inlineStr">
        <is>
          <t>생산허가 가설</t>
        </is>
      </c>
      <c r="J14" s="21" t="inlineStr">
        <is>
          <t>05,07</t>
        </is>
      </c>
    </row>
    <row r="15">
      <c r="A15" s="21" t="inlineStr">
        <is>
          <t>EVD-010</t>
        </is>
      </c>
      <c r="B15" s="21" t="inlineStr">
        <is>
          <t>SRC-009</t>
        </is>
      </c>
      <c r="C15" s="16" t="inlineStr">
        <is>
          <t>수입 위험화학품</t>
        </is>
      </c>
      <c r="D15" s="16" t="inlineStr">
        <is>
          <t>进口的危险化学品的储存、使用、经营、运输的安全管理，依照本法</t>
        </is>
      </c>
      <c r="E15" s="16" t="inlineStr">
        <is>
          <t>수입품도 저장·사용·경영·운송은 같은 법 적용. 수출입 자체는 무역 법령</t>
        </is>
      </c>
      <c r="F15" s="21" t="inlineStr">
        <is>
          <t>수입자</t>
        </is>
      </c>
      <c r="G15" s="16" t="inlineStr"/>
      <c r="H15" s="23" t="inlineStr">
        <is>
          <t>공식 출처·요약 확인</t>
        </is>
      </c>
      <c r="I15" s="21" t="inlineStr">
        <is>
          <t>수입</t>
        </is>
      </c>
      <c r="J15" s="21" t="inlineStr">
        <is>
          <t>07,11</t>
        </is>
      </c>
    </row>
    <row r="16">
      <c r="A16" s="21" t="inlineStr">
        <is>
          <t>EVD-011</t>
        </is>
      </c>
      <c r="B16" s="21" t="inlineStr">
        <is>
          <t>SRC-009</t>
        </is>
      </c>
      <c r="C16" s="16" t="inlineStr">
        <is>
          <t>생산 안전허가 대상</t>
        </is>
      </c>
      <c r="D16" s="16" t="inlineStr">
        <is>
          <t>危险化学品生产企业…取得危险化学品安全生产许可 (요약)</t>
        </is>
      </c>
      <c r="E16" s="16" t="inlineStr">
        <is>
          <t>안전생산허가는 '생산기업' 대상. 수입·판매만 하는 기업 대상 규정은 확인되지 않음</t>
        </is>
      </c>
      <c r="F16" s="21" t="inlineStr">
        <is>
          <t>생산기업</t>
        </is>
      </c>
      <c r="G16" s="16" t="inlineStr">
        <is>
          <t>충진·분장 등은 지역별 '분장·충진 경영' 또는 생산 판단 필요</t>
        </is>
      </c>
      <c r="H16" s="23" t="inlineStr">
        <is>
          <t>공식 출처·요약 확인</t>
        </is>
      </c>
      <c r="I16" s="21" t="inlineStr">
        <is>
          <t>생산허가 가설</t>
        </is>
      </c>
      <c r="J16" s="21" t="inlineStr">
        <is>
          <t>05,07</t>
        </is>
      </c>
    </row>
    <row r="17">
      <c r="A17" s="21" t="inlineStr">
        <is>
          <t>EVD-012</t>
        </is>
      </c>
      <c r="B17" s="21" t="inlineStr">
        <is>
          <t>SRC-010</t>
        </is>
      </c>
      <c r="C17" s="16" t="inlineStr">
        <is>
          <t>경영허가 기본 조건</t>
        </is>
      </c>
      <c r="D17" s="16" t="inlineStr">
        <is>
          <t>主要负责人和安全生产管理人员…经考核合格…有专职安全生产管理人员…安全管理制度…应急预案 (요약)</t>
        </is>
      </c>
      <c r="E17" s="16" t="inlineStr">
        <is>
          <t>책임자·안전관리자 교육·시험 합격, 전담 안전관리자, 규정·응급계획, 적합한 사무 장소</t>
        </is>
      </c>
      <c r="F17" s="21" t="inlineStr">
        <is>
          <t>모든 경영기업</t>
        </is>
      </c>
      <c r="G17" s="16" t="inlineStr">
        <is>
          <t>저장 시 추가 요건</t>
        </is>
      </c>
      <c r="H17" s="23" t="inlineStr">
        <is>
          <t>공식 출처·요약 확인</t>
        </is>
      </c>
      <c r="I17" s="21" t="inlineStr">
        <is>
          <t>인력·시설</t>
        </is>
      </c>
      <c r="J17" s="21" t="inlineStr">
        <is>
          <t>11,12,24</t>
        </is>
      </c>
    </row>
    <row r="18">
      <c r="A18" s="21" t="inlineStr">
        <is>
          <t>EVD-013</t>
        </is>
      </c>
      <c r="B18" s="21" t="inlineStr">
        <is>
          <t>SRC-009</t>
        </is>
      </c>
      <c r="C18" s="16" t="inlineStr">
        <is>
          <t>저장 시설이 있는 경우 추가 요건</t>
        </is>
      </c>
      <c r="D18" s="16" t="inlineStr">
        <is>
          <t>储存设施建立在地方政府规划的专门区域…安全评价…专职安全管理人员 (요약)</t>
        </is>
      </c>
      <c r="E18" s="16" t="inlineStr">
        <is>
          <t>저장 시설은 지방정부가 정한 전용 구역(화공원구 등)에 있어야 하고 안전평가 필요</t>
        </is>
      </c>
      <c r="F18" s="21" t="inlineStr">
        <is>
          <t>저장 경영</t>
        </is>
      </c>
      <c r="G18" s="16" t="inlineStr">
        <is>
          <t>자체·임차 창고(C·D안)</t>
        </is>
      </c>
      <c r="H18" s="23" t="inlineStr">
        <is>
          <t>공식 출처·요약 확인</t>
        </is>
      </c>
      <c r="I18" s="21" t="inlineStr">
        <is>
          <t>창고 입지</t>
        </is>
      </c>
      <c r="J18" s="21" t="inlineStr">
        <is>
          <t>11,12,19</t>
        </is>
      </c>
    </row>
    <row r="19">
      <c r="A19" s="21" t="inlineStr">
        <is>
          <t>EVD-014</t>
        </is>
      </c>
      <c r="B19" s="21" t="inlineStr">
        <is>
          <t>SRC-011</t>
        </is>
      </c>
      <c r="C19" s="16" t="inlineStr">
        <is>
          <t>무석의 경영 방식 구분</t>
        </is>
      </c>
      <c r="D19" s="16" t="inlineStr">
        <is>
          <t>经营方式分为：无储存经营、有储存经营、租赁储存经营、加油站经营</t>
        </is>
      </c>
      <c r="E19" s="16" t="inlineStr">
        <is>
          <t>무석은 무저장·유저장·임차저장 경영을 별도 유형으로 운영</t>
        </is>
      </c>
      <c r="F19" s="21" t="inlineStr">
        <is>
          <t>무석 신청기업</t>
        </is>
      </c>
      <c r="G19" s="16" t="inlineStr">
        <is>
          <t>임차저장 세부 조건 원문 확인</t>
        </is>
      </c>
      <c r="H19" s="23" t="inlineStr">
        <is>
          <t>공식 출처·요약 확인</t>
        </is>
      </c>
      <c r="I19" s="21" t="inlineStr">
        <is>
          <t>B·C안 무석</t>
        </is>
      </c>
      <c r="J19" s="21" t="inlineStr">
        <is>
          <t>11,15</t>
        </is>
      </c>
    </row>
    <row r="20">
      <c r="A20" s="21" t="inlineStr">
        <is>
          <t>EVD-015</t>
        </is>
      </c>
      <c r="B20" s="21" t="inlineStr">
        <is>
          <t>SRC-011</t>
        </is>
      </c>
      <c r="C20" s="16" t="inlineStr">
        <is>
          <t>무저장 경영 정의</t>
        </is>
      </c>
      <c r="D20" s="16" t="inlineStr">
        <is>
          <t>无储存经营…仅限于票据往来经营 (요약)</t>
        </is>
      </c>
      <c r="E20" s="16" t="inlineStr">
        <is>
          <t>무저장 = 자체 저장시설 없이 서류(계약·세금계산서)로만 거래</t>
        </is>
      </c>
      <c r="F20" s="21" t="inlineStr">
        <is>
          <t>무저장 신청기업</t>
        </is>
      </c>
      <c r="G20" s="16" t="inlineStr">
        <is>
          <t>사무 장소에 위험화학품 보관 금지</t>
        </is>
      </c>
      <c r="H20" s="23" t="inlineStr">
        <is>
          <t>공식 출처·요약 확인</t>
        </is>
      </c>
      <c r="I20" s="21" t="inlineStr">
        <is>
          <t>B안</t>
        </is>
      </c>
      <c r="J20" s="21" t="inlineStr">
        <is>
          <t>11</t>
        </is>
      </c>
    </row>
    <row r="21">
      <c r="A21" s="21" t="inlineStr">
        <is>
          <t>EVD-016</t>
        </is>
      </c>
      <c r="B21" s="21" t="inlineStr">
        <is>
          <t>SRC-035</t>
        </is>
      </c>
      <c r="C21" s="16" t="inlineStr">
        <is>
          <t>경영허가 처리기한</t>
        </is>
      </c>
      <c r="D21" s="16" t="inlineStr">
        <is>
          <t>审批时限由30个工作日压减至20个工作日…无储存…告知承诺…15个工作日 (요약)</t>
        </is>
      </c>
      <c r="E21" s="16" t="inlineStr">
        <is>
          <t>일부 지역 사례: 20 영업일, 자유무역시험구 무저장 고지승낙 15 영업일</t>
        </is>
      </c>
      <c r="F21" s="21" t="inlineStr">
        <is>
          <t>경영허가</t>
        </is>
      </c>
      <c r="G21" s="16" t="inlineStr">
        <is>
          <t>강소성·무석 기한 별도 확인</t>
        </is>
      </c>
      <c r="H21" s="23" t="inlineStr">
        <is>
          <t>공식 출처·요약 확인</t>
        </is>
      </c>
      <c r="I21" s="21" t="inlineStr">
        <is>
          <t>일정</t>
        </is>
      </c>
      <c r="J21" s="21" t="inlineStr">
        <is>
          <t>11,26</t>
        </is>
      </c>
    </row>
    <row r="22">
      <c r="A22" s="21" t="inlineStr">
        <is>
          <t>EVD-017</t>
        </is>
      </c>
      <c r="B22" s="21" t="inlineStr">
        <is>
          <t>SRC-010</t>
        </is>
      </c>
      <c r="C22" s="16" t="inlineStr">
        <is>
          <t>허가 유효기간</t>
        </is>
      </c>
      <c r="D22" s="16" t="inlineStr">
        <is>
          <t>有效期为3年 (요약)</t>
        </is>
      </c>
      <c r="E22" s="16" t="inlineStr">
        <is>
          <t>경영허가 유효기간 3년, 만료 3개월 전 연장 신청</t>
        </is>
      </c>
      <c r="F22" s="21" t="inlineStr">
        <is>
          <t>경영허가</t>
        </is>
      </c>
      <c r="G22" s="16" t="inlineStr"/>
      <c r="H22" s="23" t="inlineStr">
        <is>
          <t>공식 출처·요약 확인</t>
        </is>
      </c>
      <c r="I22" s="21" t="inlineStr">
        <is>
          <t>유지 비용</t>
        </is>
      </c>
      <c r="J22" s="21" t="inlineStr">
        <is>
          <t>11</t>
        </is>
      </c>
    </row>
    <row r="23">
      <c r="A23" s="21" t="inlineStr">
        <is>
          <t>EVD-018</t>
        </is>
      </c>
      <c r="B23" s="21" t="inlineStr">
        <is>
          <t>SRC-016</t>
        </is>
      </c>
      <c r="C23" s="16" t="inlineStr">
        <is>
          <t>수입기업 위험화학품 등록</t>
        </is>
      </c>
      <c r="D23" s="16" t="inlineStr">
        <is>
          <t>危险化学品生产企业、进口企业…进行登记 (요약)</t>
        </is>
      </c>
      <c r="E23" s="16" t="inlineStr">
        <is>
          <t>목록 위험화학품 수입기업은 첫 수입 전 응급관리부 화학품등록센터에 등록</t>
        </is>
      </c>
      <c r="F23" s="21" t="inlineStr">
        <is>
          <t>수입자</t>
        </is>
      </c>
      <c r="G23" s="16" t="inlineStr">
        <is>
          <t>목록 해당 물질</t>
        </is>
      </c>
      <c r="H23" s="23" t="inlineStr">
        <is>
          <t>공식 출처·요약 확인</t>
        </is>
      </c>
      <c r="I23" s="21" t="inlineStr">
        <is>
          <t>수입자 역할</t>
        </is>
      </c>
      <c r="J23" s="21" t="inlineStr">
        <is>
          <t>07,11</t>
        </is>
      </c>
    </row>
    <row r="24">
      <c r="A24" s="21" t="inlineStr">
        <is>
          <t>EVD-019</t>
        </is>
      </c>
      <c r="B24" s="21" t="inlineStr">
        <is>
          <t>SRC-017</t>
        </is>
      </c>
      <c r="C24" s="16" t="inlineStr">
        <is>
          <t>수입 통관 서류</t>
        </is>
      </c>
      <c r="D24" s="16" t="inlineStr">
        <is>
          <t>如实填报危险类别、包装类别、UN编号…符合性声明…中文危险公示标签、中文安全数据单</t>
        </is>
      </c>
      <c r="E24" s="16" t="inlineStr">
        <is>
          <t>수입 신고 시 위험 분류·UN번호, 적합성 성명, 중문 라벨·SDS 제출</t>
        </is>
      </c>
      <c r="F24" s="21" t="inlineStr">
        <is>
          <t>수입 신고인</t>
        </is>
      </c>
      <c r="G24" s="16" t="inlineStr">
        <is>
          <t>2021-01-10 시행</t>
        </is>
      </c>
      <c r="H24" s="23" t="inlineStr">
        <is>
          <t>공식 출처·요약 확인</t>
        </is>
      </c>
      <c r="I24" s="21" t="inlineStr">
        <is>
          <t>통관</t>
        </is>
      </c>
      <c r="J24" s="21" t="inlineStr">
        <is>
          <t>07,24</t>
        </is>
      </c>
    </row>
    <row r="25">
      <c r="A25" s="21" t="inlineStr">
        <is>
          <t>EVD-020</t>
        </is>
      </c>
      <c r="B25" s="21" t="inlineStr">
        <is>
          <t>SRC-013</t>
        </is>
      </c>
      <c r="C25" s="16" t="inlineStr">
        <is>
          <t>강소성 인정 화공원구</t>
        </is>
      </c>
      <c r="D25" s="16" t="inlineStr">
        <is>
          <t>南京江北新材料科技园…江阴临港化工园区…锡山经济技术开发区新材料产业园…宜兴市新材料产业园…江苏扬子江国际化学工业园…江苏高科技氟化学工业园（江苏常熟新材料产业园）… 等23家</t>
        </is>
      </c>
      <c r="E25" s="16" t="inlineStr">
        <is>
          <t>강소성 1차 인정 화공원구 23곳 (무석 3·쑤저우 2·창저우·전장·난징·난퉁 3·양저우·타이저우 2 등)</t>
        </is>
      </c>
      <c r="F25" s="21" t="inlineStr">
        <is>
          <t>강소성</t>
        </is>
      </c>
      <c r="G25" s="16" t="inlineStr">
        <is>
          <t>2차 명단 별도</t>
        </is>
      </c>
      <c r="H25" s="23" t="inlineStr">
        <is>
          <t>공식 출처·요약 확인</t>
        </is>
      </c>
      <c r="I25" s="21" t="inlineStr">
        <is>
          <t>창고 입지</t>
        </is>
      </c>
      <c r="J25" s="21" t="inlineStr">
        <is>
          <t>13,14</t>
        </is>
      </c>
    </row>
    <row r="26">
      <c r="A26" s="21" t="inlineStr">
        <is>
          <t>EVD-021</t>
        </is>
      </c>
      <c r="B26" s="21" t="inlineStr">
        <is>
          <t>SRC-030</t>
        </is>
      </c>
      <c r="C26" s="16" t="inlineStr">
        <is>
          <t>장자강 위험품 물류 기반</t>
        </is>
      </c>
      <c r="D26" s="16" t="inlineStr">
        <is>
          <t>5个危化品散货码头、2个危化品集装箱码头…危化品保税仓库 (요약)</t>
        </is>
      </c>
      <c r="E26" s="16" t="inlineStr">
        <is>
          <t>장자강 扬子江国际化学工业园에 위험화학품 부두·보세 위험품 창고가 있다는 보도</t>
        </is>
      </c>
      <c r="F26" s="21" t="inlineStr">
        <is>
          <t>장자강</t>
        </is>
      </c>
      <c r="G26" s="16" t="inlineStr">
        <is>
          <t>취급 품목·4.2/4.3류 수용 여부 미확인</t>
        </is>
      </c>
      <c r="H26" s="25" t="inlineStr">
        <is>
          <t>언론·기타</t>
        </is>
      </c>
      <c r="I26" s="21" t="inlineStr">
        <is>
          <t>SITE-005</t>
        </is>
      </c>
      <c r="J26" s="21" t="inlineStr">
        <is>
          <t>16</t>
        </is>
      </c>
    </row>
    <row r="27">
      <c r="A27" s="21" t="inlineStr">
        <is>
          <t>EVD-022</t>
        </is>
      </c>
      <c r="B27" s="21" t="inlineStr">
        <is>
          <t>SRC-020</t>
        </is>
      </c>
      <c r="C27" s="16" t="inlineStr">
        <is>
          <t>등록자본 납입</t>
        </is>
      </c>
      <c r="D27" s="16" t="inlineStr">
        <is>
          <t>有限责任公司…自公司成立之日起五年内缴足</t>
        </is>
      </c>
      <c r="E27" s="16" t="inlineStr">
        <is>
          <t>유한회사 등록자본은 설립 후 5년 내 납입. 일반 무역법인의 법정 최저자본은 확인되지 않음</t>
        </is>
      </c>
      <c r="F27" s="21" t="inlineStr">
        <is>
          <t>신설 법인</t>
        </is>
      </c>
      <c r="G27" s="16" t="inlineStr"/>
      <c r="H27" s="23" t="inlineStr">
        <is>
          <t>공식 출처·요약 확인</t>
        </is>
      </c>
      <c r="I27" s="21" t="inlineStr">
        <is>
          <t>자본</t>
        </is>
      </c>
      <c r="J27" s="21" t="inlineStr">
        <is>
          <t>09,25</t>
        </is>
      </c>
    </row>
    <row r="28">
      <c r="A28" s="21" t="inlineStr">
        <is>
          <t>EVD-023</t>
        </is>
      </c>
      <c r="B28" s="21" t="inlineStr">
        <is>
          <t>SRC-020</t>
        </is>
      </c>
      <c r="C28" s="16" t="inlineStr">
        <is>
          <t>기관 구성</t>
        </is>
      </c>
      <c r="D28" s="16" t="inlineStr">
        <is>
          <t>法定代表人…由代表公司执行公司事务的董事或者经理担任…规模较小…可以不设监事</t>
        </is>
      </c>
      <c r="E28" s="16" t="inlineStr">
        <is>
          <t>법정대표인은 이사 또는 경리, 소규모 회사는 감사 1명 또는 전원 동의 시 생략</t>
        </is>
      </c>
      <c r="F28" s="21" t="inlineStr">
        <is>
          <t>신설 법인</t>
        </is>
      </c>
      <c r="G28" s="16" t="inlineStr"/>
      <c r="H28" s="23" t="inlineStr">
        <is>
          <t>공식 출처·요약 확인</t>
        </is>
      </c>
      <c r="I28" s="21" t="inlineStr">
        <is>
          <t>인력</t>
        </is>
      </c>
      <c r="J28" s="21" t="inlineStr">
        <is>
          <t>09,24</t>
        </is>
      </c>
    </row>
    <row r="29">
      <c r="A29" s="21" t="inlineStr">
        <is>
          <t>EVD-024</t>
        </is>
      </c>
      <c r="B29" s="21" t="inlineStr">
        <is>
          <t>SRC-021</t>
        </is>
      </c>
      <c r="C29" s="16" t="inlineStr">
        <is>
          <t>외국인 투자 제한</t>
        </is>
      </c>
      <c r="D29" s="16" t="inlineStr">
        <is>
          <t>限制措施由31条减至29条…制造业…全面取消 (요약)</t>
        </is>
      </c>
      <c r="E29" s="16" t="inlineStr">
        <is>
          <t>2024 네거티브리스트 29개 항목. 화학품 도매는 목록에 없는 것으로 파악(원문 대조 필요)</t>
        </is>
      </c>
      <c r="F29" s="21" t="inlineStr">
        <is>
          <t>외국인 투자 무역법인</t>
        </is>
      </c>
      <c r="G29" s="16" t="inlineStr"/>
      <c r="H29" s="23" t="inlineStr">
        <is>
          <t>공식 출처·요약 확인</t>
        </is>
      </c>
      <c r="I29" s="21" t="inlineStr">
        <is>
          <t>법인 설립</t>
        </is>
      </c>
      <c r="J29" s="21" t="inlineStr">
        <is>
          <t>09</t>
        </is>
      </c>
    </row>
    <row r="30">
      <c r="A30" s="21" t="inlineStr">
        <is>
          <t>EVD-025</t>
        </is>
      </c>
      <c r="B30" s="21" t="inlineStr">
        <is>
          <t>SRC-022</t>
        </is>
      </c>
      <c r="C30" s="16" t="inlineStr">
        <is>
          <t>문서 인증</t>
        </is>
      </c>
      <c r="D30" s="16" t="inlineStr">
        <is>
          <t>仅需办理…附加证明书…无需…领事认证</t>
        </is>
      </c>
      <c r="E30" s="16" t="inlineStr">
        <is>
          <t>한국 서류는 아포스티유로 대체(영사 인증 불필요)</t>
        </is>
      </c>
      <c r="F30" s="21" t="inlineStr">
        <is>
          <t>한국 본사 서류</t>
        </is>
      </c>
      <c r="G30" s="16" t="inlineStr">
        <is>
          <t>한국도 협약국</t>
        </is>
      </c>
      <c r="H30" s="23" t="inlineStr">
        <is>
          <t>공식 출처·요약 확인</t>
        </is>
      </c>
      <c r="I30" s="21" t="inlineStr">
        <is>
          <t>설립 일정</t>
        </is>
      </c>
      <c r="J30" s="21" t="inlineStr">
        <is>
          <t>09</t>
        </is>
      </c>
    </row>
    <row r="31">
      <c r="A31" s="21" t="inlineStr">
        <is>
          <t>EVD-026</t>
        </is>
      </c>
      <c r="B31" s="21" t="inlineStr">
        <is>
          <t>SRC-023</t>
        </is>
      </c>
      <c r="C31" s="16" t="inlineStr">
        <is>
          <t>한국 측 신고</t>
        </is>
      </c>
      <c r="D31" s="16" t="inlineStr">
        <is>
          <t>1달러라도…외국환은행장에 사전 신고</t>
        </is>
      </c>
      <c r="E31" s="16" t="inlineStr">
        <is>
          <t>해외직접투자는 송금 전 지정거래 외국환은행 신고</t>
        </is>
      </c>
      <c r="F31" s="21" t="inlineStr">
        <is>
          <t>TC 본사</t>
        </is>
      </c>
      <c r="G31" s="16" t="inlineStr"/>
      <c r="H31" s="25" t="inlineStr">
        <is>
          <t>언론·기타</t>
        </is>
      </c>
      <c r="I31" s="21" t="inlineStr">
        <is>
          <t>설립 절차</t>
        </is>
      </c>
      <c r="J31" s="21" t="inlineStr">
        <is>
          <t>09</t>
        </is>
      </c>
    </row>
    <row r="32">
      <c r="A32" s="21" t="inlineStr">
        <is>
          <t>EVD-027</t>
        </is>
      </c>
      <c r="B32" s="21" t="inlineStr">
        <is>
          <t>SRC-024</t>
        </is>
      </c>
      <c r="C32" s="16" t="inlineStr">
        <is>
          <t>무석 평균임금</t>
        </is>
      </c>
      <c r="D32" s="16" t="inlineStr">
        <is>
          <t>2025年无锡市城镇非私营单位在岗职工年平均工资为147293元</t>
        </is>
      </c>
      <c r="E32" s="16" t="inlineStr">
        <is>
          <t>무석 비사영 평균임금 147,293 CNY/년</t>
        </is>
      </c>
      <c r="F32" s="21" t="inlineStr">
        <is>
          <t>인건비 가정</t>
        </is>
      </c>
      <c r="G32" s="16" t="inlineStr">
        <is>
          <t>직무별 시장급여 아님</t>
        </is>
      </c>
      <c r="H32" s="25" t="inlineStr">
        <is>
          <t>언론·기타</t>
        </is>
      </c>
      <c r="I32" s="21" t="inlineStr">
        <is>
          <t>COST</t>
        </is>
      </c>
      <c r="J32" s="21" t="inlineStr">
        <is>
          <t>25</t>
        </is>
      </c>
    </row>
    <row r="33">
      <c r="A33" s="21" t="inlineStr">
        <is>
          <t>EVD-028</t>
        </is>
      </c>
      <c r="B33" s="21" t="inlineStr">
        <is>
          <t>SRC-018</t>
        </is>
      </c>
      <c r="C33" s="16" t="inlineStr">
        <is>
          <t>창고 저장 기준</t>
        </is>
      </c>
      <c r="D33" s="16" t="inlineStr">
        <is>
          <t>规定了…储存的基本要求…危险化学品存储禁忌表 (요약)</t>
        </is>
      </c>
      <c r="E33" s="16" t="inlineStr">
        <is>
          <t>GB 15603-2022: 혼재 금지표·입출고·응급 기준(2023-07-01 시행)</t>
        </is>
      </c>
      <c r="F33" s="21" t="inlineStr">
        <is>
          <t>창고</t>
        </is>
      </c>
      <c r="G33" s="16" t="inlineStr">
        <is>
          <t>4.2·4.3류 적용 조항 원문 확인</t>
        </is>
      </c>
      <c r="H33" s="23" t="inlineStr">
        <is>
          <t>공식 출처·요약 확인</t>
        </is>
      </c>
      <c r="I33" s="21" t="inlineStr">
        <is>
          <t>창고</t>
        </is>
      </c>
      <c r="J33" s="21" t="inlineStr">
        <is>
          <t>12</t>
        </is>
      </c>
    </row>
    <row r="34">
      <c r="A34" s="21" t="inlineStr">
        <is>
          <t>EVD-029</t>
        </is>
      </c>
      <c r="B34" s="21" t="inlineStr">
        <is>
          <t>SRC-027</t>
        </is>
      </c>
      <c r="C34" s="16" t="inlineStr">
        <is>
          <t>CXMT 위치</t>
        </is>
      </c>
      <c r="D34" s="16" t="inlineStr">
        <is>
          <t>合肥市经济技术开发区空港工业园兴业大道388号</t>
        </is>
      </c>
      <c r="E34" s="16" t="inlineStr">
        <is>
          <t>CXMT 등록 주소: 허페이 경제기술개발구</t>
        </is>
      </c>
      <c r="F34" s="21" t="inlineStr">
        <is>
          <t>고객</t>
        </is>
      </c>
      <c r="G34" s="16" t="inlineStr">
        <is>
          <t>등록 주소 ≠ 반입 위치 가능</t>
        </is>
      </c>
      <c r="H34" s="25" t="inlineStr">
        <is>
          <t>언론·기타</t>
        </is>
      </c>
      <c r="I34" s="21" t="inlineStr">
        <is>
          <t>CUST-01</t>
        </is>
      </c>
      <c r="J34" s="21" t="inlineStr">
        <is>
          <t>04,13,20</t>
        </is>
      </c>
    </row>
    <row r="35">
      <c r="A35" s="21" t="inlineStr">
        <is>
          <t>EVD-030</t>
        </is>
      </c>
      <c r="B35" s="21" t="inlineStr">
        <is>
          <t>SRC-028</t>
        </is>
      </c>
      <c r="C35" s="16" t="inlineStr">
        <is>
          <t>YMTC 위치</t>
        </is>
      </c>
      <c r="D35" s="16" t="inlineStr">
        <is>
          <t>武汉东湖新技术开发区未来三路88号</t>
        </is>
      </c>
      <c r="E35" s="16" t="inlineStr">
        <is>
          <t>YMTC 주소: 우한 동호고신구</t>
        </is>
      </c>
      <c r="F35" s="21" t="inlineStr">
        <is>
          <t>고객</t>
        </is>
      </c>
      <c r="G35" s="16" t="inlineStr"/>
      <c r="H35" s="25" t="inlineStr">
        <is>
          <t>언론·기타</t>
        </is>
      </c>
      <c r="I35" s="21" t="inlineStr">
        <is>
          <t>CUST-03</t>
        </is>
      </c>
      <c r="J35" s="21" t="inlineStr">
        <is>
          <t>04,20</t>
        </is>
      </c>
    </row>
    <row r="36">
      <c r="A36" s="21" t="inlineStr">
        <is>
          <t>EVD-031</t>
        </is>
      </c>
      <c r="B36" s="21" t="inlineStr">
        <is>
          <t>SRC-029</t>
        </is>
      </c>
      <c r="C36" s="16" t="inlineStr">
        <is>
          <t>SK하이닉스 우시 위치</t>
        </is>
      </c>
      <c r="D36" s="16" t="inlineStr">
        <is>
          <t>无锡…新吴区 (요약)</t>
        </is>
      </c>
      <c r="E36" s="16" t="inlineStr">
        <is>
          <t>SK하이닉스 우시 공장: 무석 신오구(정확한 주소는 고객 확인)</t>
        </is>
      </c>
      <c r="F36" s="21" t="inlineStr">
        <is>
          <t>고객</t>
        </is>
      </c>
      <c r="G36" s="16" t="inlineStr"/>
      <c r="H36" s="25" t="inlineStr">
        <is>
          <t>언론·기타</t>
        </is>
      </c>
      <c r="I36" s="21" t="inlineStr">
        <is>
          <t>CUST-02</t>
        </is>
      </c>
      <c r="J36" s="21" t="inlineStr">
        <is>
          <t>04,13</t>
        </is>
      </c>
    </row>
    <row r="37">
      <c r="A37" s="21" t="inlineStr">
        <is>
          <t>EVD-032</t>
        </is>
      </c>
      <c r="B37" s="21" t="inlineStr">
        <is>
          <t>SRC-019</t>
        </is>
      </c>
      <c r="C37" s="16" t="inlineStr">
        <is>
          <t>위험화학품 목록 갱신</t>
        </is>
      </c>
      <c r="D37" s="16" t="inlineStr">
        <is>
          <t>2026年第3号公告…新增5种…7月31日前完成许可登记 (요약)</t>
        </is>
      </c>
      <c r="E37" s="16" t="inlineStr">
        <is>
          <t>위험화학품 목록(2015판)은 공고로 추가됨 → 미등재 물질도 위험성 판정 필요</t>
        </is>
      </c>
      <c r="F37" s="21" t="inlineStr">
        <is>
          <t>전 제품</t>
        </is>
      </c>
      <c r="G37" s="16" t="inlineStr"/>
      <c r="H37" s="23" t="inlineStr">
        <is>
          <t>공식 출처·요약 확인</t>
        </is>
      </c>
      <c r="I37" s="21" t="inlineStr">
        <is>
          <t>제품 분류</t>
        </is>
      </c>
      <c r="J37" s="21" t="inlineStr">
        <is>
          <t>06</t>
        </is>
      </c>
    </row>
    <row r="38">
      <c r="A38" s="21" t="inlineStr">
        <is>
          <t>EVD-033</t>
        </is>
      </c>
      <c r="B38" s="21" t="inlineStr">
        <is>
          <t>SRC-015</t>
        </is>
      </c>
      <c r="C38" s="16" t="inlineStr">
        <is>
          <t>강소성 화공 산업 목록</t>
        </is>
      </c>
      <c r="D38" s="16" t="inlineStr">
        <is>
          <t>2026年1月24日起实施，有效期至2031年1月23日</t>
        </is>
      </c>
      <c r="E38" s="16" t="inlineStr">
        <is>
          <t>제조(F안) 검토 시 강소성 제한·도태 목록 확인 필요</t>
        </is>
      </c>
      <c r="F38" s="21" t="inlineStr">
        <is>
          <t>제조 활동</t>
        </is>
      </c>
      <c r="G38" s="16" t="inlineStr"/>
      <c r="H38" s="23" t="inlineStr">
        <is>
          <t>공식 출처·요약 확인</t>
        </is>
      </c>
      <c r="I38" s="21" t="inlineStr">
        <is>
          <t>F안</t>
        </is>
      </c>
      <c r="J38" s="21" t="inlineStr">
        <is>
          <t>08</t>
        </is>
      </c>
    </row>
    <row r="39">
      <c r="A39" s="21" t="inlineStr">
        <is>
          <t>EVD-034</t>
        </is>
      </c>
      <c r="B39" s="21" t="inlineStr">
        <is>
          <t>SRC-026</t>
        </is>
      </c>
      <c r="C39" s="16" t="inlineStr">
        <is>
          <t>환율</t>
        </is>
      </c>
      <c r="D39" s="16" t="inlineStr">
        <is>
          <t>1 CNY = 204 KRW (2026-09-01)</t>
        </is>
      </c>
      <c r="E39" s="16" t="inlineStr">
        <is>
          <t>분석용 환율 1 CNY = 204 KRW</t>
        </is>
      </c>
      <c r="F39" s="21" t="inlineStr">
        <is>
          <t>비용 환산</t>
        </is>
      </c>
      <c r="G39" s="16" t="inlineStr">
        <is>
          <t>결정 시점 갱신</t>
        </is>
      </c>
      <c r="H39" s="25" t="inlineStr">
        <is>
          <t>언론·기타</t>
        </is>
      </c>
      <c r="I39" s="21" t="inlineStr">
        <is>
          <t>FX</t>
        </is>
      </c>
      <c r="J39" s="21" t="inlineStr">
        <is>
          <t>25</t>
        </is>
      </c>
    </row>
    <row r="40">
      <c r="A40" s="21" t="inlineStr">
        <is>
          <t>EVD-035</t>
        </is>
      </c>
      <c r="B40" s="21" t="inlineStr">
        <is>
          <t>SRC-037</t>
        </is>
      </c>
      <c r="C40" s="16" t="inlineStr">
        <is>
          <t>이익 회수</t>
        </is>
      </c>
      <c r="D40" s="16" t="inlineStr">
        <is>
          <t>股息…20%…减按10%…协定…可低至5% (요약)</t>
        </is>
      </c>
      <c r="E40" s="16" t="inlineStr">
        <is>
          <t>배당 원천징수 10%, 조약으로 인하 가능(한중 세율 확인)</t>
        </is>
      </c>
      <c r="F40" s="21" t="inlineStr">
        <is>
          <t>배당</t>
        </is>
      </c>
      <c r="G40" s="16" t="inlineStr"/>
      <c r="H40" s="24" t="inlineStr">
        <is>
          <t>전문가 자료</t>
        </is>
      </c>
      <c r="I40" s="21" t="inlineStr">
        <is>
          <t>자금 회수</t>
        </is>
      </c>
      <c r="J40" s="21" t="inlineStr">
        <is>
          <t>25</t>
        </is>
      </c>
    </row>
    <row r="41">
      <c r="A41" s="21" t="inlineStr">
        <is>
          <t>EVD-036</t>
        </is>
      </c>
      <c r="B41" s="21" t="inlineStr">
        <is>
          <t>SRC-025</t>
        </is>
      </c>
      <c r="C41" s="16" t="inlineStr">
        <is>
          <t>사회보험 기수</t>
        </is>
      </c>
      <c r="D41" s="16" t="inlineStr">
        <is>
          <t>上限24762元，下限4952元 (2025)</t>
        </is>
      </c>
      <c r="E41" s="16" t="inlineStr">
        <is>
          <t>강소성 2025 사회보험 기수 상한·하한</t>
        </is>
      </c>
      <c r="F41" s="21" t="inlineStr">
        <is>
          <t>인건비</t>
        </is>
      </c>
      <c r="G41" s="16" t="inlineStr">
        <is>
          <t>2026 기수 미확인</t>
        </is>
      </c>
      <c r="H41" s="23" t="inlineStr">
        <is>
          <t>공식 출처·요약 확인</t>
        </is>
      </c>
      <c r="I41" s="21" t="inlineStr">
        <is>
          <t>COST</t>
        </is>
      </c>
      <c r="J41" s="21" t="inlineStr">
        <is>
          <t>25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FF7900"/>
    <outlinePr summaryBelow="1" summaryRight="1"/>
    <pageSetUpPr/>
  </sheetPr>
  <dimension ref="A1:P19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6" customWidth="1" min="2" max="2"/>
    <col width="10" customWidth="1" min="3" max="3"/>
    <col width="9" customWidth="1" min="4" max="4"/>
    <col width="10" customWidth="1" min="5" max="5"/>
    <col width="16" customWidth="1" min="6" max="6"/>
    <col width="16" customWidth="1" min="7" max="7"/>
    <col width="18" customWidth="1" min="8" max="8"/>
    <col width="14" customWidth="1" min="9" max="9"/>
    <col width="22" customWidth="1" min="10" max="10"/>
    <col width="10" customWidth="1" min="11" max="11"/>
    <col width="16" customWidth="1" min="12" max="12"/>
    <col width="12" customWidth="1" min="13" max="13"/>
    <col width="12" customWidth="1" min="14" max="14"/>
    <col width="46" customWidth="1" min="15" max="15"/>
    <col width="16" customWidth="1" min="16" max="16"/>
  </cols>
  <sheetData>
    <row r="1">
      <c r="A1" s="1" t="inlineStr">
        <is>
          <t>05_Materials | 제품 입력자료·규제 판단</t>
        </is>
      </c>
    </row>
    <row r="2">
      <c r="A2" s="2" t="inlineStr">
        <is>
          <t>제품 정보가 제공되지 않아 CAS·위험등급을 임의로 넣지 않음. 시나리오 A~D로 분석</t>
        </is>
      </c>
    </row>
    <row r="3">
      <c r="A3" s="3" t="inlineStr">
        <is>
          <t>조사 기준일 2026-10-06 · 단위·상태는 각 열 머리글 참조</t>
        </is>
      </c>
    </row>
    <row r="5">
      <c r="A5" s="20" t="inlineStr">
        <is>
          <t>제품 ID</t>
        </is>
      </c>
      <c r="B5" s="20" t="inlineStr">
        <is>
          <t>제품 코드·명</t>
        </is>
      </c>
      <c r="C5" s="20" t="inlineStr">
        <is>
          <t>화학명</t>
        </is>
      </c>
      <c r="D5" s="20" t="inlineStr">
        <is>
          <t>CAS</t>
        </is>
      </c>
      <c r="E5" s="20" t="inlineStr">
        <is>
          <t>조성·용매</t>
        </is>
      </c>
      <c r="F5" s="20" t="inlineStr">
        <is>
          <t>IECSC 등재</t>
        </is>
      </c>
      <c r="G5" s="20" t="inlineStr">
        <is>
          <t>신규물질 판단</t>
        </is>
      </c>
      <c r="H5" s="20" t="inlineStr">
        <is>
          <t>위험화학품 판단</t>
        </is>
      </c>
      <c r="I5" s="20" t="inlineStr">
        <is>
          <t>운송 분류·UN</t>
        </is>
      </c>
      <c r="J5" s="20" t="inlineStr">
        <is>
          <t>물성·보관 조건</t>
        </is>
      </c>
      <c r="K5" s="20" t="inlineStr">
        <is>
          <t>연간 물량</t>
        </is>
      </c>
      <c r="L5" s="20" t="inlineStr">
        <is>
          <t>기존 등록·备案</t>
        </is>
      </c>
      <c r="M5" s="20" t="inlineStr">
        <is>
          <t>자료 소유권</t>
        </is>
      </c>
      <c r="N5" s="20" t="inlineStr">
        <is>
          <t>정보 상태</t>
        </is>
      </c>
      <c r="O5" s="20" t="inlineStr">
        <is>
          <t>추가 필요 자료</t>
        </is>
      </c>
      <c r="P5" s="20" t="inlineStr">
        <is>
          <t>근거 ID</t>
        </is>
      </c>
    </row>
    <row r="6">
      <c r="A6" s="21" t="inlineStr">
        <is>
          <t>MAT-01</t>
        </is>
      </c>
      <c r="B6" s="16" t="inlineStr">
        <is>
          <t>이트륨(Y) 전구체 (제품명 미제공)</t>
        </is>
      </c>
      <c r="C6" s="21" t="inlineStr">
        <is>
          <t>미제공</t>
        </is>
      </c>
      <c r="D6" s="21" t="inlineStr">
        <is>
          <t>미제공</t>
        </is>
      </c>
      <c r="E6" s="21" t="inlineStr">
        <is>
          <t>미제공</t>
        </is>
      </c>
      <c r="F6" s="21" t="inlineStr">
        <is>
          <t>확인 필요 (IECSC 검색)</t>
        </is>
      </c>
      <c r="G6" s="21" t="inlineStr">
        <is>
          <t>시나리오 A/B 또는 C/D</t>
        </is>
      </c>
      <c r="H6" s="21" t="inlineStr">
        <is>
          <t>확인 필요 (목록·분류 판정)</t>
        </is>
      </c>
      <c r="I6" s="21" t="inlineStr">
        <is>
          <t>확인 필요 (UN번호)</t>
        </is>
      </c>
      <c r="J6" s="16" t="inlineStr">
        <is>
          <t>확인 필요 (자연발화·수분반응 여부)</t>
        </is>
      </c>
      <c r="K6" s="21" t="inlineStr">
        <is>
          <t>미제공</t>
        </is>
      </c>
      <c r="L6" s="21" t="inlineStr">
        <is>
          <t>확인 필요 (备案 여부)</t>
        </is>
      </c>
      <c r="M6" s="21" t="inlineStr">
        <is>
          <t>확인 필요</t>
        </is>
      </c>
      <c r="N6" s="26" t="inlineStr">
        <is>
          <t>정보 없음</t>
        </is>
      </c>
      <c r="O6" s="16" t="inlineStr">
        <is>
          <t>SDS(국문/영문), CAS, 조성, 연간 수입량, 기존 备案·등록 번호, 시험보고서 목록</t>
        </is>
      </c>
      <c r="P6" s="21" t="inlineStr">
        <is>
          <t>EVD-032, EVD-003</t>
        </is>
      </c>
    </row>
    <row r="7">
      <c r="A7" s="21" t="inlineStr">
        <is>
          <t>MAT-02</t>
        </is>
      </c>
      <c r="B7" s="16" t="inlineStr">
        <is>
          <t>스칸듐(Sc) 전구체 (제품명 미제공)</t>
        </is>
      </c>
      <c r="C7" s="21" t="inlineStr">
        <is>
          <t>미제공</t>
        </is>
      </c>
      <c r="D7" s="21" t="inlineStr">
        <is>
          <t>미제공</t>
        </is>
      </c>
      <c r="E7" s="21" t="inlineStr">
        <is>
          <t>미제공</t>
        </is>
      </c>
      <c r="F7" s="21" t="inlineStr">
        <is>
          <t>확인 필요</t>
        </is>
      </c>
      <c r="G7" s="21" t="inlineStr">
        <is>
          <t>시나리오 A~D</t>
        </is>
      </c>
      <c r="H7" s="21" t="inlineStr">
        <is>
          <t>확인 필요</t>
        </is>
      </c>
      <c r="I7" s="21" t="inlineStr">
        <is>
          <t>확인 필요</t>
        </is>
      </c>
      <c r="J7" s="16" t="inlineStr">
        <is>
          <t>확인 필요</t>
        </is>
      </c>
      <c r="K7" s="21" t="inlineStr">
        <is>
          <t>미제공</t>
        </is>
      </c>
      <c r="L7" s="21" t="inlineStr">
        <is>
          <t>확인 필요</t>
        </is>
      </c>
      <c r="M7" s="21" t="inlineStr">
        <is>
          <t>확인 필요</t>
        </is>
      </c>
      <c r="N7" s="26" t="inlineStr">
        <is>
          <t>정보 없음</t>
        </is>
      </c>
      <c r="O7" s="16" t="inlineStr">
        <is>
          <t>동일</t>
        </is>
      </c>
      <c r="P7" s="21" t="inlineStr">
        <is>
          <t>EVD-032, EVD-003</t>
        </is>
      </c>
    </row>
    <row r="8">
      <c r="A8" s="21" t="inlineStr">
        <is>
          <t>MAT-03</t>
        </is>
      </c>
      <c r="B8" s="16" t="inlineStr">
        <is>
          <t>란타늄(La) 전구체 (제품명 미제공)</t>
        </is>
      </c>
      <c r="C8" s="21" t="inlineStr">
        <is>
          <t>미제공</t>
        </is>
      </c>
      <c r="D8" s="21" t="inlineStr">
        <is>
          <t>미제공</t>
        </is>
      </c>
      <c r="E8" s="21" t="inlineStr">
        <is>
          <t>미제공</t>
        </is>
      </c>
      <c r="F8" s="21" t="inlineStr">
        <is>
          <t>확인 필요</t>
        </is>
      </c>
      <c r="G8" s="21" t="inlineStr">
        <is>
          <t>시나리오 A~D</t>
        </is>
      </c>
      <c r="H8" s="21" t="inlineStr">
        <is>
          <t>확인 필요</t>
        </is>
      </c>
      <c r="I8" s="21" t="inlineStr">
        <is>
          <t>확인 필요</t>
        </is>
      </c>
      <c r="J8" s="16" t="inlineStr">
        <is>
          <t>확인 필요</t>
        </is>
      </c>
      <c r="K8" s="21" t="inlineStr">
        <is>
          <t>미제공</t>
        </is>
      </c>
      <c r="L8" s="21" t="inlineStr">
        <is>
          <t>확인 필요</t>
        </is>
      </c>
      <c r="M8" s="21" t="inlineStr">
        <is>
          <t>확인 필요</t>
        </is>
      </c>
      <c r="N8" s="26" t="inlineStr">
        <is>
          <t>정보 없음</t>
        </is>
      </c>
      <c r="O8" s="16" t="inlineStr">
        <is>
          <t>동일</t>
        </is>
      </c>
      <c r="P8" s="21" t="inlineStr">
        <is>
          <t>EVD-032, EVD-003</t>
        </is>
      </c>
    </row>
    <row r="9">
      <c r="A9" s="21" t="inlineStr">
        <is>
          <t>MAT-04</t>
        </is>
      </c>
      <c r="B9" s="16" t="inlineStr">
        <is>
          <t>CpZr 계열 (후속 검토)</t>
        </is>
      </c>
      <c r="C9" s="21" t="inlineStr">
        <is>
          <t>미제공</t>
        </is>
      </c>
      <c r="D9" s="21" t="inlineStr">
        <is>
          <t>미제공</t>
        </is>
      </c>
      <c r="E9" s="21" t="inlineStr">
        <is>
          <t>미제공</t>
        </is>
      </c>
      <c r="F9" s="21" t="inlineStr">
        <is>
          <t>확인 필요</t>
        </is>
      </c>
      <c r="G9" s="21" t="inlineStr">
        <is>
          <t>시나리오 A~D</t>
        </is>
      </c>
      <c r="H9" s="21" t="inlineStr">
        <is>
          <t>확인 필요</t>
        </is>
      </c>
      <c r="I9" s="21" t="inlineStr">
        <is>
          <t>확인 필요</t>
        </is>
      </c>
      <c r="J9" s="16" t="inlineStr">
        <is>
          <t>확인 필요</t>
        </is>
      </c>
      <c r="K9" s="21" t="inlineStr">
        <is>
          <t>생산계획 자료 별도</t>
        </is>
      </c>
      <c r="L9" s="21" t="inlineStr">
        <is>
          <t>확인 필요</t>
        </is>
      </c>
      <c r="M9" s="21" t="inlineStr">
        <is>
          <t>확인 필요</t>
        </is>
      </c>
      <c r="N9" s="26" t="inlineStr">
        <is>
          <t>정보 없음</t>
        </is>
      </c>
      <c r="O9" s="16" t="inlineStr">
        <is>
          <t>동일 + 고객별 수입 구조</t>
        </is>
      </c>
      <c r="P9" s="21" t="inlineStr">
        <is>
          <t>EVD-032, EVD-003</t>
        </is>
      </c>
    </row>
    <row r="12">
      <c r="A12" s="6" t="inlineStr">
        <is>
          <t>규제 시나리오</t>
        </is>
      </c>
    </row>
    <row r="13">
      <c r="A13" s="15" t="inlineStr">
        <is>
          <t>시나리오</t>
        </is>
      </c>
      <c r="B13" s="15" t="inlineStr">
        <is>
          <t>구분</t>
        </is>
      </c>
      <c r="C13" s="15" t="inlineStr">
        <is>
          <t>필요 등록·영업·보관·운송</t>
        </is>
      </c>
      <c r="D13" s="15" t="inlineStr">
        <is>
          <t>사업 영향</t>
        </is>
      </c>
    </row>
    <row r="14">
      <c r="A14" s="16" t="inlineStr">
        <is>
          <t>A</t>
        </is>
      </c>
      <c r="B14" s="16" t="inlineStr">
        <is>
          <t>신규 · 위험화학품</t>
        </is>
      </c>
      <c r="C14" s="16" t="inlineStr">
        <is>
          <t>등록 필요(간이/상규) + 수입기업 위험화학품 등록 + 경영허가 + 허가 창고·위험물 운송</t>
        </is>
      </c>
      <c r="D14" s="16" t="inlineStr">
        <is>
          <t>가장 무거움. 등록 신청 주체가 핵심 (개정 시 중국 수입기업)</t>
        </is>
      </c>
    </row>
    <row r="15">
      <c r="A15" s="16" t="inlineStr">
        <is>
          <t>B</t>
        </is>
      </c>
      <c r="B15" s="16" t="inlineStr">
        <is>
          <t>신규 · 비위험</t>
        </is>
      </c>
      <c r="C15" s="16" t="inlineStr">
        <is>
          <t>등록 필요 + 경영허가 불필요(목록 비해당·판정 근거 보관) + 일반 창고 가능(물성 확인)</t>
        </is>
      </c>
      <c r="D15" s="16" t="inlineStr">
        <is>
          <t>등록 주체 문제만 남음</t>
        </is>
      </c>
    </row>
    <row r="16">
      <c r="A16" s="16" t="inlineStr">
        <is>
          <t>C</t>
        </is>
      </c>
      <c r="B16" s="16" t="inlineStr">
        <is>
          <t>기존 · 위험화학품</t>
        </is>
      </c>
      <c r="C16" s="16" t="inlineStr">
        <is>
          <t>등록 불필요 + 위험화학품 등록·경영허가·허가 창고·위험물 운송</t>
        </is>
      </c>
      <c r="D16" s="16" t="inlineStr">
        <is>
          <t>법인·허가·창고가 핵심</t>
        </is>
      </c>
    </row>
    <row r="17">
      <c r="A17" s="16" t="inlineStr">
        <is>
          <t>D</t>
        </is>
      </c>
      <c r="B17" s="16" t="inlineStr">
        <is>
          <t>기존 · 비위험</t>
        </is>
      </c>
      <c r="C17" s="16" t="inlineStr">
        <is>
          <t>등록·경영허가 불필요 + 일반 수입·판매</t>
        </is>
      </c>
      <c r="D17" s="16" t="inlineStr">
        <is>
          <t>MP 또는 일반 무역법인도 가능</t>
        </is>
      </c>
    </row>
    <row r="19">
      <c r="A19" s="2" t="inlineStr">
        <is>
          <t>운송상 위험물(UN 분류)과 위험화학품 목록 해당 여부는 별개로 판정 — 둘 다 확인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FF7900"/>
    <outlinePr summaryBelow="1" summaryRight="1"/>
    <pageSetUpPr/>
  </sheetPr>
  <dimension ref="A1:L1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9" customWidth="1" min="2" max="2"/>
    <col width="22" customWidth="1" min="3" max="3"/>
    <col width="12" customWidth="1" min="4" max="4"/>
    <col width="16" customWidth="1" min="5" max="5"/>
    <col width="26" customWidth="1" min="6" max="6"/>
    <col width="22" customWidth="1" min="7" max="7"/>
    <col width="22" customWidth="1" min="8" max="8"/>
    <col width="36" customWidth="1" min="9" max="9"/>
    <col width="20" customWidth="1" min="10" max="10"/>
    <col width="22" customWidth="1" min="11" max="11"/>
    <col width="18" customWidth="1" min="12" max="12"/>
  </cols>
  <sheetData>
    <row r="1">
      <c r="A1" s="1" t="inlineStr">
        <is>
          <t>06_LegalMatrix | 법적 쟁점 매트릭스</t>
        </is>
      </c>
    </row>
    <row r="2">
      <c r="A2" s="2" t="inlineStr">
        <is>
          <t>국가 공통 규정과 성·시 집행 기준 구분. 결론은 근거 기반 판단이며 법률 의견이 아님</t>
        </is>
      </c>
    </row>
    <row r="3">
      <c r="A3" s="3" t="inlineStr">
        <is>
          <t>조사 기준일 2026-10-06 · 단위·상태는 각 열 머리글 참조</t>
        </is>
      </c>
    </row>
    <row r="5">
      <c r="A5" s="20" t="inlineStr">
        <is>
          <t>법적 쟁점</t>
        </is>
      </c>
      <c r="B5" s="20" t="inlineStr">
        <is>
          <t>국가·성·시</t>
        </is>
      </c>
      <c r="C5" s="20" t="inlineStr">
        <is>
          <t>관련 규정</t>
        </is>
      </c>
      <c r="D5" s="20" t="inlineStr">
        <is>
          <t>조문</t>
        </is>
      </c>
      <c r="E5" s="20" t="inlineStr">
        <is>
          <t>활동·품목</t>
        </is>
      </c>
      <c r="F5" s="20" t="inlineStr">
        <is>
          <t>의무·예외</t>
        </is>
      </c>
      <c r="G5" s="20" t="inlineStr">
        <is>
          <t>필요 자료</t>
        </is>
      </c>
      <c r="H5" s="20" t="inlineStr">
        <is>
          <t>담당 기관</t>
        </is>
      </c>
      <c r="I5" s="20" t="inlineStr">
        <is>
          <t>결론</t>
        </is>
      </c>
      <c r="J5" s="20" t="inlineStr">
        <is>
          <t>조건</t>
        </is>
      </c>
      <c r="K5" s="20" t="inlineStr">
        <is>
          <t>미확인</t>
        </is>
      </c>
      <c r="L5" s="20" t="inlineStr">
        <is>
          <t>근거 ID</t>
        </is>
      </c>
    </row>
    <row r="6">
      <c r="A6" s="16" t="inlineStr">
        <is>
          <t>신규화학물질 등록 신청 주체 (현행)</t>
        </is>
      </c>
      <c r="B6" s="21" t="inlineStr">
        <is>
          <t>국가</t>
        </is>
      </c>
      <c r="C6" s="21" t="inlineStr">
        <is>
          <t>12호령</t>
        </is>
      </c>
      <c r="D6" s="21" t="inlineStr">
        <is>
          <t>신청인 조항</t>
        </is>
      </c>
      <c r="E6" s="21" t="inlineStr">
        <is>
          <t>신규물질 생산·수입</t>
        </is>
      </c>
      <c r="F6" s="16" t="inlineStr">
        <is>
          <t>해외 생산자 + 중국 대리인 가능</t>
        </is>
      </c>
      <c r="G6" s="16" t="inlineStr">
        <is>
          <t>대리 계약·신청서·시험자료</t>
        </is>
      </c>
      <c r="H6" s="21" t="inlineStr">
        <is>
          <t>생태환경부 고체·화학품 관리기술센터</t>
        </is>
      </c>
      <c r="I6" s="16" t="inlineStr">
        <is>
          <t>현행 규정상 TC 본사 + 대리인 신청 가능</t>
        </is>
      </c>
      <c r="J6" s="16" t="inlineStr">
        <is>
          <t>개정안 확정 전까지</t>
        </is>
      </c>
      <c r="K6" s="16" t="inlineStr">
        <is>
          <t>현재 적용 규정(개정 공포 여부)</t>
        </is>
      </c>
      <c r="L6" s="21" t="inlineStr">
        <is>
          <t>EVD-001</t>
        </is>
      </c>
    </row>
    <row r="7">
      <c r="A7" s="16" t="inlineStr">
        <is>
          <t>신규화학물질 등록 신청 주체 (개정안)</t>
        </is>
      </c>
      <c r="B7" s="21" t="inlineStr">
        <is>
          <t>국가</t>
        </is>
      </c>
      <c r="C7" s="21" t="inlineStr">
        <is>
          <t>12호령 개정 초안</t>
        </is>
      </c>
      <c r="D7" s="21" t="inlineStr">
        <is>
          <t>신청인 조항</t>
        </is>
      </c>
      <c r="E7" s="21" t="inlineStr">
        <is>
          <t>동일</t>
        </is>
      </c>
      <c r="F7" s="16" t="inlineStr">
        <is>
          <t>중국 내 생산·수입 기업만</t>
        </is>
      </c>
      <c r="G7" s="16" t="inlineStr">
        <is>
          <t>해외 기업은 자료 제공</t>
        </is>
      </c>
      <c r="H7" s="21" t="inlineStr">
        <is>
          <t>생태환경부</t>
        </is>
      </c>
      <c r="I7" s="16" t="inlineStr">
        <is>
          <t>확정 시 중국 수입 법인(TC 법인·MP·고객) 명의 필요</t>
        </is>
      </c>
      <c r="J7" s="16" t="inlineStr">
        <is>
          <t>개정 최종본</t>
        </is>
      </c>
      <c r="K7" s="16" t="inlineStr">
        <is>
          <t>최종 공포·시행일</t>
        </is>
      </c>
      <c r="L7" s="21" t="inlineStr">
        <is>
          <t>EVD-002</t>
        </is>
      </c>
    </row>
    <row r="8">
      <c r="A8" s="16" t="inlineStr">
        <is>
          <t>备案 중단·연말 전환</t>
        </is>
      </c>
      <c r="B8" s="21" t="inlineStr">
        <is>
          <t>국가</t>
        </is>
      </c>
      <c r="C8" s="21" t="inlineStr">
        <is>
          <t>환판고체함〔2026〕301호</t>
        </is>
      </c>
      <c r="D8" s="21" t="inlineStr">
        <is>
          <t>-</t>
        </is>
      </c>
      <c r="E8" s="21" t="inlineStr">
        <is>
          <t>기존 备案 물질</t>
        </is>
      </c>
      <c r="F8" s="16" t="inlineStr">
        <is>
          <t>2026-12-31까지 등록증 취득</t>
        </is>
      </c>
      <c r="G8" s="16" t="inlineStr">
        <is>
          <t>신청표·증명·위해성 정보</t>
        </is>
      </c>
      <c r="H8" s="21" t="inlineStr">
        <is>
          <t>생태환경부</t>
        </is>
      </c>
      <c r="I8" s="16" t="inlineStr">
        <is>
          <t>기존 备案 보유자에게 연말 기한 존재</t>
        </is>
      </c>
      <c r="J8" s="16" t="inlineStr">
        <is>
          <t>제품이 备案으로 수입돼 왔을 때</t>
        </is>
      </c>
      <c r="K8" s="16" t="inlineStr">
        <is>
          <t>TC 제품 备案 보유자·번호</t>
        </is>
      </c>
      <c r="L8" s="21" t="inlineStr">
        <is>
          <t>EVD-003</t>
        </is>
      </c>
    </row>
    <row r="9">
      <c r="A9" s="16" t="inlineStr">
        <is>
          <t>수입·판매만 할 때 생산허가</t>
        </is>
      </c>
      <c r="B9" s="21" t="inlineStr">
        <is>
          <t>국가</t>
        </is>
      </c>
      <c r="C9" s="21" t="inlineStr">
        <is>
          <t>위험화학품안전법</t>
        </is>
      </c>
      <c r="D9" s="21" t="inlineStr">
        <is>
          <t>제53조 외</t>
        </is>
      </c>
      <c r="E9" s="21" t="inlineStr">
        <is>
          <t>수입·판매</t>
        </is>
      </c>
      <c r="F9" s="16" t="inlineStr">
        <is>
          <t>생산허가는 생산기업 대상</t>
        </is>
      </c>
      <c r="G9" s="16" t="inlineStr">
        <is>
          <t>-</t>
        </is>
      </c>
      <c r="H9" s="21" t="inlineStr">
        <is>
          <t>응급관리부문</t>
        </is>
      </c>
      <c r="I9" s="16" t="inlineStr">
        <is>
          <t>단순 수입·판매에는 생산허가·생산설비 불필요 (근거 기반)</t>
        </is>
      </c>
      <c r="J9" s="16" t="inlineStr">
        <is>
          <t>충진·소분 등 가공 없음</t>
        </is>
      </c>
      <c r="K9" s="16" t="inlineStr">
        <is>
          <t>지역별 '분장·충진' 해석</t>
        </is>
      </c>
      <c r="L9" s="21" t="inlineStr">
        <is>
          <t>EVD-009, EVD-011</t>
        </is>
      </c>
    </row>
    <row r="10">
      <c r="A10" s="16" t="inlineStr">
        <is>
          <t>위험화학품 경영허가</t>
        </is>
      </c>
      <c r="B10" s="21" t="inlineStr">
        <is>
          <t>국가·시</t>
        </is>
      </c>
      <c r="C10" s="21" t="inlineStr">
        <is>
          <t>위험화학품안전법·55호령·무석 세칙</t>
        </is>
      </c>
      <c r="D10" s="21" t="inlineStr">
        <is>
          <t>제53·54조</t>
        </is>
      </c>
      <c r="E10" s="21" t="inlineStr">
        <is>
          <t>판매(무저장/임차저장/저장)</t>
        </is>
      </c>
      <c r="F10" s="16" t="inlineStr">
        <is>
          <t>허가 필수, 생산기업 자사품 공장 내 판매 예외</t>
        </is>
      </c>
      <c r="G10" s="16" t="inlineStr">
        <is>
          <t>책임자·안전관리자 자격, 규정, 응급계획, 장소</t>
        </is>
      </c>
      <c r="H10" s="21" t="inlineStr">
        <is>
          <t>구·시 행정심사국/응급관리국</t>
        </is>
      </c>
      <c r="I10" s="16" t="inlineStr">
        <is>
          <t>수입·판매 법인은 경영허가 필요(위험화학품일 때)</t>
        </is>
      </c>
      <c r="J10" s="16" t="inlineStr">
        <is>
          <t>목록 해당</t>
        </is>
      </c>
      <c r="K10" s="16" t="inlineStr">
        <is>
          <t>무석 신오구 세부 요건·기한</t>
        </is>
      </c>
      <c r="L10" s="21" t="inlineStr">
        <is>
          <t>EVD-008, EVD-012, EVD-014</t>
        </is>
      </c>
    </row>
    <row r="11">
      <c r="A11" s="16" t="inlineStr">
        <is>
          <t>저장 시설 위치</t>
        </is>
      </c>
      <c r="B11" s="21" t="inlineStr">
        <is>
          <t>국가·성</t>
        </is>
      </c>
      <c r="C11" s="21" t="inlineStr">
        <is>
          <t>위험화학품안전법·강소성 화공원구 관리</t>
        </is>
      </c>
      <c r="D11" s="21" t="inlineStr">
        <is>
          <t>제54조 외</t>
        </is>
      </c>
      <c r="E11" s="21" t="inlineStr">
        <is>
          <t>자체·임차 저장</t>
        </is>
      </c>
      <c r="F11" s="16" t="inlineStr">
        <is>
          <t>지방정부 지정 전용구역</t>
        </is>
      </c>
      <c r="G11" s="16" t="inlineStr">
        <is>
          <t>안전평가·건설 안전심사</t>
        </is>
      </c>
      <c r="H11" s="21" t="inlineStr">
        <is>
          <t>응급관리부문·원구</t>
        </is>
      </c>
      <c r="I11" s="16" t="inlineStr">
        <is>
          <t>강소성 신규 저장은 인정 화공원구 내가 현실적</t>
        </is>
      </c>
      <c r="J11" s="16" t="inlineStr">
        <is>
          <t>자체·임차 창고</t>
        </is>
      </c>
      <c r="K11" s="16" t="inlineStr">
        <is>
          <t>무석 임차저장 세부 조건</t>
        </is>
      </c>
      <c r="L11" s="21" t="inlineStr">
        <is>
          <t>EVD-013, EVD-020</t>
        </is>
      </c>
    </row>
    <row r="12">
      <c r="A12" s="16" t="inlineStr">
        <is>
          <t>수입기업 위험화학품 등록</t>
        </is>
      </c>
      <c r="B12" s="21" t="inlineStr">
        <is>
          <t>국가</t>
        </is>
      </c>
      <c r="C12" s="21" t="inlineStr">
        <is>
          <t>53호령(등록관리)</t>
        </is>
      </c>
      <c r="D12" s="21" t="inlineStr">
        <is>
          <t>-</t>
        </is>
      </c>
      <c r="E12" s="21" t="inlineStr">
        <is>
          <t>목록 물질 수입</t>
        </is>
      </c>
      <c r="F12" s="16" t="inlineStr">
        <is>
          <t>첫 수입 전 등록</t>
        </is>
      </c>
      <c r="G12" s="16" t="inlineStr">
        <is>
          <t>SDS·라벨·분류보고</t>
        </is>
      </c>
      <c r="H12" s="21" t="inlineStr">
        <is>
          <t>응급관리부 화학품등록센터</t>
        </is>
      </c>
      <c r="I12" s="16" t="inlineStr">
        <is>
          <t>수입 명의자가 등록</t>
        </is>
      </c>
      <c r="J12" s="16" t="inlineStr">
        <is>
          <t>목록 해당</t>
        </is>
      </c>
      <c r="K12" s="16" t="inlineStr">
        <is>
          <t>신법 하위규정 정비</t>
        </is>
      </c>
      <c r="L12" s="21" t="inlineStr">
        <is>
          <t>EVD-018</t>
        </is>
      </c>
    </row>
    <row r="13">
      <c r="A13" s="16" t="inlineStr">
        <is>
          <t>수입 통관 검사</t>
        </is>
      </c>
      <c r="B13" s="21" t="inlineStr">
        <is>
          <t>국가</t>
        </is>
      </c>
      <c r="C13" s="21" t="inlineStr">
        <is>
          <t>해관총서 2020-129호</t>
        </is>
      </c>
      <c r="D13" s="21" t="inlineStr">
        <is>
          <t>-</t>
        </is>
      </c>
      <c r="E13" s="21" t="inlineStr">
        <is>
          <t>위험화학품 수입</t>
        </is>
      </c>
      <c r="F13" s="16" t="inlineStr">
        <is>
          <t>위험 분류·UN번호 신고, 중문 라벨·SDS</t>
        </is>
      </c>
      <c r="G13" s="16" t="inlineStr">
        <is>
          <t>적합성 성명·라벨·SDS</t>
        </is>
      </c>
      <c r="H13" s="21" t="inlineStr">
        <is>
          <t>해관</t>
        </is>
      </c>
      <c r="I13" s="16" t="inlineStr">
        <is>
          <t>수입자가 중문 SDS·라벨 준비</t>
        </is>
      </c>
      <c r="J13" s="16" t="inlineStr">
        <is>
          <t>목록 해당</t>
        </is>
      </c>
      <c r="K13" s="16" t="inlineStr">
        <is>
          <t>-</t>
        </is>
      </c>
      <c r="L13" s="21" t="inlineStr">
        <is>
          <t>EVD-019</t>
        </is>
      </c>
    </row>
    <row r="14">
      <c r="A14" s="16" t="inlineStr">
        <is>
          <t>한국 시험자료 사용</t>
        </is>
      </c>
      <c r="B14" s="21" t="inlineStr">
        <is>
          <t>국가</t>
        </is>
      </c>
      <c r="C14" s="21" t="inlineStr">
        <is>
          <t>등록 지침</t>
        </is>
      </c>
      <c r="D14" s="21" t="inlineStr">
        <is>
          <t>-</t>
        </is>
      </c>
      <c r="E14" s="21" t="inlineStr">
        <is>
          <t>간이·상규 등록</t>
        </is>
      </c>
      <c r="F14" s="16" t="inlineStr">
        <is>
          <t>중국 공시생물 생태독성 시험 필요</t>
        </is>
      </c>
      <c r="G14" s="16" t="inlineStr">
        <is>
          <t>GLP 시험보고서</t>
        </is>
      </c>
      <c r="H14" s="21" t="inlineStr">
        <is>
          <t>생태환경부</t>
        </is>
      </c>
      <c r="I14" s="16" t="inlineStr">
        <is>
          <t>그대로 사용은 어려움(일부 보완 시험)</t>
        </is>
      </c>
      <c r="J14" s="16" t="inlineStr">
        <is>
          <t>등록 유형별</t>
        </is>
      </c>
      <c r="K14" s="16" t="inlineStr">
        <is>
          <t>물질별 요구 시험 목록</t>
        </is>
      </c>
      <c r="L14" s="21" t="inlineStr">
        <is>
          <t>EVD-006</t>
        </is>
      </c>
    </row>
    <row r="15">
      <c r="A15" s="16" t="inlineStr">
        <is>
          <t>외국인 독자 법인</t>
        </is>
      </c>
      <c r="B15" s="21" t="inlineStr">
        <is>
          <t>국가</t>
        </is>
      </c>
      <c r="C15" s="21" t="inlineStr">
        <is>
          <t>네거티브리스트 2024</t>
        </is>
      </c>
      <c r="D15" s="21" t="inlineStr">
        <is>
          <t>-</t>
        </is>
      </c>
      <c r="E15" s="21" t="inlineStr">
        <is>
          <t>화학품 도매</t>
        </is>
      </c>
      <c r="F15" s="16" t="inlineStr">
        <is>
          <t>제한 목록에 없음(파악)</t>
        </is>
      </c>
      <c r="G15" s="16" t="inlineStr">
        <is>
          <t>-</t>
        </is>
      </c>
      <c r="H15" s="21" t="inlineStr">
        <is>
          <t>시장감독관리국</t>
        </is>
      </c>
      <c r="I15" s="16" t="inlineStr">
        <is>
          <t>100% 외자 무역법인 설립 가능(근거 기반)</t>
        </is>
      </c>
      <c r="J15" s="16" t="inlineStr">
        <is>
          <t>-</t>
        </is>
      </c>
      <c r="K15" s="16" t="inlineStr">
        <is>
          <t>원문 대조</t>
        </is>
      </c>
      <c r="L15" s="21" t="inlineStr">
        <is>
          <t>EVD-024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00FF7900"/>
    <outlinePr summaryBelow="1" summaryRight="1"/>
    <pageSetUpPr/>
  </sheetPr>
  <dimension ref="A1:M13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24" customWidth="1" min="3" max="3"/>
    <col width="24" customWidth="1" min="4" max="4"/>
    <col width="22" customWidth="1" min="5" max="5"/>
    <col width="24" customWidth="1" min="6" max="6"/>
    <col width="16" customWidth="1" min="7" max="7"/>
    <col width="18" customWidth="1" min="8" max="8"/>
    <col width="16" customWidth="1" min="9" max="9"/>
    <col width="12" customWidth="1" min="10" max="10"/>
    <col width="16" customWidth="1" min="11" max="11"/>
    <col width="12" customWidth="1" min="12" max="12"/>
    <col width="18" customWidth="1" min="13" max="13"/>
  </cols>
  <sheetData>
    <row r="1">
      <c r="A1" s="1" t="inlineStr">
        <is>
          <t>07_PermitPaths | 허가·등록 절차</t>
        </is>
      </c>
    </row>
    <row r="2">
      <c r="A2" s="2" t="inlineStr">
        <is>
          <t>현실 예상기간(주)은 분석 가정. 법정 처리기간은 확인된 경우만 기재</t>
        </is>
      </c>
    </row>
    <row r="3">
      <c r="A3" s="3" t="inlineStr">
        <is>
          <t>조사 기준일 2026-10-06 · 단위·상태는 각 열 머리글 참조</t>
        </is>
      </c>
    </row>
    <row r="5">
      <c r="A5" s="20" t="inlineStr">
        <is>
          <t>운영 구조</t>
        </is>
      </c>
      <c r="B5" s="20" t="inlineStr">
        <is>
          <t>절차·허가명</t>
        </is>
      </c>
      <c r="C5" s="20" t="inlineStr">
        <is>
          <t>신청 주체</t>
        </is>
      </c>
      <c r="D5" s="20" t="inlineStr">
        <is>
          <t>관할</t>
        </is>
      </c>
      <c r="E5" s="20" t="inlineStr">
        <is>
          <t>선행 조건</t>
        </is>
      </c>
      <c r="F5" s="20" t="inlineStr">
        <is>
          <t>제출 자료</t>
        </is>
      </c>
      <c r="G5" s="20" t="inlineStr">
        <is>
          <t>시설</t>
        </is>
      </c>
      <c r="H5" s="20" t="inlineStr">
        <is>
          <t>인력</t>
        </is>
      </c>
      <c r="I5" s="20" t="inlineStr">
        <is>
          <t>법정 처리기간</t>
        </is>
      </c>
      <c r="J5" s="20" t="inlineStr">
        <is>
          <t>현실 예상기간(주)</t>
        </is>
      </c>
      <c r="K5" s="20" t="inlineStr">
        <is>
          <t>비용</t>
        </is>
      </c>
      <c r="L5" s="20" t="inlineStr">
        <is>
          <t>갱신·유지</t>
        </is>
      </c>
      <c r="M5" s="20" t="inlineStr">
        <is>
          <t>근거 ID</t>
        </is>
      </c>
    </row>
    <row r="6">
      <c r="A6" s="21" t="inlineStr">
        <is>
          <t>공통</t>
        </is>
      </c>
      <c r="B6" s="16" t="inlineStr">
        <is>
          <t>한국 해외직접투자 신고</t>
        </is>
      </c>
      <c r="C6" s="16" t="inlineStr">
        <is>
          <t>TC 본사</t>
        </is>
      </c>
      <c r="D6" s="16" t="inlineStr">
        <is>
          <t>지정거래 외국환은행</t>
        </is>
      </c>
      <c r="E6" s="16" t="inlineStr">
        <is>
          <t>-</t>
        </is>
      </c>
      <c r="F6" s="16" t="inlineStr">
        <is>
          <t>신고서·사업계획</t>
        </is>
      </c>
      <c r="G6" s="21" t="inlineStr">
        <is>
          <t>-</t>
        </is>
      </c>
      <c r="H6" s="21" t="inlineStr">
        <is>
          <t>-</t>
        </is>
      </c>
      <c r="I6" s="21" t="inlineStr">
        <is>
          <t>-</t>
        </is>
      </c>
      <c r="J6" s="27" t="n">
        <v>1</v>
      </c>
      <c r="K6" s="21" t="inlineStr">
        <is>
          <t>수수료 수준</t>
        </is>
      </c>
      <c r="L6" s="21" t="inlineStr">
        <is>
          <t>변경 시 사후 신고</t>
        </is>
      </c>
      <c r="M6" s="21" t="inlineStr">
        <is>
          <t>EVD-026</t>
        </is>
      </c>
    </row>
    <row r="7">
      <c r="A7" s="21" t="inlineStr">
        <is>
          <t>공통</t>
        </is>
      </c>
      <c r="B7" s="16" t="inlineStr">
        <is>
          <t>법인 설립 등기(营业执照)</t>
        </is>
      </c>
      <c r="C7" s="16" t="inlineStr">
        <is>
          <t>TC 본사(투자자)</t>
        </is>
      </c>
      <c r="D7" s="16" t="inlineStr">
        <is>
          <t>구 시장감독관리국</t>
        </is>
      </c>
      <c r="E7" s="16" t="inlineStr">
        <is>
          <t>주소(임대계약)·서류 아포스티유</t>
        </is>
      </c>
      <c r="F7" s="16" t="inlineStr">
        <is>
          <t>정관·투자자 증명·법정대표인 등</t>
        </is>
      </c>
      <c r="G7" s="21" t="inlineStr">
        <is>
          <t>사무실</t>
        </is>
      </c>
      <c r="H7" s="21" t="inlineStr">
        <is>
          <t>법정대표인·이사·(감사)</t>
        </is>
      </c>
      <c r="I7" s="21" t="inlineStr">
        <is>
          <t>기관 확인</t>
        </is>
      </c>
      <c r="J7" s="27" t="n">
        <v>5</v>
      </c>
      <c r="K7" s="21" t="inlineStr">
        <is>
          <t>대행비 견적 필요</t>
        </is>
      </c>
      <c r="L7" s="21" t="inlineStr">
        <is>
          <t>-</t>
        </is>
      </c>
      <c r="M7" s="21" t="inlineStr">
        <is>
          <t>EVD-022, EVD-025</t>
        </is>
      </c>
    </row>
    <row r="8">
      <c r="A8" s="21" t="inlineStr">
        <is>
          <t>공통</t>
        </is>
      </c>
      <c r="B8" s="16" t="inlineStr">
        <is>
          <t>은행 계좌·외환·세무·해관 등록</t>
        </is>
      </c>
      <c r="C8" s="16" t="inlineStr">
        <is>
          <t>중국 법인</t>
        </is>
      </c>
      <c r="D8" s="16" t="inlineStr">
        <is>
          <t>은행·세무국·해관</t>
        </is>
      </c>
      <c r="E8" s="16" t="inlineStr">
        <is>
          <t>营业执照</t>
        </is>
      </c>
      <c r="F8" s="16" t="inlineStr">
        <is>
          <t>인감·서류</t>
        </is>
      </c>
      <c r="G8" s="21" t="inlineStr">
        <is>
          <t>-</t>
        </is>
      </c>
      <c r="H8" s="21" t="inlineStr">
        <is>
          <t>재무 담당</t>
        </is>
      </c>
      <c r="I8" s="21" t="inlineStr">
        <is>
          <t>기관 확인</t>
        </is>
      </c>
      <c r="J8" s="27" t="n">
        <v>3</v>
      </c>
      <c r="K8" s="21" t="inlineStr">
        <is>
          <t>견적 필요</t>
        </is>
      </c>
      <c r="L8" s="21" t="inlineStr">
        <is>
          <t>-</t>
        </is>
      </c>
      <c r="M8" s="28" t="inlineStr">
        <is>
          <t>기관 확인 필요</t>
        </is>
      </c>
    </row>
    <row r="9">
      <c r="A9" s="21" t="inlineStr">
        <is>
          <t>B·C·D</t>
        </is>
      </c>
      <c r="B9" s="16" t="inlineStr">
        <is>
          <t>위험화학품 경영허가(무저장/임차저장/저장)</t>
        </is>
      </c>
      <c r="C9" s="16" t="inlineStr">
        <is>
          <t>중국 법인</t>
        </is>
      </c>
      <c r="D9" s="16" t="inlineStr">
        <is>
          <t>무석 신오구 행정심사국(예상)</t>
        </is>
      </c>
      <c r="E9" s="16" t="inlineStr">
        <is>
          <t>营业执照·장소·인력 자격</t>
        </is>
      </c>
      <c r="F9" s="16" t="inlineStr">
        <is>
          <t>신청서·규정·응급계획·자격증</t>
        </is>
      </c>
      <c r="G9" s="21" t="inlineStr">
        <is>
          <t>무저장: 사무실 / 저장: 허가 창고</t>
        </is>
      </c>
      <c r="H9" s="21" t="inlineStr">
        <is>
          <t>책임자·전담 안전관리자</t>
        </is>
      </c>
      <c r="I9" s="21" t="inlineStr">
        <is>
          <t>20 영업일(사례)</t>
        </is>
      </c>
      <c r="J9" s="27" t="n">
        <v>8</v>
      </c>
      <c r="K9" s="21" t="inlineStr">
        <is>
          <t>견적 필요</t>
        </is>
      </c>
      <c r="L9" s="21" t="inlineStr">
        <is>
          <t>3년</t>
        </is>
      </c>
      <c r="M9" s="21" t="inlineStr">
        <is>
          <t>EVD-012, EVD-016</t>
        </is>
      </c>
    </row>
    <row r="10">
      <c r="A10" s="21" t="inlineStr">
        <is>
          <t>B·C·D</t>
        </is>
      </c>
      <c r="B10" s="16" t="inlineStr">
        <is>
          <t>수입기업 위험화학품 등록</t>
        </is>
      </c>
      <c r="C10" s="16" t="inlineStr">
        <is>
          <t>중국 법인(수입 명의)</t>
        </is>
      </c>
      <c r="D10" s="16" t="inlineStr">
        <is>
          <t>응급관리부 화학품등록센터</t>
        </is>
      </c>
      <c r="E10" s="16" t="inlineStr">
        <is>
          <t>경영 주체 확정</t>
        </is>
      </c>
      <c r="F10" s="16" t="inlineStr">
        <is>
          <t>SDS·라벨·분류보고</t>
        </is>
      </c>
      <c r="G10" s="21" t="inlineStr">
        <is>
          <t>-</t>
        </is>
      </c>
      <c r="H10" s="21" t="inlineStr">
        <is>
          <t>-</t>
        </is>
      </c>
      <c r="I10" s="21" t="inlineStr">
        <is>
          <t>기관 확인</t>
        </is>
      </c>
      <c r="J10" s="27" t="n">
        <v>4</v>
      </c>
      <c r="K10" s="21" t="inlineStr">
        <is>
          <t>분류 감정비 견적 필요</t>
        </is>
      </c>
      <c r="L10" s="21" t="inlineStr">
        <is>
          <t>변경 시</t>
        </is>
      </c>
      <c r="M10" s="21" t="inlineStr">
        <is>
          <t>EVD-018</t>
        </is>
      </c>
    </row>
    <row r="11">
      <c r="A11" s="21" t="inlineStr">
        <is>
          <t>공통</t>
        </is>
      </c>
      <c r="B11" s="16" t="inlineStr">
        <is>
          <t>신규화학물질 등록(간이) / 备案 전환</t>
        </is>
      </c>
      <c r="C11" s="16" t="inlineStr">
        <is>
          <t>현행: 해외 생산자+대리인 / 개정안: 중국 수입기업</t>
        </is>
      </c>
      <c r="D11" s="16" t="inlineStr">
        <is>
          <t>생태환경부</t>
        </is>
      </c>
      <c r="E11" s="16" t="inlineStr">
        <is>
          <t>물질 식별·시험자료</t>
        </is>
      </c>
      <c r="F11" s="16" t="inlineStr">
        <is>
          <t>신청표·시험보고서·위해성 정보</t>
        </is>
      </c>
      <c r="G11" s="21" t="inlineStr">
        <is>
          <t>-</t>
        </is>
      </c>
      <c r="H11" s="21" t="inlineStr">
        <is>
          <t>-</t>
        </is>
      </c>
      <c r="I11" s="21" t="inlineStr">
        <is>
          <t>간이등록 절차·기한 준용</t>
        </is>
      </c>
      <c r="J11" s="27" t="n">
        <v>16</v>
      </c>
      <c r="K11" s="21" t="inlineStr">
        <is>
          <t>시험·대행 견적 필요</t>
        </is>
      </c>
      <c r="L11" s="21" t="inlineStr">
        <is>
          <t>-</t>
        </is>
      </c>
      <c r="M11" s="21" t="inlineStr">
        <is>
          <t>EVD-003, EVD-004, EVD-006</t>
        </is>
      </c>
    </row>
    <row r="12">
      <c r="A12" s="21" t="inlineStr">
        <is>
          <t>C</t>
        </is>
      </c>
      <c r="B12" s="16" t="inlineStr">
        <is>
          <t>임차 창고 안전생산관리협의·품목 추가</t>
        </is>
      </c>
      <c r="C12" s="16" t="inlineStr">
        <is>
          <t>중국 법인·창고 운영사</t>
        </is>
      </c>
      <c r="D12" s="16" t="inlineStr">
        <is>
          <t>응급관리부문</t>
        </is>
      </c>
      <c r="E12" s="16" t="inlineStr">
        <is>
          <t>허가 창고 확보</t>
        </is>
      </c>
      <c r="F12" s="16" t="inlineStr">
        <is>
          <t>협의서·품목</t>
        </is>
      </c>
      <c r="G12" s="21" t="inlineStr">
        <is>
          <t>허가 창고</t>
        </is>
      </c>
      <c r="H12" s="21" t="inlineStr">
        <is>
          <t>-</t>
        </is>
      </c>
      <c r="I12" s="21" t="inlineStr">
        <is>
          <t>기관 확인</t>
        </is>
      </c>
      <c r="J12" s="27" t="n">
        <v>6</v>
      </c>
      <c r="K12" s="21" t="inlineStr">
        <is>
          <t>견적 필요</t>
        </is>
      </c>
      <c r="L12" s="21" t="inlineStr">
        <is>
          <t>-</t>
        </is>
      </c>
      <c r="M12" s="21" t="inlineStr">
        <is>
          <t>EVD-014</t>
        </is>
      </c>
    </row>
    <row r="13">
      <c r="A13" s="21" t="inlineStr">
        <is>
          <t>D</t>
        </is>
      </c>
      <c r="B13" s="16" t="inlineStr">
        <is>
          <t>자체 창고 건설(입지·안전·환경·소방)</t>
        </is>
      </c>
      <c r="C13" s="16" t="inlineStr">
        <is>
          <t>중국 법인</t>
        </is>
      </c>
      <c r="D13" s="16" t="inlineStr">
        <is>
          <t>원구·응급·생태·소방</t>
        </is>
      </c>
      <c r="E13" s="16" t="inlineStr">
        <is>
          <t>원구 입주 승인</t>
        </is>
      </c>
      <c r="F13" s="16" t="inlineStr">
        <is>
          <t>안전평가·설계·환경평가</t>
        </is>
      </c>
      <c r="G13" s="21" t="inlineStr">
        <is>
          <t>자체 창고</t>
        </is>
      </c>
      <c r="H13" s="21" t="inlineStr">
        <is>
          <t>전담 인력</t>
        </is>
      </c>
      <c r="I13" s="21" t="inlineStr">
        <is>
          <t>기관 확인</t>
        </is>
      </c>
      <c r="J13" s="27" t="n">
        <v>52</v>
      </c>
      <c r="K13" s="21" t="inlineStr">
        <is>
          <t>견적 필요</t>
        </is>
      </c>
      <c r="L13" s="21" t="inlineStr">
        <is>
          <t>-</t>
        </is>
      </c>
      <c r="M13" s="21" t="inlineStr">
        <is>
          <t>EVD-013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tabColor rgb="00EB002C"/>
    <outlinePr summaryBelow="1" summaryRight="1"/>
    <pageSetUpPr/>
  </sheetPr>
  <dimension ref="A1:W28"/>
  <sheetViews>
    <sheetView workbookViewId="0">
      <pane xSplit="4" ySplit="12" topLeftCell="E1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22" customWidth="1" min="4" max="4"/>
    <col width="26" customWidth="1" min="5" max="5"/>
    <col width="7" customWidth="1" min="6" max="6"/>
    <col width="7" customWidth="1" min="7" max="7"/>
    <col width="8" customWidth="1" min="8" max="8"/>
    <col width="18" customWidth="1" min="9" max="9"/>
    <col width="24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10" customWidth="1" min="17" max="17"/>
    <col width="10" customWidth="1" min="18" max="18"/>
    <col width="10" customWidth="1" min="19" max="19"/>
    <col width="8" customWidth="1" min="20" max="20"/>
    <col width="20" customWidth="1" min="21" max="21"/>
    <col width="40" customWidth="1" min="22" max="22"/>
    <col width="22" customWidth="1" min="23" max="23"/>
  </cols>
  <sheetData>
    <row r="1">
      <c r="A1" s="1" t="inlineStr">
        <is>
          <t>08_CityComparison | 도시 관문·평가 점수</t>
        </is>
      </c>
    </row>
    <row r="2">
      <c r="A2" s="2" t="inlineStr">
        <is>
          <t>필수 관문 미통과·정보 부족 후보는 점수를 매기지 않음(점수 보류). 점수는 분석 가정(1~5)</t>
        </is>
      </c>
    </row>
    <row r="3">
      <c r="A3" s="3" t="inlineStr">
        <is>
          <t>조사 기준일 2026-10-06 · 단위·상태는 각 열 머리글 참조</t>
        </is>
      </c>
    </row>
    <row r="4">
      <c r="A4" s="4" t="n"/>
      <c r="L4" s="29" t="inlineStr">
        <is>
          <t>인허가 경로</t>
        </is>
      </c>
      <c r="M4" s="29" t="inlineStr">
        <is>
          <t>적격 창고</t>
        </is>
      </c>
      <c r="N4" s="29" t="inlineStr">
        <is>
          <t>개시 일정</t>
        </is>
      </c>
      <c r="O4" s="29" t="inlineStr">
        <is>
          <t>고객·물류</t>
        </is>
      </c>
      <c r="P4" s="29" t="inlineStr">
        <is>
          <t>비용</t>
        </is>
      </c>
      <c r="Q4" s="29" t="inlineStr">
        <is>
          <t>인력·확장</t>
        </is>
      </c>
    </row>
    <row r="6">
      <c r="K6" s="4" t="inlineStr">
        <is>
          <t>가중치 세트</t>
        </is>
      </c>
      <c r="L6" s="29" t="inlineStr">
        <is>
          <t>인허가 경로</t>
        </is>
      </c>
      <c r="M6" s="29" t="inlineStr">
        <is>
          <t>적격 창고</t>
        </is>
      </c>
      <c r="N6" s="29" t="inlineStr">
        <is>
          <t>개시 일정</t>
        </is>
      </c>
      <c r="O6" s="29" t="inlineStr">
        <is>
          <t>고객·물류</t>
        </is>
      </c>
      <c r="P6" s="29" t="inlineStr">
        <is>
          <t>비용</t>
        </is>
      </c>
      <c r="Q6" s="29" t="inlineStr">
        <is>
          <t>인력·확장</t>
        </is>
      </c>
    </row>
    <row r="7">
      <c r="K7" t="inlineStr">
        <is>
          <t>기본(허가 우선 제안)</t>
        </is>
      </c>
      <c r="L7" s="30" t="n">
        <v>30</v>
      </c>
      <c r="M7" s="30" t="n">
        <v>20</v>
      </c>
      <c r="N7" s="30" t="n">
        <v>15</v>
      </c>
      <c r="O7" s="30" t="n">
        <v>15</v>
      </c>
      <c r="P7" s="30" t="n">
        <v>15</v>
      </c>
      <c r="Q7" s="30" t="n">
        <v>5</v>
      </c>
      <c r="R7">
        <f>SUM(L7:Q7)</f>
        <v>100</v>
      </c>
    </row>
    <row r="8">
      <c r="K8" t="inlineStr">
        <is>
          <t>속도 우선</t>
        </is>
      </c>
      <c r="L8" s="30" t="n">
        <v>20</v>
      </c>
      <c r="M8" s="30" t="n">
        <v>15</v>
      </c>
      <c r="N8" s="30" t="n">
        <v>35</v>
      </c>
      <c r="O8" s="30" t="n">
        <v>15</v>
      </c>
      <c r="P8" s="30" t="n">
        <v>10</v>
      </c>
      <c r="Q8" s="30" t="n">
        <v>5</v>
      </c>
      <c r="R8">
        <f>SUM(L8:Q8)</f>
        <v>100</v>
      </c>
    </row>
    <row r="9">
      <c r="K9" t="inlineStr">
        <is>
          <t>비용 우선</t>
        </is>
      </c>
      <c r="L9" s="30" t="n">
        <v>20</v>
      </c>
      <c r="M9" s="30" t="n">
        <v>15</v>
      </c>
      <c r="N9" s="30" t="n">
        <v>15</v>
      </c>
      <c r="O9" s="30" t="n">
        <v>10</v>
      </c>
      <c r="P9" s="30" t="n">
        <v>35</v>
      </c>
      <c r="Q9" s="30" t="n">
        <v>5</v>
      </c>
      <c r="R9">
        <f>SUM(L9:Q9)</f>
        <v>100</v>
      </c>
    </row>
    <row r="12">
      <c r="A12" s="20" t="inlineStr">
        <is>
          <t>도시 ID</t>
        </is>
      </c>
      <c r="B12" s="20" t="inlineStr">
        <is>
          <t>성·직할시</t>
        </is>
      </c>
      <c r="C12" s="20" t="inlineStr">
        <is>
          <t>지급시</t>
        </is>
      </c>
      <c r="D12" s="20" t="inlineStr">
        <is>
          <t>구·현·현급시</t>
        </is>
      </c>
      <c r="E12" s="20" t="inlineStr">
        <is>
          <t>운영 구조 역할</t>
        </is>
      </c>
      <c r="F12" s="20" t="inlineStr">
        <is>
          <t>위도</t>
        </is>
      </c>
      <c r="G12" s="20" t="inlineStr">
        <is>
          <t>경도</t>
        </is>
      </c>
      <c r="H12" s="20" t="inlineStr">
        <is>
          <t>G1 법인 설립</t>
        </is>
      </c>
      <c r="I12" s="20" t="inlineStr">
        <is>
          <t>G2 무저장 경영 경로</t>
        </is>
      </c>
      <c r="J12" s="20" t="inlineStr">
        <is>
          <t>G3 적격 창고 후보</t>
        </is>
      </c>
      <c r="K12" s="20" t="inlineStr">
        <is>
          <t>점수: 인허가 경로</t>
        </is>
      </c>
      <c r="L12" s="20" t="inlineStr">
        <is>
          <t>점수: 적격 창고</t>
        </is>
      </c>
      <c r="M12" s="20" t="inlineStr">
        <is>
          <t>점수: 개시 일정</t>
        </is>
      </c>
      <c r="N12" s="20" t="inlineStr">
        <is>
          <t>점수: 고객·물류</t>
        </is>
      </c>
      <c r="O12" s="20" t="inlineStr">
        <is>
          <t>점수: 비용</t>
        </is>
      </c>
      <c r="P12" s="20" t="inlineStr">
        <is>
          <t>점수: 인력·확장</t>
        </is>
      </c>
      <c r="Q12" s="20" t="inlineStr">
        <is>
          <t>종합(기본)</t>
        </is>
      </c>
      <c r="R12" s="20" t="inlineStr">
        <is>
          <t>종합(속도 우선)</t>
        </is>
      </c>
      <c r="S12" s="20" t="inlineStr">
        <is>
          <t>종합(비용 우선)</t>
        </is>
      </c>
      <c r="T12" s="20" t="inlineStr">
        <is>
          <t>근거 충족</t>
        </is>
      </c>
      <c r="U12" s="20" t="inlineStr">
        <is>
          <t>판정</t>
        </is>
      </c>
      <c r="V12" s="20" t="inlineStr">
        <is>
          <t>이유</t>
        </is>
      </c>
      <c r="W12" s="20" t="inlineStr">
        <is>
          <t>근거 ID</t>
        </is>
      </c>
    </row>
    <row r="13">
      <c r="A13" s="21" t="inlineStr">
        <is>
          <t>CITY-001</t>
        </is>
      </c>
      <c r="B13" s="21" t="inlineStr">
        <is>
          <t>강소성</t>
        </is>
      </c>
      <c r="C13" s="21" t="inlineStr">
        <is>
          <t>无锡(무석)</t>
        </is>
      </c>
      <c r="D13" s="16" t="inlineStr">
        <is>
          <t>新吴区(신오구)</t>
        </is>
      </c>
      <c r="E13" s="16" t="inlineStr">
        <is>
          <t>법인·영업 거점 (+무석 관할 원구 창고)</t>
        </is>
      </c>
      <c r="F13" s="21" t="n">
        <v>31.55</v>
      </c>
      <c r="G13" s="21" t="n">
        <v>120.37</v>
      </c>
      <c r="H13" s="21" t="inlineStr">
        <is>
          <t>통과</t>
        </is>
      </c>
      <c r="I13" s="16" t="inlineStr">
        <is>
          <t>통과(세칙 공개)</t>
        </is>
      </c>
      <c r="J13" s="16" t="inlineStr">
        <is>
          <t>조건부(江阴·锡山·宜兴 원구)</t>
        </is>
      </c>
      <c r="K13" s="27" t="n">
        <v>4</v>
      </c>
      <c r="L13" s="27" t="n">
        <v>3</v>
      </c>
      <c r="M13" s="27" t="n">
        <v>4</v>
      </c>
      <c r="N13" s="27" t="n">
        <v>5</v>
      </c>
      <c r="O13" s="27" t="n">
        <v>3</v>
      </c>
      <c r="P13" s="27" t="n">
        <v>4</v>
      </c>
      <c r="Q13" s="31">
        <f>IF(OR(ISNUMBER(SEARCH("미통과",J13)),COUNT(K13:P13)&lt;6),"점수 보류",SUMPRODUCT(K13:P13,$L$7:$Q$7)/5)</f>
        <v>76</v>
      </c>
      <c r="R13" s="31">
        <f>IF(OR(ISNUMBER(SEARCH("미통과",J13)),COUNT(K13:P13)&lt;6),"점수 보류",SUMPRODUCT(K13:P13,$L$8:$Q$8)/5)</f>
        <v>78</v>
      </c>
      <c r="S13" s="31">
        <f>IF(OR(ISNUMBER(SEARCH("미통과",J13)),COUNT(K13:P13)&lt;6),"점수 보류",SUMPRODUCT(K13:P13,$L$9:$Q$9)/5)</f>
        <v>72</v>
      </c>
      <c r="T13" s="21" t="inlineStr">
        <is>
          <t>중</t>
        </is>
      </c>
      <c r="U13" s="21" t="inlineStr">
        <is>
          <t>강소성 1순위 · 조건부 추천</t>
        </is>
      </c>
      <c r="V13" s="16" t="inlineStr">
        <is>
          <t>SK하이닉스 근접, 무석 세칙에 무저장·임차저장 유형 명시, 관할 내 인정 화공원구 3곳</t>
        </is>
      </c>
      <c r="W13" s="21" t="inlineStr">
        <is>
          <t>EVD-014, EVD-020, EVD-031</t>
        </is>
      </c>
    </row>
    <row r="14">
      <c r="A14" s="21" t="inlineStr">
        <is>
          <t>CITY-002</t>
        </is>
      </c>
      <c r="B14" s="21" t="inlineStr">
        <is>
          <t>강소성</t>
        </is>
      </c>
      <c r="C14" s="21" t="inlineStr">
        <is>
          <t>苏州(쑤저우)</t>
        </is>
      </c>
      <c r="D14" s="16" t="inlineStr">
        <is>
          <t>工业园区(SIP) + 张家港(장자강, 현급시)</t>
        </is>
      </c>
      <c r="E14" s="16" t="inlineStr">
        <is>
          <t>법인(SIP) + 장자강 보세·위험품 물류</t>
        </is>
      </c>
      <c r="F14" s="21" t="n">
        <v>31.32</v>
      </c>
      <c r="G14" s="21" t="n">
        <v>120.72</v>
      </c>
      <c r="H14" s="21" t="inlineStr">
        <is>
          <t>통과</t>
        </is>
      </c>
      <c r="I14" s="16" t="inlineStr">
        <is>
          <t>조건부(쑤저우 세칙 미확보)</t>
        </is>
      </c>
      <c r="J14" s="16" t="inlineStr">
        <is>
          <t>조건부(扬子江国际化学工业园·常熟 원구)</t>
        </is>
      </c>
      <c r="K14" s="27" t="n">
        <v>3</v>
      </c>
      <c r="L14" s="27" t="n">
        <v>4</v>
      </c>
      <c r="M14" s="27" t="n">
        <v>3</v>
      </c>
      <c r="N14" s="27" t="n">
        <v>4</v>
      </c>
      <c r="O14" s="27" t="n">
        <v>3</v>
      </c>
      <c r="P14" s="27" t="n">
        <v>5</v>
      </c>
      <c r="Q14" s="31">
        <f>IF(OR(ISNUMBER(SEARCH("미통과",J14)),COUNT(K14:P14)&lt;6),"점수 보류",SUMPRODUCT(K14:P14,$L$7:$Q$7)/5)</f>
        <v>69</v>
      </c>
      <c r="R14" s="31">
        <f>IF(OR(ISNUMBER(SEARCH("미통과",J14)),COUNT(K14:P14)&lt;6),"점수 보류",SUMPRODUCT(K14:P14,$L$8:$Q$8)/5)</f>
        <v>68</v>
      </c>
      <c r="S14" s="31">
        <f>IF(OR(ISNUMBER(SEARCH("미통과",J14)),COUNT(K14:P14)&lt;6),"점수 보류",SUMPRODUCT(K14:P14,$L$9:$Q$9)/5)</f>
        <v>67</v>
      </c>
      <c r="T14" s="21" t="inlineStr">
        <is>
          <t>중</t>
        </is>
      </c>
      <c r="U14" s="21" t="inlineStr">
        <is>
          <t>강소성 차선 · 조건부</t>
        </is>
      </c>
      <c r="V14" s="16" t="inlineStr">
        <is>
          <t>장자강 위험화학품 부두·보세 위험품 창고 보도, 인력·서비스 풍부</t>
        </is>
      </c>
      <c r="W14" s="21" t="inlineStr">
        <is>
          <t>EVD-020, EVD-021</t>
        </is>
      </c>
    </row>
    <row r="15">
      <c r="A15" s="21" t="inlineStr">
        <is>
          <t>CITY-003</t>
        </is>
      </c>
      <c r="B15" s="21" t="inlineStr">
        <is>
          <t>강소성</t>
        </is>
      </c>
      <c r="C15" s="21" t="inlineStr">
        <is>
          <t>常州(창저우)</t>
        </is>
      </c>
      <c r="D15" s="16" t="inlineStr">
        <is>
          <t>新北区 滨江경개구</t>
        </is>
      </c>
      <c r="E15" s="16" t="inlineStr">
        <is>
          <t>중장기 자체시설(D안) 후보</t>
        </is>
      </c>
      <c r="F15" s="21" t="n">
        <v>31.98</v>
      </c>
      <c r="G15" s="21" t="n">
        <v>119.9</v>
      </c>
      <c r="H15" s="21" t="inlineStr">
        <is>
          <t>통과</t>
        </is>
      </c>
      <c r="I15" s="16" t="inlineStr">
        <is>
          <t>확인 필요</t>
        </is>
      </c>
      <c r="J15" s="16" t="inlineStr">
        <is>
          <t>조건부(滨江 新材料产业园)</t>
        </is>
      </c>
      <c r="K15" s="27" t="n">
        <v>3</v>
      </c>
      <c r="L15" s="27" t="n">
        <v>3</v>
      </c>
      <c r="M15" s="27" t="n">
        <v>3</v>
      </c>
      <c r="N15" s="27" t="n">
        <v>3</v>
      </c>
      <c r="O15" s="27" t="n">
        <v>4</v>
      </c>
      <c r="P15" s="27" t="n">
        <v>3</v>
      </c>
      <c r="Q15" s="31">
        <f>IF(OR(ISNUMBER(SEARCH("미통과",J15)),COUNT(K15:P15)&lt;6),"점수 보류",SUMPRODUCT(K15:P15,$L$7:$Q$7)/5)</f>
        <v>63</v>
      </c>
      <c r="R15" s="31">
        <f>IF(OR(ISNUMBER(SEARCH("미통과",J15)),COUNT(K15:P15)&lt;6),"점수 보류",SUMPRODUCT(K15:P15,$L$8:$Q$8)/5)</f>
        <v>62</v>
      </c>
      <c r="S15" s="31">
        <f>IF(OR(ISNUMBER(SEARCH("미통과",J15)),COUNT(K15:P15)&lt;6),"점수 보류",SUMPRODUCT(K15:P15,$L$9:$Q$9)/5)</f>
        <v>67</v>
      </c>
      <c r="T15" s="21" t="inlineStr">
        <is>
          <t>하</t>
        </is>
      </c>
      <c r="U15" s="21" t="inlineStr">
        <is>
          <t>강소성 3순위 · 기관 확인 후 결정</t>
        </is>
      </c>
      <c r="V15" s="16" t="inlineStr">
        <is>
          <t>무석·난징 사이, 인정 원구 보유. 공개 운영 자료 부족</t>
        </is>
      </c>
      <c r="W15" s="21" t="inlineStr">
        <is>
          <t>EVD-020</t>
        </is>
      </c>
    </row>
    <row r="16">
      <c r="A16" s="21" t="inlineStr">
        <is>
          <t>CITY-004</t>
        </is>
      </c>
      <c r="B16" s="21" t="inlineStr">
        <is>
          <t>강소성</t>
        </is>
      </c>
      <c r="C16" s="21" t="inlineStr">
        <is>
          <t>镇江(전장)</t>
        </is>
      </c>
      <c r="D16" s="16" t="inlineStr">
        <is>
          <t>镇江新区</t>
        </is>
      </c>
      <c r="E16" s="16" t="inlineStr">
        <is>
          <t>원구·항만 물류 후보</t>
        </is>
      </c>
      <c r="F16" s="21" t="n">
        <v>32.18</v>
      </c>
      <c r="G16" s="21" t="n">
        <v>119.68</v>
      </c>
      <c r="H16" s="21" t="inlineStr">
        <is>
          <t>통과</t>
        </is>
      </c>
      <c r="I16" s="16" t="inlineStr">
        <is>
          <t>확인 필요</t>
        </is>
      </c>
      <c r="J16" s="16" t="inlineStr">
        <is>
          <t>조건부(镇江新区新材料产业园)</t>
        </is>
      </c>
      <c r="K16" s="21" t="n"/>
      <c r="L16" s="27" t="n">
        <v>3</v>
      </c>
      <c r="M16" s="27" t="n">
        <v>3</v>
      </c>
      <c r="N16" s="27" t="n">
        <v>2</v>
      </c>
      <c r="O16" s="27" t="n">
        <v>4</v>
      </c>
      <c r="P16" s="27" t="n">
        <v>3</v>
      </c>
      <c r="Q16" s="31" t="str">
        <f>IF(OR(ISNUMBER(SEARCH("미통과",J16)),COUNT(K16:P16)&lt;6),"점수 보류",SUMPRODUCT(K16:P16,$L$7:$Q$7)/5)</f>
        <v>점수 보류</v>
      </c>
      <c r="R16" s="31" t="str">
        <f>IF(OR(ISNUMBER(SEARCH("미통과",J16)),COUNT(K16:P16)&lt;6),"점수 보류",SUMPRODUCT(K16:P16,$L$8:$Q$8)/5)</f>
        <v>점수 보류</v>
      </c>
      <c r="S16" s="31" t="str">
        <f>IF(OR(ISNUMBER(SEARCH("미통과",J16)),COUNT(K16:P16)&lt;6),"점수 보류",SUMPRODUCT(K16:P16,$L$9:$Q$9)/5)</f>
        <v>점수 보류</v>
      </c>
      <c r="T16" s="21" t="inlineStr">
        <is>
          <t>하</t>
        </is>
      </c>
      <c r="U16" s="21" t="inlineStr">
        <is>
          <t>보류</t>
        </is>
      </c>
      <c r="V16" s="16" t="inlineStr">
        <is>
          <t>그룹 과거 법인 언급은 내부 확인. 무석 고객과 거리</t>
        </is>
      </c>
      <c r="W16" s="21" t="inlineStr">
        <is>
          <t>EVD-020</t>
        </is>
      </c>
    </row>
    <row r="17">
      <c r="A17" s="21" t="inlineStr">
        <is>
          <t>CITY-005</t>
        </is>
      </c>
      <c r="B17" s="21" t="inlineStr">
        <is>
          <t>강소성</t>
        </is>
      </c>
      <c r="C17" s="21" t="inlineStr">
        <is>
          <t>南通(난퉁)</t>
        </is>
      </c>
      <c r="D17" s="16" t="inlineStr">
        <is>
          <t>경개구·如东·如皋</t>
        </is>
      </c>
      <c r="E17" s="16" t="inlineStr">
        <is>
          <t>원구 창고 후보</t>
        </is>
      </c>
      <c r="F17" s="21" t="n">
        <v>31.95</v>
      </c>
      <c r="G17" s="21" t="n">
        <v>120.95</v>
      </c>
      <c r="H17" s="21" t="inlineStr">
        <is>
          <t>통과</t>
        </is>
      </c>
      <c r="I17" s="16" t="inlineStr">
        <is>
          <t>확인 필요</t>
        </is>
      </c>
      <c r="J17" s="16" t="inlineStr">
        <is>
          <t>조건부(3개 원구)</t>
        </is>
      </c>
      <c r="K17" s="21" t="n"/>
      <c r="L17" s="27" t="n">
        <v>3</v>
      </c>
      <c r="M17" s="27" t="n">
        <v>3</v>
      </c>
      <c r="N17" s="27" t="n">
        <v>2</v>
      </c>
      <c r="O17" s="27" t="n">
        <v>4</v>
      </c>
      <c r="P17" s="27" t="n">
        <v>3</v>
      </c>
      <c r="Q17" s="31" t="str">
        <f>IF(OR(ISNUMBER(SEARCH("미통과",J17)),COUNT(K17:P17)&lt;6),"점수 보류",SUMPRODUCT(K17:P17,$L$7:$Q$7)/5)</f>
        <v>점수 보류</v>
      </c>
      <c r="R17" s="31" t="str">
        <f>IF(OR(ISNUMBER(SEARCH("미통과",J17)),COUNT(K17:P17)&lt;6),"점수 보류",SUMPRODUCT(K17:P17,$L$8:$Q$8)/5)</f>
        <v>점수 보류</v>
      </c>
      <c r="S17" s="31" t="str">
        <f>IF(OR(ISNUMBER(SEARCH("미통과",J17)),COUNT(K17:P17)&lt;6),"점수 보류",SUMPRODUCT(K17:P17,$L$9:$Q$9)/5)</f>
        <v>점수 보류</v>
      </c>
      <c r="T17" s="21" t="inlineStr">
        <is>
          <t>하</t>
        </is>
      </c>
      <c r="U17" s="21" t="inlineStr">
        <is>
          <t>보류</t>
        </is>
      </c>
      <c r="V17" s="16" t="inlineStr">
        <is>
          <t>원구 다수, 장강 북안 — 무석 반입 동선 확인 필요</t>
        </is>
      </c>
      <c r="W17" s="21" t="inlineStr">
        <is>
          <t>EVD-020</t>
        </is>
      </c>
    </row>
    <row r="18">
      <c r="A18" s="21" t="inlineStr">
        <is>
          <t>CITY-006</t>
        </is>
      </c>
      <c r="B18" s="21" t="inlineStr">
        <is>
          <t>강소성</t>
        </is>
      </c>
      <c r="C18" s="21" t="inlineStr">
        <is>
          <t>南京(난징)</t>
        </is>
      </c>
      <c r="D18" s="16" t="inlineStr">
        <is>
          <t>江北新区 (江北新材料科技园)</t>
        </is>
      </c>
      <c r="E18" s="16" t="inlineStr">
        <is>
          <t>행정·원구 후보</t>
        </is>
      </c>
      <c r="F18" s="21" t="n">
        <v>32.26</v>
      </c>
      <c r="G18" s="21" t="n">
        <v>118.85</v>
      </c>
      <c r="H18" s="21" t="inlineStr">
        <is>
          <t>통과</t>
        </is>
      </c>
      <c r="I18" s="16" t="inlineStr">
        <is>
          <t>통과(세칙 공개)</t>
        </is>
      </c>
      <c r="J18" s="16" t="inlineStr">
        <is>
          <t>조건부(江北 원구)</t>
        </is>
      </c>
      <c r="K18" s="27" t="n">
        <v>3</v>
      </c>
      <c r="L18" s="27" t="n">
        <v>3</v>
      </c>
      <c r="M18" s="27" t="n">
        <v>3</v>
      </c>
      <c r="N18" s="27" t="n">
        <v>2</v>
      </c>
      <c r="O18" s="27" t="n">
        <v>3</v>
      </c>
      <c r="P18" s="27" t="n">
        <v>4</v>
      </c>
      <c r="Q18" s="31">
        <f>IF(OR(ISNUMBER(SEARCH("미통과",J18)),COUNT(K18:P18)&lt;6),"점수 보류",SUMPRODUCT(K18:P18,$L$7:$Q$7)/5)</f>
        <v>58</v>
      </c>
      <c r="R18" s="31">
        <f>IF(OR(ISNUMBER(SEARCH("미통과",J18)),COUNT(K18:P18)&lt;6),"점수 보류",SUMPRODUCT(K18:P18,$L$8:$Q$8)/5)</f>
        <v>58</v>
      </c>
      <c r="S18" s="31">
        <f>IF(OR(ISNUMBER(SEARCH("미통과",J18)),COUNT(K18:P18)&lt;6),"점수 보류",SUMPRODUCT(K18:P18,$L$9:$Q$9)/5)</f>
        <v>59</v>
      </c>
      <c r="T18" s="21" t="inlineStr">
        <is>
          <t>중</t>
        </is>
      </c>
      <c r="U18" s="21" t="inlineStr">
        <is>
          <t>보류(대안)</t>
        </is>
      </c>
      <c r="V18" s="16" t="inlineStr">
        <is>
          <t>세칙 공개·원구 보유. 고객(무석·허페이) 중간 위치</t>
        </is>
      </c>
      <c r="W18" s="21" t="inlineStr">
        <is>
          <t>EVD-020, SRC-012</t>
        </is>
      </c>
    </row>
    <row r="19">
      <c r="A19" s="21" t="inlineStr">
        <is>
          <t>CITY-007</t>
        </is>
      </c>
      <c r="B19" s="21" t="inlineStr">
        <is>
          <t>강소성</t>
        </is>
      </c>
      <c r="C19" s="21" t="inlineStr">
        <is>
          <t>扬州(양저우)</t>
        </is>
      </c>
      <c r="D19" s="16" t="inlineStr">
        <is>
          <t>仪征 (扬州化学工业园区)</t>
        </is>
      </c>
      <c r="E19" s="16" t="inlineStr">
        <is>
          <t>원구 창고 후보</t>
        </is>
      </c>
      <c r="F19" s="21" t="n">
        <v>32.27</v>
      </c>
      <c r="G19" s="21" t="n">
        <v>119.18</v>
      </c>
      <c r="H19" s="21" t="inlineStr">
        <is>
          <t>통과</t>
        </is>
      </c>
      <c r="I19" s="16" t="inlineStr">
        <is>
          <t>확인 필요</t>
        </is>
      </c>
      <c r="J19" s="16" t="inlineStr">
        <is>
          <t>조건부</t>
        </is>
      </c>
      <c r="K19" s="21" t="n"/>
      <c r="L19" s="27" t="n">
        <v>3</v>
      </c>
      <c r="M19" s="27" t="n">
        <v>3</v>
      </c>
      <c r="N19" s="27" t="n">
        <v>2</v>
      </c>
      <c r="O19" s="27" t="n">
        <v>4</v>
      </c>
      <c r="P19" s="27" t="n">
        <v>3</v>
      </c>
      <c r="Q19" s="31" t="str">
        <f>IF(OR(ISNUMBER(SEARCH("미통과",J19)),COUNT(K19:P19)&lt;6),"점수 보류",SUMPRODUCT(K19:P19,$L$7:$Q$7)/5)</f>
        <v>점수 보류</v>
      </c>
      <c r="R19" s="31" t="str">
        <f>IF(OR(ISNUMBER(SEARCH("미통과",J19)),COUNT(K19:P19)&lt;6),"점수 보류",SUMPRODUCT(K19:P19,$L$8:$Q$8)/5)</f>
        <v>점수 보류</v>
      </c>
      <c r="S19" s="31" t="str">
        <f>IF(OR(ISNUMBER(SEARCH("미통과",J19)),COUNT(K19:P19)&lt;6),"점수 보류",SUMPRODUCT(K19:P19,$L$9:$Q$9)/5)</f>
        <v>점수 보류</v>
      </c>
      <c r="T19" s="21" t="inlineStr">
        <is>
          <t>하</t>
        </is>
      </c>
      <c r="U19" s="21" t="inlineStr">
        <is>
          <t>보류</t>
        </is>
      </c>
      <c r="V19" s="16" t="inlineStr">
        <is>
          <t>공개 자료 부족</t>
        </is>
      </c>
      <c r="W19" s="21" t="inlineStr">
        <is>
          <t>EVD-020</t>
        </is>
      </c>
    </row>
    <row r="20">
      <c r="A20" s="21" t="inlineStr">
        <is>
          <t>CITY-008</t>
        </is>
      </c>
      <c r="B20" s="21" t="inlineStr">
        <is>
          <t>강소성</t>
        </is>
      </c>
      <c r="C20" s="21" t="inlineStr">
        <is>
          <t>泰州(타이저우)</t>
        </is>
      </c>
      <c r="D20" s="16" t="inlineStr">
        <is>
          <t>泰兴·滨江</t>
        </is>
      </c>
      <c r="E20" s="16" t="inlineStr">
        <is>
          <t>원구 창고 후보</t>
        </is>
      </c>
      <c r="F20" s="21" t="n">
        <v>32.17</v>
      </c>
      <c r="G20" s="21" t="n">
        <v>120.02</v>
      </c>
      <c r="H20" s="21" t="inlineStr">
        <is>
          <t>통과</t>
        </is>
      </c>
      <c r="I20" s="16" t="inlineStr">
        <is>
          <t>확인 필요</t>
        </is>
      </c>
      <c r="J20" s="16" t="inlineStr">
        <is>
          <t>조건부</t>
        </is>
      </c>
      <c r="K20" s="21" t="n"/>
      <c r="L20" s="27" t="n">
        <v>3</v>
      </c>
      <c r="M20" s="27" t="n">
        <v>3</v>
      </c>
      <c r="N20" s="27" t="n">
        <v>2</v>
      </c>
      <c r="O20" s="27" t="n">
        <v>4</v>
      </c>
      <c r="P20" s="27" t="n">
        <v>3</v>
      </c>
      <c r="Q20" s="31" t="str">
        <f>IF(OR(ISNUMBER(SEARCH("미통과",J20)),COUNT(K20:P20)&lt;6),"점수 보류",SUMPRODUCT(K20:P20,$L$7:$Q$7)/5)</f>
        <v>점수 보류</v>
      </c>
      <c r="R20" s="31" t="str">
        <f>IF(OR(ISNUMBER(SEARCH("미통과",J20)),COUNT(K20:P20)&lt;6),"점수 보류",SUMPRODUCT(K20:P20,$L$8:$Q$8)/5)</f>
        <v>점수 보류</v>
      </c>
      <c r="S20" s="31" t="str">
        <f>IF(OR(ISNUMBER(SEARCH("미통과",J20)),COUNT(K20:P20)&lt;6),"점수 보류",SUMPRODUCT(K20:P20,$L$9:$Q$9)/5)</f>
        <v>점수 보류</v>
      </c>
      <c r="T20" s="21" t="inlineStr">
        <is>
          <t>하</t>
        </is>
      </c>
      <c r="U20" s="21" t="inlineStr">
        <is>
          <t>보류</t>
        </is>
      </c>
      <c r="V20" s="16" t="inlineStr">
        <is>
          <t>공개 자료 부족</t>
        </is>
      </c>
      <c r="W20" s="21" t="inlineStr">
        <is>
          <t>EVD-020</t>
        </is>
      </c>
    </row>
    <row r="21">
      <c r="A21" s="21" t="inlineStr">
        <is>
          <t>CITY-009</t>
        </is>
      </c>
      <c r="B21" s="21" t="inlineStr">
        <is>
          <t>강소성</t>
        </is>
      </c>
      <c r="C21" s="21" t="inlineStr">
        <is>
          <t>苏州(쑤저우)</t>
        </is>
      </c>
      <c r="D21" s="16" t="inlineStr">
        <is>
          <t>昆山(쿤산, 현급시)</t>
        </is>
      </c>
      <c r="E21" s="16" t="inlineStr">
        <is>
          <t>사무 거점만</t>
        </is>
      </c>
      <c r="F21" s="21" t="n">
        <v>31.38</v>
      </c>
      <c r="G21" s="21" t="n">
        <v>120.98</v>
      </c>
      <c r="H21" s="21" t="inlineStr">
        <is>
          <t>통과</t>
        </is>
      </c>
      <c r="I21" s="16" t="inlineStr">
        <is>
          <t>확인 필요</t>
        </is>
      </c>
      <c r="J21" s="16" t="inlineStr">
        <is>
          <t>미통과(1차 명단에 원구 없음)</t>
        </is>
      </c>
      <c r="K21" s="21" t="n"/>
      <c r="L21" s="21" t="n"/>
      <c r="M21" s="27" t="n">
        <v>3</v>
      </c>
      <c r="N21" s="27" t="n">
        <v>3</v>
      </c>
      <c r="O21" s="27" t="n">
        <v>3</v>
      </c>
      <c r="P21" s="27" t="n">
        <v>4</v>
      </c>
      <c r="Q21" s="31" t="str">
        <f>IF(OR(ISNUMBER(SEARCH("미통과",J21)),COUNT(K21:P21)&lt;6),"점수 보류",SUMPRODUCT(K21:P21,$L$7:$Q$7)/5)</f>
        <v>점수 보류</v>
      </c>
      <c r="R21" s="31" t="str">
        <f>IF(OR(ISNUMBER(SEARCH("미통과",J21)),COUNT(K21:P21)&lt;6),"점수 보류",SUMPRODUCT(K21:P21,$L$8:$Q$8)/5)</f>
        <v>점수 보류</v>
      </c>
      <c r="S21" s="31" t="str">
        <f>IF(OR(ISNUMBER(SEARCH("미통과",J21)),COUNT(K21:P21)&lt;6),"점수 보류",SUMPRODUCT(K21:P21,$L$9:$Q$9)/5)</f>
        <v>점수 보류</v>
      </c>
      <c r="T21" s="21" t="inlineStr">
        <is>
          <t>하</t>
        </is>
      </c>
      <c r="U21" s="21" t="inlineStr">
        <is>
          <t>창고 거점 제외</t>
        </is>
      </c>
      <c r="V21" s="16" t="inlineStr">
        <is>
          <t>1차 인정 명단에 쿤산 원구 없음 → 창고는 타 지역</t>
        </is>
      </c>
      <c r="W21" s="21" t="inlineStr">
        <is>
          <t>EVD-020</t>
        </is>
      </c>
    </row>
    <row r="22">
      <c r="A22" s="21" t="inlineStr">
        <is>
          <t>CITY-010</t>
        </is>
      </c>
      <c r="B22" s="21" t="inlineStr">
        <is>
          <t>강소성</t>
        </is>
      </c>
      <c r="C22" s="21" t="inlineStr">
        <is>
          <t>苏州(쑤저우)</t>
        </is>
      </c>
      <c r="D22" s="16" t="inlineStr">
        <is>
          <t>太仓(타이창, 현급시)</t>
        </is>
      </c>
      <c r="E22" s="16" t="inlineStr">
        <is>
          <t>항만 물류 후보</t>
        </is>
      </c>
      <c r="F22" s="21" t="n">
        <v>31.62</v>
      </c>
      <c r="G22" s="21" t="n">
        <v>121.22</v>
      </c>
      <c r="H22" s="21" t="inlineStr">
        <is>
          <t>통과</t>
        </is>
      </c>
      <c r="I22" s="16" t="inlineStr">
        <is>
          <t>확인 필요</t>
        </is>
      </c>
      <c r="J22" s="16" t="inlineStr">
        <is>
          <t>확인 필요(1차 명단 미포함)</t>
        </is>
      </c>
      <c r="K22" s="21" t="n"/>
      <c r="L22" s="21" t="n"/>
      <c r="M22" s="27" t="n">
        <v>3</v>
      </c>
      <c r="N22" s="27" t="n">
        <v>3</v>
      </c>
      <c r="O22" s="27" t="n">
        <v>3</v>
      </c>
      <c r="P22" s="27" t="n">
        <v>4</v>
      </c>
      <c r="Q22" s="31" t="str">
        <f>IF(OR(ISNUMBER(SEARCH("미통과",J22)),COUNT(K22:P22)&lt;6),"점수 보류",SUMPRODUCT(K22:P22,$L$7:$Q$7)/5)</f>
        <v>점수 보류</v>
      </c>
      <c r="R22" s="31" t="str">
        <f>IF(OR(ISNUMBER(SEARCH("미통과",J22)),COUNT(K22:P22)&lt;6),"점수 보류",SUMPRODUCT(K22:P22,$L$8:$Q$8)/5)</f>
        <v>점수 보류</v>
      </c>
      <c r="S22" s="31" t="str">
        <f>IF(OR(ISNUMBER(SEARCH("미통과",J22)),COUNT(K22:P22)&lt;6),"점수 보류",SUMPRODUCT(K22:P22,$L$9:$Q$9)/5)</f>
        <v>점수 보류</v>
      </c>
      <c r="T22" s="21" t="inlineStr">
        <is>
          <t>하</t>
        </is>
      </c>
      <c r="U22" s="21" t="inlineStr">
        <is>
          <t>기관 확인 후 결정</t>
        </is>
      </c>
      <c r="V22" s="16" t="inlineStr">
        <is>
          <t>항만 위험물 범위·2차 명단 확인 필요</t>
        </is>
      </c>
      <c r="W22" s="21" t="inlineStr">
        <is>
          <t>EVD-020</t>
        </is>
      </c>
    </row>
    <row r="23">
      <c r="A23" s="21" t="inlineStr">
        <is>
          <t>CITY-101</t>
        </is>
      </c>
      <c r="B23" s="21" t="inlineStr">
        <is>
          <t>상하이시(직할시)</t>
        </is>
      </c>
      <c r="C23" s="21" t="inlineStr">
        <is>
          <t>上海</t>
        </is>
      </c>
      <c r="D23" s="16" t="inlineStr">
        <is>
          <t>浦东 (外高桥·自贸区)</t>
        </is>
      </c>
      <c r="E23" s="16" t="inlineStr">
        <is>
          <t>법인·수입항·보세 물류</t>
        </is>
      </c>
      <c r="F23" s="21" t="n">
        <v>31.36</v>
      </c>
      <c r="G23" s="21" t="n">
        <v>121.6</v>
      </c>
      <c r="H23" s="21" t="inlineStr">
        <is>
          <t>통과</t>
        </is>
      </c>
      <c r="I23" s="16" t="inlineStr">
        <is>
          <t>통과(시 규정·자유무역구 15영업일 사례)</t>
        </is>
      </c>
      <c r="J23" s="16" t="inlineStr">
        <is>
          <t>조건부(化学工业区·항만 창고)</t>
        </is>
      </c>
      <c r="K23" s="27" t="n">
        <v>4</v>
      </c>
      <c r="L23" s="27" t="n">
        <v>3</v>
      </c>
      <c r="M23" s="27" t="n">
        <v>4</v>
      </c>
      <c r="N23" s="27" t="n">
        <v>3</v>
      </c>
      <c r="O23" s="27" t="n">
        <v>2</v>
      </c>
      <c r="P23" s="27" t="n">
        <v>5</v>
      </c>
      <c r="Q23" s="31">
        <f>IF(OR(ISNUMBER(SEARCH("미통과",J23)),COUNT(K23:P23)&lt;6),"점수 보류",SUMPRODUCT(K23:P23,$L$7:$Q$7)/5)</f>
        <v>68</v>
      </c>
      <c r="R23" s="31">
        <f>IF(OR(ISNUMBER(SEARCH("미통과",J23)),COUNT(K23:P23)&lt;6),"점수 보류",SUMPRODUCT(K23:P23,$L$8:$Q$8)/5)</f>
        <v>71</v>
      </c>
      <c r="S23" s="31">
        <f>IF(OR(ISNUMBER(SEARCH("미통과",J23)),COUNT(K23:P23)&lt;6),"점수 보류",SUMPRODUCT(K23:P23,$L$9:$Q$9)/5)</f>
        <v>62</v>
      </c>
      <c r="T23" s="21" t="inlineStr">
        <is>
          <t>중</t>
        </is>
      </c>
      <c r="U23" s="21" t="inlineStr">
        <is>
          <t>인근 대안 1 · 조건부</t>
        </is>
      </c>
      <c r="V23" s="16" t="inlineStr">
        <is>
          <t>수입항·보세 물류 강점, 비용 높음</t>
        </is>
      </c>
      <c r="W23" s="21" t="inlineStr">
        <is>
          <t>SRC-031, SRC-032, EVD-016</t>
        </is>
      </c>
    </row>
    <row r="24">
      <c r="A24" s="21" t="inlineStr">
        <is>
          <t>CITY-102</t>
        </is>
      </c>
      <c r="B24" s="21" t="inlineStr">
        <is>
          <t>저장성</t>
        </is>
      </c>
      <c r="C24" s="21" t="inlineStr">
        <is>
          <t>嘉兴(자싱)</t>
        </is>
      </c>
      <c r="D24" s="16" t="inlineStr">
        <is>
          <t>平湖·嘉兴港区</t>
        </is>
      </c>
      <c r="E24" s="16" t="inlineStr">
        <is>
          <t>창고 거점 대안</t>
        </is>
      </c>
      <c r="F24" s="21" t="n">
        <v>30.62</v>
      </c>
      <c r="G24" s="21" t="n">
        <v>121.1</v>
      </c>
      <c r="H24" s="21" t="inlineStr">
        <is>
          <t>통과</t>
        </is>
      </c>
      <c r="I24" s="16" t="inlineStr">
        <is>
          <t>확인 필요</t>
        </is>
      </c>
      <c r="J24" s="16" t="inlineStr">
        <is>
          <t>조건부(嘉兴 화공원구)</t>
        </is>
      </c>
      <c r="K24" s="21" t="n"/>
      <c r="L24" s="27" t="n">
        <v>3</v>
      </c>
      <c r="M24" s="27" t="n">
        <v>3</v>
      </c>
      <c r="N24" s="27" t="n">
        <v>3</v>
      </c>
      <c r="O24" s="27" t="n">
        <v>4</v>
      </c>
      <c r="P24" s="27" t="n">
        <v>3</v>
      </c>
      <c r="Q24" s="31" t="str">
        <f>IF(OR(ISNUMBER(SEARCH("미통과",J24)),COUNT(K24:P24)&lt;6),"점수 보류",SUMPRODUCT(K24:P24,$L$7:$Q$7)/5)</f>
        <v>점수 보류</v>
      </c>
      <c r="R24" s="31" t="str">
        <f>IF(OR(ISNUMBER(SEARCH("미통과",J24)),COUNT(K24:P24)&lt;6),"점수 보류",SUMPRODUCT(K24:P24,$L$8:$Q$8)/5)</f>
        <v>점수 보류</v>
      </c>
      <c r="S24" s="31" t="str">
        <f>IF(OR(ISNUMBER(SEARCH("미통과",J24)),COUNT(K24:P24)&lt;6),"점수 보류",SUMPRODUCT(K24:P24,$L$9:$Q$9)/5)</f>
        <v>점수 보류</v>
      </c>
      <c r="T24" s="21" t="inlineStr">
        <is>
          <t>하</t>
        </is>
      </c>
      <c r="U24" s="21" t="inlineStr">
        <is>
          <t>보류</t>
        </is>
      </c>
      <c r="V24" s="16" t="inlineStr">
        <is>
          <t>강소성 창고 미확보 시 대안</t>
        </is>
      </c>
      <c r="W24" s="21" t="inlineStr">
        <is>
          <t>SRC-033</t>
        </is>
      </c>
    </row>
    <row r="25">
      <c r="A25" s="21" t="inlineStr">
        <is>
          <t>CITY-103</t>
        </is>
      </c>
      <c r="B25" s="21" t="inlineStr">
        <is>
          <t>저장성</t>
        </is>
      </c>
      <c r="C25" s="21" t="inlineStr">
        <is>
          <t>宁波(닝보)</t>
        </is>
      </c>
      <c r="D25" s="16" t="inlineStr">
        <is>
          <t>镇海 (宁波石化经开区)</t>
        </is>
      </c>
      <c r="E25" s="16" t="inlineStr">
        <is>
          <t>항만·원구</t>
        </is>
      </c>
      <c r="F25" s="21" t="n">
        <v>29.98</v>
      </c>
      <c r="G25" s="21" t="n">
        <v>121.66</v>
      </c>
      <c r="H25" s="21" t="inlineStr">
        <is>
          <t>통과</t>
        </is>
      </c>
      <c r="I25" s="16" t="inlineStr">
        <is>
          <t>확인 필요</t>
        </is>
      </c>
      <c r="J25" s="16" t="inlineStr">
        <is>
          <t>조건부</t>
        </is>
      </c>
      <c r="K25" s="21" t="n"/>
      <c r="L25" s="27" t="n">
        <v>3</v>
      </c>
      <c r="M25" s="27" t="n">
        <v>3</v>
      </c>
      <c r="N25" s="27" t="n">
        <v>1</v>
      </c>
      <c r="O25" s="27" t="n">
        <v>3</v>
      </c>
      <c r="P25" s="27" t="n">
        <v>3</v>
      </c>
      <c r="Q25" s="31" t="str">
        <f>IF(OR(ISNUMBER(SEARCH("미통과",J25)),COUNT(K25:P25)&lt;6),"점수 보류",SUMPRODUCT(K25:P25,$L$7:$Q$7)/5)</f>
        <v>점수 보류</v>
      </c>
      <c r="R25" s="31" t="str">
        <f>IF(OR(ISNUMBER(SEARCH("미통과",J25)),COUNT(K25:P25)&lt;6),"점수 보류",SUMPRODUCT(K25:P25,$L$8:$Q$8)/5)</f>
        <v>점수 보류</v>
      </c>
      <c r="S25" s="31" t="str">
        <f>IF(OR(ISNUMBER(SEARCH("미통과",J25)),COUNT(K25:P25)&lt;6),"점수 보류",SUMPRODUCT(K25:P25,$L$9:$Q$9)/5)</f>
        <v>점수 보류</v>
      </c>
      <c r="T25" s="21" t="inlineStr">
        <is>
          <t>하</t>
        </is>
      </c>
      <c r="U25" s="21" t="inlineStr">
        <is>
          <t>제외(거리)</t>
        </is>
      </c>
      <c r="V25" s="16" t="inlineStr">
        <is>
          <t>고객 거리 불리</t>
        </is>
      </c>
      <c r="W25" s="21" t="inlineStr">
        <is>
          <t>SRC-033</t>
        </is>
      </c>
    </row>
    <row r="26">
      <c r="A26" s="21" t="inlineStr">
        <is>
          <t>CITY-104</t>
        </is>
      </c>
      <c r="B26" s="21" t="inlineStr">
        <is>
          <t>안후이성</t>
        </is>
      </c>
      <c r="C26" s="21" t="inlineStr">
        <is>
          <t>合肥(허페이)</t>
        </is>
      </c>
      <c r="D26" s="16" t="inlineStr">
        <is>
          <t>经开区</t>
        </is>
      </c>
      <c r="E26" s="16" t="inlineStr">
        <is>
          <t>CXMT 대응 법인·영업</t>
        </is>
      </c>
      <c r="F26" s="21" t="n">
        <v>31.75</v>
      </c>
      <c r="G26" s="21" t="n">
        <v>117.24</v>
      </c>
      <c r="H26" s="21" t="inlineStr">
        <is>
          <t>통과</t>
        </is>
      </c>
      <c r="I26" s="16" t="inlineStr">
        <is>
          <t>확인 필요</t>
        </is>
      </c>
      <c r="J26" s="16" t="inlineStr">
        <is>
          <t>확인 필요(허페이 원구 미확인)</t>
        </is>
      </c>
      <c r="K26" s="27" t="n">
        <v>3</v>
      </c>
      <c r="L26" s="21" t="n"/>
      <c r="M26" s="27" t="n">
        <v>3</v>
      </c>
      <c r="N26" s="27" t="n">
        <v>4</v>
      </c>
      <c r="O26" s="27" t="n">
        <v>4</v>
      </c>
      <c r="P26" s="27" t="n">
        <v>4</v>
      </c>
      <c r="Q26" s="31" t="str">
        <f>IF(OR(ISNUMBER(SEARCH("미통과",J26)),COUNT(K26:P26)&lt;6),"점수 보류",SUMPRODUCT(K26:P26,$L$7:$Q$7)/5)</f>
        <v>점수 보류</v>
      </c>
      <c r="R26" s="31" t="str">
        <f>IF(OR(ISNUMBER(SEARCH("미통과",J26)),COUNT(K26:P26)&lt;6),"점수 보류",SUMPRODUCT(K26:P26,$L$8:$Q$8)/5)</f>
        <v>점수 보류</v>
      </c>
      <c r="S26" s="31" t="str">
        <f>IF(OR(ISNUMBER(SEARCH("미통과",J26)),COUNT(K26:P26)&lt;6),"점수 보류",SUMPRODUCT(K26:P26,$L$9:$Q$9)/5)</f>
        <v>점수 보류</v>
      </c>
      <c r="T26" s="21" t="inlineStr">
        <is>
          <t>하</t>
        </is>
      </c>
      <c r="U26" s="21" t="inlineStr">
        <is>
          <t>인근 대안 2 · 기관 확인 후 결정</t>
        </is>
      </c>
      <c r="V26" s="16" t="inlineStr">
        <is>
          <t>CXMT 근접. 창고 후보 공개 근거 부족</t>
        </is>
      </c>
      <c r="W26" s="21" t="inlineStr">
        <is>
          <t>EVD-029, SRC-034</t>
        </is>
      </c>
    </row>
    <row r="27">
      <c r="A27" s="21" t="inlineStr">
        <is>
          <t>CITY-105</t>
        </is>
      </c>
      <c r="B27" s="21" t="inlineStr">
        <is>
          <t>안후이성</t>
        </is>
      </c>
      <c r="C27" s="21" t="inlineStr">
        <is>
          <t>滁州(추저우)</t>
        </is>
      </c>
      <c r="D27" s="16" t="inlineStr">
        <is>
          <t>-</t>
        </is>
      </c>
      <c r="E27" s="16" t="inlineStr">
        <is>
          <t>창고 거점 대안</t>
        </is>
      </c>
      <c r="F27" s="21" t="n">
        <v>32.3</v>
      </c>
      <c r="G27" s="21" t="n">
        <v>118.32</v>
      </c>
      <c r="H27" s="21" t="inlineStr">
        <is>
          <t>통과</t>
        </is>
      </c>
      <c r="I27" s="16" t="inlineStr">
        <is>
          <t>확인 필요</t>
        </is>
      </c>
      <c r="J27" s="16" t="inlineStr">
        <is>
          <t>확인 필요</t>
        </is>
      </c>
      <c r="K27" s="21" t="n"/>
      <c r="L27" s="21" t="n"/>
      <c r="M27" s="27" t="n">
        <v>3</v>
      </c>
      <c r="N27" s="27" t="n">
        <v>3</v>
      </c>
      <c r="O27" s="27" t="n">
        <v>4</v>
      </c>
      <c r="P27" s="27" t="n">
        <v>3</v>
      </c>
      <c r="Q27" s="31" t="str">
        <f>IF(OR(ISNUMBER(SEARCH("미통과",J27)),COUNT(K27:P27)&lt;6),"점수 보류",SUMPRODUCT(K27:P27,$L$7:$Q$7)/5)</f>
        <v>점수 보류</v>
      </c>
      <c r="R27" s="31" t="str">
        <f>IF(OR(ISNUMBER(SEARCH("미통과",J27)),COUNT(K27:P27)&lt;6),"점수 보류",SUMPRODUCT(K27:P27,$L$8:$Q$8)/5)</f>
        <v>점수 보류</v>
      </c>
      <c r="S27" s="31" t="str">
        <f>IF(OR(ISNUMBER(SEARCH("미통과",J27)),COUNT(K27:P27)&lt;6),"점수 보류",SUMPRODUCT(K27:P27,$L$9:$Q$9)/5)</f>
        <v>점수 보류</v>
      </c>
      <c r="T27" s="21" t="inlineStr">
        <is>
          <t>하</t>
        </is>
      </c>
      <c r="U27" s="21" t="inlineStr">
        <is>
          <t>보류</t>
        </is>
      </c>
      <c r="V27" s="16" t="inlineStr">
        <is>
          <t>난징 인접, 자료 부족</t>
        </is>
      </c>
      <c r="W27" s="21" t="inlineStr">
        <is>
          <t>SRC-034</t>
        </is>
      </c>
    </row>
    <row r="28">
      <c r="A28" s="21" t="inlineStr">
        <is>
          <t>CITY-106</t>
        </is>
      </c>
      <c r="B28" s="21" t="inlineStr">
        <is>
          <t>안후이성</t>
        </is>
      </c>
      <c r="C28" s="21" t="inlineStr">
        <is>
          <t>芜湖·马鞍山</t>
        </is>
      </c>
      <c r="D28" s="16" t="inlineStr">
        <is>
          <t>-</t>
        </is>
      </c>
      <c r="E28" s="16" t="inlineStr">
        <is>
          <t>창고 거점 대안</t>
        </is>
      </c>
      <c r="F28" s="21" t="n">
        <v>31.5</v>
      </c>
      <c r="G28" s="21" t="n">
        <v>118.47</v>
      </c>
      <c r="H28" s="21" t="inlineStr">
        <is>
          <t>통과</t>
        </is>
      </c>
      <c r="I28" s="16" t="inlineStr">
        <is>
          <t>확인 필요</t>
        </is>
      </c>
      <c r="J28" s="16" t="inlineStr">
        <is>
          <t>확인 필요</t>
        </is>
      </c>
      <c r="K28" s="21" t="n"/>
      <c r="L28" s="21" t="n"/>
      <c r="M28" s="27" t="n">
        <v>3</v>
      </c>
      <c r="N28" s="27" t="n">
        <v>3</v>
      </c>
      <c r="O28" s="27" t="n">
        <v>4</v>
      </c>
      <c r="P28" s="27" t="n">
        <v>3</v>
      </c>
      <c r="Q28" s="31" t="str">
        <f>IF(OR(ISNUMBER(SEARCH("미통과",J28)),COUNT(K28:P28)&lt;6),"점수 보류",SUMPRODUCT(K28:P28,$L$7:$Q$7)/5)</f>
        <v>점수 보류</v>
      </c>
      <c r="R28" s="31" t="str">
        <f>IF(OR(ISNUMBER(SEARCH("미통과",J28)),COUNT(K28:P28)&lt;6),"점수 보류",SUMPRODUCT(K28:P28,$L$8:$Q$8)/5)</f>
        <v>점수 보류</v>
      </c>
      <c r="S28" s="31" t="str">
        <f>IF(OR(ISNUMBER(SEARCH("미통과",J28)),COUNT(K28:P28)&lt;6),"점수 보류",SUMPRODUCT(K28:P28,$L$9:$Q$9)/5)</f>
        <v>점수 보류</v>
      </c>
      <c r="T28" s="21" t="inlineStr">
        <is>
          <t>하</t>
        </is>
      </c>
      <c r="U28" s="21" t="inlineStr">
        <is>
          <t>보류</t>
        </is>
      </c>
      <c r="V28" s="16" t="inlineStr">
        <is>
          <t>자료 부족</t>
        </is>
      </c>
      <c r="W28" s="21" t="inlineStr">
        <is>
          <t>SRC-034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00EB002C"/>
    <outlinePr summaryBelow="1" summaryRight="1"/>
    <pageSetUpPr/>
  </sheetPr>
  <dimension ref="A1:O18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40" customWidth="1" min="3" max="3"/>
    <col width="14" customWidth="1" min="4" max="4"/>
    <col width="12" customWidth="1" min="5" max="5"/>
    <col width="16" customWidth="1" min="6" max="6"/>
    <col width="16" customWidth="1" min="7" max="7"/>
    <col width="22" customWidth="1" min="8" max="8"/>
    <col width="16" customWidth="1" min="9" max="9"/>
    <col width="14" customWidth="1" min="10" max="10"/>
    <col width="12" customWidth="1" min="11" max="11"/>
    <col width="14" customWidth="1" min="12" max="12"/>
    <col width="10" customWidth="1" min="13" max="13"/>
    <col width="8" customWidth="1" min="14" max="14"/>
    <col width="14" customWidth="1" min="15" max="15"/>
  </cols>
  <sheetData>
    <row r="1">
      <c r="A1" s="1" t="inlineStr">
        <is>
          <t>09_SitesWarehouses | 단지·창고 후보</t>
        </is>
      </c>
    </row>
    <row r="2">
      <c r="A2" s="2" t="inlineStr">
        <is>
          <t>공개 근거로 확인된 것은 '인정 화공원구' 지위까지. 위험품 창고·품목·특수 물성 수용은 모두 문의 예정</t>
        </is>
      </c>
    </row>
    <row r="3">
      <c r="A3" s="3" t="inlineStr">
        <is>
          <t>조사 기준일 2026-10-06 · 단위·상태는 각 열 머리글 참조</t>
        </is>
      </c>
    </row>
    <row r="5">
      <c r="A5" s="20" t="inlineStr">
        <is>
          <t>시설 ID</t>
        </is>
      </c>
      <c r="B5" s="20" t="inlineStr">
        <is>
          <t>도시 ID</t>
        </is>
      </c>
      <c r="C5" s="20" t="inlineStr">
        <is>
          <t>단지·창고 정식 명칭</t>
        </is>
      </c>
      <c r="D5" s="20" t="inlineStr">
        <is>
          <t>주소</t>
        </is>
      </c>
      <c r="E5" s="20" t="inlineStr">
        <is>
          <t>운영사</t>
        </is>
      </c>
      <c r="F5" s="20" t="inlineStr">
        <is>
          <t>시설 종류</t>
        </is>
      </c>
      <c r="G5" s="20" t="inlineStr">
        <is>
          <t>공식 인정·허가</t>
        </is>
      </c>
      <c r="H5" s="20" t="inlineStr">
        <is>
          <t>취급 가능 품목</t>
        </is>
      </c>
      <c r="I5" s="20" t="inlineStr">
        <is>
          <t>특수 물성 수용</t>
        </is>
      </c>
      <c r="J5" s="20" t="inlineStr">
        <is>
          <t>외자·무역법인 입주</t>
        </is>
      </c>
      <c r="K5" s="20" t="inlineStr">
        <is>
          <t>임차 조건</t>
        </is>
      </c>
      <c r="L5" s="20" t="inlineStr">
        <is>
          <t>공개 연락처</t>
        </is>
      </c>
      <c r="M5" s="20" t="inlineStr">
        <is>
          <t>문의 상태</t>
        </is>
      </c>
      <c r="N5" s="20" t="inlineStr">
        <is>
          <t>견적 필요</t>
        </is>
      </c>
      <c r="O5" s="20" t="inlineStr">
        <is>
          <t>근거 ID</t>
        </is>
      </c>
    </row>
    <row r="6">
      <c r="A6" s="21" t="inlineStr">
        <is>
          <t>SITE-001</t>
        </is>
      </c>
      <c r="B6" s="21" t="inlineStr">
        <is>
          <t>CITY-001</t>
        </is>
      </c>
      <c r="C6" s="16" t="inlineStr">
        <is>
          <t>江阴临港化工园区 (무석 관할 강음시)</t>
        </is>
      </c>
      <c r="D6" s="21" t="inlineStr">
        <is>
          <t>공개 주소 미수집</t>
        </is>
      </c>
      <c r="E6" s="21" t="inlineStr">
        <is>
          <t>원구 관리위원회</t>
        </is>
      </c>
      <c r="F6" s="21" t="inlineStr">
        <is>
          <t>인정 화공원구</t>
        </is>
      </c>
      <c r="G6" s="21" t="inlineStr">
        <is>
          <t>강소성 1차 인정</t>
        </is>
      </c>
      <c r="H6" s="16" t="inlineStr">
        <is>
          <t>확인 필요</t>
        </is>
      </c>
      <c r="I6" s="21" t="inlineStr">
        <is>
          <t>확인 필요</t>
        </is>
      </c>
      <c r="J6" s="21" t="inlineStr">
        <is>
          <t>확인 필요</t>
        </is>
      </c>
      <c r="K6" s="21" t="inlineStr">
        <is>
          <t>확인 필요</t>
        </is>
      </c>
      <c r="L6" s="21" t="inlineStr">
        <is>
          <t>공식 사이트 확인 예정</t>
        </is>
      </c>
      <c r="M6" s="21" t="inlineStr">
        <is>
          <t>문의 예정</t>
        </is>
      </c>
      <c r="N6" s="21" t="inlineStr">
        <is>
          <t>필요</t>
        </is>
      </c>
      <c r="O6" s="21" t="inlineStr">
        <is>
          <t>EVD-020</t>
        </is>
      </c>
    </row>
    <row r="7">
      <c r="A7" s="21" t="inlineStr">
        <is>
          <t>SITE-002</t>
        </is>
      </c>
      <c r="B7" s="21" t="inlineStr">
        <is>
          <t>CITY-001</t>
        </is>
      </c>
      <c r="C7" s="16" t="inlineStr">
        <is>
          <t>锡山经济技术开发区新材料产业园</t>
        </is>
      </c>
      <c r="D7" s="21" t="inlineStr">
        <is>
          <t>공개 주소 미수집</t>
        </is>
      </c>
      <c r="E7" s="21" t="inlineStr">
        <is>
          <t>원구 관리</t>
        </is>
      </c>
      <c r="F7" s="21" t="inlineStr">
        <is>
          <t>인정 화공원구</t>
        </is>
      </c>
      <c r="G7" s="21" t="inlineStr">
        <is>
          <t>강소성 1차 인정</t>
        </is>
      </c>
      <c r="H7" s="16" t="inlineStr">
        <is>
          <t>확인 필요</t>
        </is>
      </c>
      <c r="I7" s="21" t="inlineStr">
        <is>
          <t>확인 필요</t>
        </is>
      </c>
      <c r="J7" s="21" t="inlineStr">
        <is>
          <t>확인 필요</t>
        </is>
      </c>
      <c r="K7" s="21" t="inlineStr">
        <is>
          <t>확인 필요</t>
        </is>
      </c>
      <c r="L7" s="21" t="inlineStr">
        <is>
          <t>-</t>
        </is>
      </c>
      <c r="M7" s="21" t="inlineStr">
        <is>
          <t>문의 예정</t>
        </is>
      </c>
      <c r="N7" s="21" t="inlineStr">
        <is>
          <t>필요</t>
        </is>
      </c>
      <c r="O7" s="21" t="inlineStr">
        <is>
          <t>EVD-020</t>
        </is>
      </c>
    </row>
    <row r="8">
      <c r="A8" s="21" t="inlineStr">
        <is>
          <t>SITE-003</t>
        </is>
      </c>
      <c r="B8" s="21" t="inlineStr">
        <is>
          <t>CITY-001</t>
        </is>
      </c>
      <c r="C8" s="16" t="inlineStr">
        <is>
          <t>宜兴市新材料产业园</t>
        </is>
      </c>
      <c r="D8" s="21" t="inlineStr">
        <is>
          <t>공개 주소 미수집</t>
        </is>
      </c>
      <c r="E8" s="21" t="inlineStr">
        <is>
          <t>원구 관리</t>
        </is>
      </c>
      <c r="F8" s="21" t="inlineStr">
        <is>
          <t>인정 화공원구</t>
        </is>
      </c>
      <c r="G8" s="21" t="inlineStr">
        <is>
          <t>강소성 1차 인정</t>
        </is>
      </c>
      <c r="H8" s="16" t="inlineStr">
        <is>
          <t>확인 필요</t>
        </is>
      </c>
      <c r="I8" s="21" t="inlineStr">
        <is>
          <t>확인 필요</t>
        </is>
      </c>
      <c r="J8" s="21" t="inlineStr">
        <is>
          <t>확인 필요</t>
        </is>
      </c>
      <c r="K8" s="21" t="inlineStr">
        <is>
          <t>확인 필요</t>
        </is>
      </c>
      <c r="L8" s="21" t="inlineStr">
        <is>
          <t>-</t>
        </is>
      </c>
      <c r="M8" s="21" t="inlineStr">
        <is>
          <t>문의 예정</t>
        </is>
      </c>
      <c r="N8" s="21" t="inlineStr">
        <is>
          <t>필요</t>
        </is>
      </c>
      <c r="O8" s="21" t="inlineStr">
        <is>
          <t>EVD-020</t>
        </is>
      </c>
    </row>
    <row r="9">
      <c r="A9" s="21" t="inlineStr">
        <is>
          <t>SITE-004</t>
        </is>
      </c>
      <c r="B9" s="21" t="inlineStr">
        <is>
          <t>CITY-001</t>
        </is>
      </c>
      <c r="C9" s="16" t="inlineStr">
        <is>
          <t>무석 신오구 사무 공간 (무저장 경영 장소)</t>
        </is>
      </c>
      <c r="D9" s="21" t="inlineStr">
        <is>
          <t>-</t>
        </is>
      </c>
      <c r="E9" s="21" t="inlineStr">
        <is>
          <t>임대인</t>
        </is>
      </c>
      <c r="F9" s="21" t="inlineStr">
        <is>
          <t>일반 업무용 건물</t>
        </is>
      </c>
      <c r="G9" s="21" t="inlineStr">
        <is>
          <t>-</t>
        </is>
      </c>
      <c r="H9" s="16" t="inlineStr">
        <is>
          <t>보관 금지(무저장)</t>
        </is>
      </c>
      <c r="I9" s="21" t="inlineStr">
        <is>
          <t>-</t>
        </is>
      </c>
      <c r="J9" s="21" t="inlineStr">
        <is>
          <t>가능(일반)</t>
        </is>
      </c>
      <c r="K9" s="21" t="inlineStr">
        <is>
          <t>견적 필요</t>
        </is>
      </c>
      <c r="L9" s="21" t="inlineStr">
        <is>
          <t>-</t>
        </is>
      </c>
      <c r="M9" s="21" t="inlineStr">
        <is>
          <t>문의 예정</t>
        </is>
      </c>
      <c r="N9" s="21" t="inlineStr">
        <is>
          <t>필요</t>
        </is>
      </c>
      <c r="O9" s="21" t="inlineStr">
        <is>
          <t>EVD-015</t>
        </is>
      </c>
    </row>
    <row r="10">
      <c r="A10" s="21" t="inlineStr">
        <is>
          <t>SITE-005</t>
        </is>
      </c>
      <c r="B10" s="21" t="inlineStr">
        <is>
          <t>CITY-002</t>
        </is>
      </c>
      <c r="C10" s="16" t="inlineStr">
        <is>
          <t>江苏扬子江国际化学工业园 / 张家港保税区 위험품 물류</t>
        </is>
      </c>
      <c r="D10" s="21" t="inlineStr">
        <is>
          <t>공개 주소 미수집</t>
        </is>
      </c>
      <c r="E10" s="21" t="inlineStr">
        <is>
          <t>원구·물류사</t>
        </is>
      </c>
      <c r="F10" s="21" t="inlineStr">
        <is>
          <t>인정 화공원구·보세구</t>
        </is>
      </c>
      <c r="G10" s="21" t="inlineStr">
        <is>
          <t>강소성 1차 인정</t>
        </is>
      </c>
      <c r="H10" s="16" t="inlineStr">
        <is>
          <t>위험화학품 부두·보세 위험품 창고(보도)</t>
        </is>
      </c>
      <c r="I10" s="21" t="inlineStr">
        <is>
          <t>확인 필요(4.2·4.3류)</t>
        </is>
      </c>
      <c r="J10" s="21" t="inlineStr">
        <is>
          <t>확인 필요</t>
        </is>
      </c>
      <c r="K10" s="21" t="inlineStr">
        <is>
          <t>견적 필요</t>
        </is>
      </c>
      <c r="L10" s="21" t="inlineStr">
        <is>
          <t>-</t>
        </is>
      </c>
      <c r="M10" s="21" t="inlineStr">
        <is>
          <t>문의 예정</t>
        </is>
      </c>
      <c r="N10" s="21" t="inlineStr">
        <is>
          <t>필요</t>
        </is>
      </c>
      <c r="O10" s="21" t="inlineStr">
        <is>
          <t>EVD-021</t>
        </is>
      </c>
    </row>
    <row r="11">
      <c r="A11" s="21" t="inlineStr">
        <is>
          <t>SITE-006</t>
        </is>
      </c>
      <c r="B11" s="21" t="inlineStr">
        <is>
          <t>CITY-002</t>
        </is>
      </c>
      <c r="C11" s="16" t="inlineStr">
        <is>
          <t>江苏高科技氟化学工业园(常熟新材料产业园)</t>
        </is>
      </c>
      <c r="D11" s="21" t="inlineStr">
        <is>
          <t>공개 주소 미수집</t>
        </is>
      </c>
      <c r="E11" s="21" t="inlineStr">
        <is>
          <t>원구 관리</t>
        </is>
      </c>
      <c r="F11" s="21" t="inlineStr">
        <is>
          <t>인정 화공원구</t>
        </is>
      </c>
      <c r="G11" s="21" t="inlineStr">
        <is>
          <t>강소성 1차 인정</t>
        </is>
      </c>
      <c r="H11" s="16" t="inlineStr">
        <is>
          <t>불소화학 중심</t>
        </is>
      </c>
      <c r="I11" s="21" t="inlineStr">
        <is>
          <t>확인 필요</t>
        </is>
      </c>
      <c r="J11" s="21" t="inlineStr">
        <is>
          <t>확인 필요</t>
        </is>
      </c>
      <c r="K11" s="21" t="inlineStr">
        <is>
          <t>확인 필요</t>
        </is>
      </c>
      <c r="L11" s="21" t="inlineStr">
        <is>
          <t>-</t>
        </is>
      </c>
      <c r="M11" s="21" t="inlineStr">
        <is>
          <t>문의 예정</t>
        </is>
      </c>
      <c r="N11" s="21" t="inlineStr">
        <is>
          <t>필요</t>
        </is>
      </c>
      <c r="O11" s="21" t="inlineStr">
        <is>
          <t>EVD-020</t>
        </is>
      </c>
    </row>
    <row r="12">
      <c r="A12" s="21" t="inlineStr">
        <is>
          <t>SITE-007</t>
        </is>
      </c>
      <c r="B12" s="21" t="inlineStr">
        <is>
          <t>CITY-003</t>
        </is>
      </c>
      <c r="C12" s="16" t="inlineStr">
        <is>
          <t>常州滨江经济开发区新材料产业园</t>
        </is>
      </c>
      <c r="D12" s="21" t="inlineStr">
        <is>
          <t>공개 주소 미수집</t>
        </is>
      </c>
      <c r="E12" s="21" t="inlineStr">
        <is>
          <t>원구 관리</t>
        </is>
      </c>
      <c r="F12" s="21" t="inlineStr">
        <is>
          <t>인정 화공원구</t>
        </is>
      </c>
      <c r="G12" s="21" t="inlineStr">
        <is>
          <t>강소성 1차 인정</t>
        </is>
      </c>
      <c r="H12" s="16" t="inlineStr">
        <is>
          <t>확인 필요</t>
        </is>
      </c>
      <c r="I12" s="21" t="inlineStr">
        <is>
          <t>확인 필요</t>
        </is>
      </c>
      <c r="J12" s="21" t="inlineStr">
        <is>
          <t>확인 필요</t>
        </is>
      </c>
      <c r="K12" s="21" t="inlineStr">
        <is>
          <t>확인 필요</t>
        </is>
      </c>
      <c r="L12" s="21" t="inlineStr">
        <is>
          <t>-</t>
        </is>
      </c>
      <c r="M12" s="21" t="inlineStr">
        <is>
          <t>문의 예정</t>
        </is>
      </c>
      <c r="N12" s="21" t="inlineStr">
        <is>
          <t>필요</t>
        </is>
      </c>
      <c r="O12" s="21" t="inlineStr">
        <is>
          <t>EVD-020</t>
        </is>
      </c>
    </row>
    <row r="13">
      <c r="A13" s="21" t="inlineStr">
        <is>
          <t>SITE-008</t>
        </is>
      </c>
      <c r="B13" s="21" t="inlineStr">
        <is>
          <t>CITY-004</t>
        </is>
      </c>
      <c r="C13" s="16" t="inlineStr">
        <is>
          <t>镇江新区新材料产业园</t>
        </is>
      </c>
      <c r="D13" s="21" t="inlineStr">
        <is>
          <t>공개 주소 미수집</t>
        </is>
      </c>
      <c r="E13" s="21" t="inlineStr">
        <is>
          <t>원구 관리</t>
        </is>
      </c>
      <c r="F13" s="21" t="inlineStr">
        <is>
          <t>인정 화공원구</t>
        </is>
      </c>
      <c r="G13" s="21" t="inlineStr">
        <is>
          <t>강소성 1차 인정</t>
        </is>
      </c>
      <c r="H13" s="16" t="inlineStr">
        <is>
          <t>확인 필요</t>
        </is>
      </c>
      <c r="I13" s="21" t="inlineStr">
        <is>
          <t>확인 필요</t>
        </is>
      </c>
      <c r="J13" s="21" t="inlineStr">
        <is>
          <t>확인 필요</t>
        </is>
      </c>
      <c r="K13" s="21" t="inlineStr">
        <is>
          <t>확인 필요</t>
        </is>
      </c>
      <c r="L13" s="21" t="inlineStr">
        <is>
          <t>-</t>
        </is>
      </c>
      <c r="M13" s="21" t="inlineStr">
        <is>
          <t>문의 예정</t>
        </is>
      </c>
      <c r="N13" s="21" t="inlineStr">
        <is>
          <t>필요</t>
        </is>
      </c>
      <c r="O13" s="21" t="inlineStr">
        <is>
          <t>EVD-020</t>
        </is>
      </c>
    </row>
    <row r="14">
      <c r="A14" s="21" t="inlineStr">
        <is>
          <t>SITE-009</t>
        </is>
      </c>
      <c r="B14" s="21" t="inlineStr">
        <is>
          <t>CITY-006</t>
        </is>
      </c>
      <c r="C14" s="16" t="inlineStr">
        <is>
          <t>南京江北新材料科技园</t>
        </is>
      </c>
      <c r="D14" s="21" t="inlineStr">
        <is>
          <t>공개 주소 미수집</t>
        </is>
      </c>
      <c r="E14" s="21" t="inlineStr">
        <is>
          <t>원구 관리</t>
        </is>
      </c>
      <c r="F14" s="21" t="inlineStr">
        <is>
          <t>인정 화공원구</t>
        </is>
      </c>
      <c r="G14" s="21" t="inlineStr">
        <is>
          <t>강소성 1차 인정</t>
        </is>
      </c>
      <c r="H14" s="16" t="inlineStr">
        <is>
          <t>확인 필요</t>
        </is>
      </c>
      <c r="I14" s="21" t="inlineStr">
        <is>
          <t>확인 필요</t>
        </is>
      </c>
      <c r="J14" s="21" t="inlineStr">
        <is>
          <t>확인 필요</t>
        </is>
      </c>
      <c r="K14" s="21" t="inlineStr">
        <is>
          <t>확인 필요</t>
        </is>
      </c>
      <c r="L14" s="21" t="inlineStr">
        <is>
          <t>-</t>
        </is>
      </c>
      <c r="M14" s="21" t="inlineStr">
        <is>
          <t>문의 예정</t>
        </is>
      </c>
      <c r="N14" s="21" t="inlineStr">
        <is>
          <t>필요</t>
        </is>
      </c>
      <c r="O14" s="21" t="inlineStr">
        <is>
          <t>EVD-020</t>
        </is>
      </c>
    </row>
    <row r="15">
      <c r="A15" s="21" t="inlineStr">
        <is>
          <t>SITE-010</t>
        </is>
      </c>
      <c r="B15" s="21" t="inlineStr">
        <is>
          <t>CITY-005</t>
        </is>
      </c>
      <c r="C15" s="16" t="inlineStr">
        <is>
          <t>南通经济技术开发区化工园区(南区)·如东洋口·如皋港</t>
        </is>
      </c>
      <c r="D15" s="21" t="inlineStr">
        <is>
          <t>공개 주소 미수집</t>
        </is>
      </c>
      <c r="E15" s="21" t="inlineStr">
        <is>
          <t>원구 관리</t>
        </is>
      </c>
      <c r="F15" s="21" t="inlineStr">
        <is>
          <t>인정 화공원구</t>
        </is>
      </c>
      <c r="G15" s="21" t="inlineStr">
        <is>
          <t>강소성 1차 인정</t>
        </is>
      </c>
      <c r="H15" s="16" t="inlineStr">
        <is>
          <t>확인 필요</t>
        </is>
      </c>
      <c r="I15" s="21" t="inlineStr">
        <is>
          <t>확인 필요</t>
        </is>
      </c>
      <c r="J15" s="21" t="inlineStr">
        <is>
          <t>확인 필요</t>
        </is>
      </c>
      <c r="K15" s="21" t="inlineStr">
        <is>
          <t>확인 필요</t>
        </is>
      </c>
      <c r="L15" s="21" t="inlineStr">
        <is>
          <t>-</t>
        </is>
      </c>
      <c r="M15" s="21" t="inlineStr">
        <is>
          <t>문의 예정</t>
        </is>
      </c>
      <c r="N15" s="21" t="inlineStr">
        <is>
          <t>필요</t>
        </is>
      </c>
      <c r="O15" s="21" t="inlineStr">
        <is>
          <t>EVD-020</t>
        </is>
      </c>
    </row>
    <row r="16">
      <c r="A16" s="21" t="inlineStr">
        <is>
          <t>SITE-011</t>
        </is>
      </c>
      <c r="B16" s="21" t="inlineStr">
        <is>
          <t>CITY-101</t>
        </is>
      </c>
      <c r="C16" s="16" t="inlineStr">
        <is>
          <t>上海化学工业区 / 외고교 항만·보세 물류</t>
        </is>
      </c>
      <c r="D16" s="21" t="inlineStr">
        <is>
          <t>공개 주소 미수집</t>
        </is>
      </c>
      <c r="E16" s="21" t="inlineStr">
        <is>
          <t>원구·물류사</t>
        </is>
      </c>
      <c r="F16" s="21" t="inlineStr">
        <is>
          <t>화공원구·보세구</t>
        </is>
      </c>
      <c r="G16" s="21" t="inlineStr">
        <is>
          <t>상하이 시 지정(확인 필요)</t>
        </is>
      </c>
      <c r="H16" s="16" t="inlineStr">
        <is>
          <t>확인 필요</t>
        </is>
      </c>
      <c r="I16" s="21" t="inlineStr">
        <is>
          <t>확인 필요</t>
        </is>
      </c>
      <c r="J16" s="21" t="inlineStr">
        <is>
          <t>확인 필요</t>
        </is>
      </c>
      <c r="K16" s="21" t="inlineStr">
        <is>
          <t>견적 필요</t>
        </is>
      </c>
      <c r="L16" s="21" t="inlineStr">
        <is>
          <t>-</t>
        </is>
      </c>
      <c r="M16" s="21" t="inlineStr">
        <is>
          <t>문의 예정</t>
        </is>
      </c>
      <c r="N16" s="21" t="inlineStr">
        <is>
          <t>필요</t>
        </is>
      </c>
      <c r="O16" s="21" t="inlineStr">
        <is>
          <t>SRC-031, SRC-032</t>
        </is>
      </c>
    </row>
    <row r="17">
      <c r="A17" s="21" t="inlineStr">
        <is>
          <t>SITE-012</t>
        </is>
      </c>
      <c r="B17" s="21" t="inlineStr">
        <is>
          <t>CITY-102</t>
        </is>
      </c>
      <c r="C17" s="16" t="inlineStr">
        <is>
          <t>中国化工新材料(嘉兴)园区 / 平湖独山港 화공원구</t>
        </is>
      </c>
      <c r="D17" s="21" t="inlineStr">
        <is>
          <t>공개 주소 미수집</t>
        </is>
      </c>
      <c r="E17" s="21" t="inlineStr">
        <is>
          <t>원구 관리</t>
        </is>
      </c>
      <c r="F17" s="21" t="inlineStr">
        <is>
          <t>화공원구</t>
        </is>
      </c>
      <c r="G17" s="21" t="inlineStr">
        <is>
          <t>저장성 명단 대조 필요</t>
        </is>
      </c>
      <c r="H17" s="16" t="inlineStr">
        <is>
          <t>확인 필요</t>
        </is>
      </c>
      <c r="I17" s="21" t="inlineStr">
        <is>
          <t>확인 필요</t>
        </is>
      </c>
      <c r="J17" s="21" t="inlineStr">
        <is>
          <t>확인 필요</t>
        </is>
      </c>
      <c r="K17" s="21" t="inlineStr">
        <is>
          <t>확인 필요</t>
        </is>
      </c>
      <c r="L17" s="21" t="inlineStr">
        <is>
          <t>-</t>
        </is>
      </c>
      <c r="M17" s="21" t="inlineStr">
        <is>
          <t>문의 예정</t>
        </is>
      </c>
      <c r="N17" s="21" t="inlineStr">
        <is>
          <t>필요</t>
        </is>
      </c>
      <c r="O17" s="21" t="inlineStr">
        <is>
          <t>SRC-033</t>
        </is>
      </c>
    </row>
    <row r="18">
      <c r="A18" s="21" t="inlineStr">
        <is>
          <t>SITE-013</t>
        </is>
      </c>
      <c r="B18" s="21" t="inlineStr">
        <is>
          <t>CITY-104</t>
        </is>
      </c>
      <c r="C18" s="16" t="inlineStr">
        <is>
          <t>허페이 위험화학품 창고 후보 (미특정)</t>
        </is>
      </c>
      <c r="D18" s="21" t="inlineStr">
        <is>
          <t>-</t>
        </is>
      </c>
      <c r="E18" s="21" t="inlineStr">
        <is>
          <t>-</t>
        </is>
      </c>
      <c r="F18" s="21" t="inlineStr">
        <is>
          <t>미특정</t>
        </is>
      </c>
      <c r="G18" s="26" t="inlineStr">
        <is>
          <t>정보 없음</t>
        </is>
      </c>
      <c r="H18" s="32" t="inlineStr">
        <is>
          <t>정보 없음</t>
        </is>
      </c>
      <c r="I18" s="26" t="inlineStr">
        <is>
          <t>정보 없음</t>
        </is>
      </c>
      <c r="J18" s="26" t="inlineStr">
        <is>
          <t>정보 없음</t>
        </is>
      </c>
      <c r="K18" s="26" t="inlineStr">
        <is>
          <t>정보 없음</t>
        </is>
      </c>
      <c r="L18" s="21" t="inlineStr">
        <is>
          <t>-</t>
        </is>
      </c>
      <c r="M18" s="21" t="inlineStr">
        <is>
          <t>문의 예정</t>
        </is>
      </c>
      <c r="N18" s="21" t="inlineStr">
        <is>
          <t>필요</t>
        </is>
      </c>
      <c r="O18" s="26" t="inlineStr">
        <is>
          <t>정보 없음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tabColor rgb="00FF7900"/>
    <outlinePr summaryBelow="1" summaryRight="1"/>
    <pageSetUpPr/>
  </sheetPr>
  <dimension ref="A1:Q12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6" customWidth="1" min="2" max="2"/>
    <col width="22" customWidth="1" min="3" max="3"/>
    <col width="14" customWidth="1" min="4" max="4"/>
    <col width="12" customWidth="1" min="5" max="5"/>
    <col width="14" customWidth="1" min="6" max="6"/>
    <col width="30" customWidth="1" min="7" max="7"/>
    <col width="24" customWidth="1" min="8" max="8"/>
    <col width="20" customWidth="1" min="9" max="9"/>
    <col width="16" customWidth="1" min="10" max="10"/>
    <col width="18" customWidth="1" min="11" max="11"/>
    <col width="10" customWidth="1" min="12" max="12"/>
    <col width="12" customWidth="1" min="13" max="13"/>
    <col width="14" customWidth="1" min="14" max="14"/>
    <col width="22" customWidth="1" min="15" max="15"/>
    <col width="22" customWidth="1" min="16" max="16"/>
    <col width="18" customWidth="1" min="17" max="17"/>
  </cols>
  <sheetData>
    <row r="1">
      <c r="A1" s="1" t="inlineStr">
        <is>
          <t>10_OperatingModels | 운영 구조 A~G</t>
        </is>
      </c>
    </row>
    <row r="2">
      <c r="A2" s="2" t="inlineStr">
        <is>
          <t>법적 가능성은 근거 기반 판단(기관 확인 전). 비용·기간은 상대 비교</t>
        </is>
      </c>
    </row>
    <row r="3">
      <c r="A3" s="3" t="inlineStr">
        <is>
          <t>조사 기준일 2026-10-06 · 단위·상태는 각 열 머리글 참조</t>
        </is>
      </c>
    </row>
    <row r="5">
      <c r="A5" s="20" t="inlineStr">
        <is>
          <t>구조 ID</t>
        </is>
      </c>
      <c r="B5" s="20" t="inlineStr">
        <is>
          <t>구조</t>
        </is>
      </c>
      <c r="C5" s="20" t="inlineStr">
        <is>
          <t>등록 주체</t>
        </is>
      </c>
      <c r="D5" s="20" t="inlineStr">
        <is>
          <t>수입자</t>
        </is>
      </c>
      <c r="E5" s="20" t="inlineStr">
        <is>
          <t>판매자</t>
        </is>
      </c>
      <c r="F5" s="20" t="inlineStr">
        <is>
          <t>창고 운영자</t>
        </is>
      </c>
      <c r="G5" s="20" t="inlineStr">
        <is>
          <t>필요 허가</t>
        </is>
      </c>
      <c r="H5" s="20" t="inlineStr">
        <is>
          <t>법적 가능성</t>
        </is>
      </c>
      <c r="I5" s="20" t="inlineStr">
        <is>
          <t>선행 조건</t>
        </is>
      </c>
      <c r="J5" s="20" t="inlineStr">
        <is>
          <t>IP·자료</t>
        </is>
      </c>
      <c r="K5" s="20" t="inlineStr">
        <is>
          <t>책임</t>
        </is>
      </c>
      <c r="L5" s="20" t="inlineStr">
        <is>
          <t>투자·운영비</t>
        </is>
      </c>
      <c r="M5" s="20" t="inlineStr">
        <is>
          <t>기간</t>
        </is>
      </c>
      <c r="N5" s="20" t="inlineStr">
        <is>
          <t>고객 승인</t>
        </is>
      </c>
      <c r="O5" s="20" t="inlineStr">
        <is>
          <t>장점</t>
        </is>
      </c>
      <c r="P5" s="20" t="inlineStr">
        <is>
          <t>단점</t>
        </is>
      </c>
      <c r="Q5" s="20" t="inlineStr">
        <is>
          <t>근거 ID</t>
        </is>
      </c>
    </row>
    <row r="6">
      <c r="A6" s="21" t="inlineStr">
        <is>
          <t>A</t>
        </is>
      </c>
      <c r="B6" s="16" t="inlineStr">
        <is>
          <t>MP 중국법인 활용</t>
        </is>
      </c>
      <c r="C6" s="16" t="inlineStr">
        <is>
          <t>MP(개정안 시) / TC+대리인(현행)</t>
        </is>
      </c>
      <c r="D6" s="21" t="inlineStr">
        <is>
          <t>MP</t>
        </is>
      </c>
      <c r="E6" s="21" t="inlineStr">
        <is>
          <t>MP</t>
        </is>
      </c>
      <c r="F6" s="21" t="inlineStr">
        <is>
          <t>MP 또는 3PL</t>
        </is>
      </c>
      <c r="G6" s="16" t="inlineStr">
        <is>
          <t>MP 명의 경영허가·위험화학품 등록</t>
        </is>
      </c>
      <c r="H6" s="16" t="inlineStr">
        <is>
          <t>가능(MP 허가 보유 시)</t>
        </is>
      </c>
      <c r="I6" s="16" t="inlineStr">
        <is>
          <t>MP 허가·사업범위 확인</t>
        </is>
      </c>
      <c r="J6" s="21" t="inlineStr">
        <is>
          <t>MP에 자료 노출</t>
        </is>
      </c>
      <c r="K6" s="21" t="inlineStr">
        <is>
          <t>MP 1차 책임</t>
        </is>
      </c>
      <c r="L6" s="21" t="inlineStr">
        <is>
          <t>MP 보유 시 최소</t>
        </is>
      </c>
      <c r="M6" s="21" t="inlineStr">
        <is>
          <t>MP 보유 시 최단</t>
        </is>
      </c>
      <c r="N6" s="21" t="inlineStr">
        <is>
          <t>공급자=MP 변경 협의</t>
        </is>
      </c>
      <c r="O6" s="16" t="inlineStr">
        <is>
          <t>기존 법인·인력 활용</t>
        </is>
      </c>
      <c r="P6" s="16" t="inlineStr">
        <is>
          <t>TC 통제권 약함, 등록증이 MP 명의</t>
        </is>
      </c>
      <c r="Q6" s="21" t="inlineStr">
        <is>
          <t>EVD-002</t>
        </is>
      </c>
    </row>
    <row r="7">
      <c r="A7" s="21" t="inlineStr">
        <is>
          <t>B</t>
        </is>
      </c>
      <c r="B7" s="16" t="inlineStr">
        <is>
          <t>TC 법인 + 무저장 경영 + 허가 외부 창고</t>
        </is>
      </c>
      <c r="C7" s="16" t="inlineStr">
        <is>
          <t>TC 법인</t>
        </is>
      </c>
      <c r="D7" s="21" t="inlineStr">
        <is>
          <t>TC 법인</t>
        </is>
      </c>
      <c r="E7" s="21" t="inlineStr">
        <is>
          <t>TC 법인</t>
        </is>
      </c>
      <c r="F7" s="21" t="inlineStr">
        <is>
          <t>허가 3PL</t>
        </is>
      </c>
      <c r="G7" s="16" t="inlineStr">
        <is>
          <t>TC: 무저장 경영허가·위험화학품 등록 / 3PL: 창고 경영허가</t>
        </is>
      </c>
      <c r="H7" s="16" t="inlineStr">
        <is>
          <t>가능(근거 기반, 무석 세칙에 무저장 유형)</t>
        </is>
      </c>
      <c r="I7" s="16" t="inlineStr">
        <is>
          <t>3PL의 품목·물성 수용</t>
        </is>
      </c>
      <c r="J7" s="21" t="inlineStr">
        <is>
          <t>TC 법인 내부 통제</t>
        </is>
      </c>
      <c r="K7" s="21" t="inlineStr">
        <is>
          <t>TC 수입·판매 책임, 보관 책임은 계약 분담</t>
        </is>
      </c>
      <c r="L7" s="21" t="inlineStr">
        <is>
          <t>낮음</t>
        </is>
      </c>
      <c r="M7" s="21" t="inlineStr">
        <is>
          <t>3~6개월(가정)</t>
        </is>
      </c>
      <c r="N7" s="21" t="inlineStr">
        <is>
          <t>공급자 변경 필요</t>
        </is>
      </c>
      <c r="O7" s="16" t="inlineStr">
        <is>
          <t>최소 투자로 등록·수입 주체 확보</t>
        </is>
      </c>
      <c r="P7" s="16" t="inlineStr">
        <is>
          <t>3PL 품목 범위에 종속</t>
        </is>
      </c>
      <c r="Q7" s="21" t="inlineStr">
        <is>
          <t>EVD-014, EVD-015</t>
        </is>
      </c>
    </row>
    <row r="8">
      <c r="A8" s="21" t="inlineStr">
        <is>
          <t>C</t>
        </is>
      </c>
      <c r="B8" s="16" t="inlineStr">
        <is>
          <t>TC 법인 + 임차 전용 창고</t>
        </is>
      </c>
      <c r="C8" s="16" t="inlineStr">
        <is>
          <t>TC 법인</t>
        </is>
      </c>
      <c r="D8" s="21" t="inlineStr">
        <is>
          <t>TC 법인</t>
        </is>
      </c>
      <c r="E8" s="21" t="inlineStr">
        <is>
          <t>TC 법인</t>
        </is>
      </c>
      <c r="F8" s="21" t="inlineStr">
        <is>
          <t>TC(임차)</t>
        </is>
      </c>
      <c r="G8" s="16" t="inlineStr">
        <is>
          <t>임차저장 경영허가·안전협의</t>
        </is>
      </c>
      <c r="H8" s="16" t="inlineStr">
        <is>
          <t>가능성 있음(무석 세칙에 임차저장 유형)</t>
        </is>
      </c>
      <c r="I8" s="16" t="inlineStr">
        <is>
          <t>화공원구 내 허가 창고 임차</t>
        </is>
      </c>
      <c r="J8" s="21" t="inlineStr">
        <is>
          <t>TC 통제 강화</t>
        </is>
      </c>
      <c r="K8" s="21" t="inlineStr">
        <is>
          <t>TC 저장 책임 증가</t>
        </is>
      </c>
      <c r="L8" s="21" t="inlineStr">
        <is>
          <t>중간</t>
        </is>
      </c>
      <c r="M8" s="21" t="inlineStr">
        <is>
          <t>6~9개월(가정)</t>
        </is>
      </c>
      <c r="N8" s="21" t="inlineStr">
        <is>
          <t>동일</t>
        </is>
      </c>
      <c r="O8" s="16" t="inlineStr">
        <is>
          <t>재고·품질 직접 관리</t>
        </is>
      </c>
      <c r="P8" s="16" t="inlineStr">
        <is>
          <t>인력·안전 요건 증가</t>
        </is>
      </c>
      <c r="Q8" s="21" t="inlineStr">
        <is>
          <t>EVD-013, EVD-014</t>
        </is>
      </c>
    </row>
    <row r="9">
      <c r="A9" s="21" t="inlineStr">
        <is>
          <t>D</t>
        </is>
      </c>
      <c r="B9" s="16" t="inlineStr">
        <is>
          <t>TC 법인 + 자체 창고·시설</t>
        </is>
      </c>
      <c r="C9" s="16" t="inlineStr">
        <is>
          <t>TC 법인</t>
        </is>
      </c>
      <c r="D9" s="21" t="inlineStr">
        <is>
          <t>TC 법인</t>
        </is>
      </c>
      <c r="E9" s="21" t="inlineStr">
        <is>
          <t>TC 법인</t>
        </is>
      </c>
      <c r="F9" s="21" t="inlineStr">
        <is>
          <t>TC</t>
        </is>
      </c>
      <c r="G9" s="16" t="inlineStr">
        <is>
          <t>저장 경영허가·건설 안전·환경·소방</t>
        </is>
      </c>
      <c r="H9" s="16" t="inlineStr">
        <is>
          <t>가능(원구 입주 승인 전제)</t>
        </is>
      </c>
      <c r="I9" s="16" t="inlineStr">
        <is>
          <t>원구 입주·토지·건설</t>
        </is>
      </c>
      <c r="J9" s="21" t="inlineStr">
        <is>
          <t>최대 통제</t>
        </is>
      </c>
      <c r="K9" s="21" t="inlineStr">
        <is>
          <t>전 책임</t>
        </is>
      </c>
      <c r="L9" s="21" t="inlineStr">
        <is>
          <t>높음</t>
        </is>
      </c>
      <c r="M9" s="21" t="inlineStr">
        <is>
          <t>12~24개월(가정)</t>
        </is>
      </c>
      <c r="N9" s="21" t="inlineStr">
        <is>
          <t>동일</t>
        </is>
      </c>
      <c r="O9" s="16" t="inlineStr">
        <is>
          <t>장기 확장(충진 등)</t>
        </is>
      </c>
      <c r="P9" s="16" t="inlineStr">
        <is>
          <t>초기 투자·기간 큼</t>
        </is>
      </c>
      <c r="Q9" s="21" t="inlineStr">
        <is>
          <t>EVD-013</t>
        </is>
      </c>
    </row>
    <row r="10">
      <c r="A10" s="21" t="inlineStr">
        <is>
          <t>E</t>
        </is>
      </c>
      <c r="B10" s="16" t="inlineStr">
        <is>
          <t>관리 거점과 창고 거점 분리</t>
        </is>
      </c>
      <c r="C10" s="16" t="inlineStr">
        <is>
          <t>TC 법인</t>
        </is>
      </c>
      <c r="D10" s="21" t="inlineStr">
        <is>
          <t>TC 법인</t>
        </is>
      </c>
      <c r="E10" s="21" t="inlineStr">
        <is>
          <t>TC 법인</t>
        </is>
      </c>
      <c r="F10" s="21" t="inlineStr">
        <is>
          <t>타 도시·타 성 3PL</t>
        </is>
      </c>
      <c r="G10" s="16" t="inlineStr">
        <is>
          <t>법인 소재지 경영허가 + 창고 소재지 운영사 허가</t>
        </is>
      </c>
      <c r="H10" s="16" t="inlineStr">
        <is>
          <t>B안의 변형으로 가능성 높음(기관 확인)</t>
        </is>
      </c>
      <c r="I10" s="16" t="inlineStr">
        <is>
          <t>허가 관할·운송 경로</t>
        </is>
      </c>
      <c r="J10" s="21" t="inlineStr">
        <is>
          <t>B와 동일</t>
        </is>
      </c>
      <c r="K10" s="21" t="inlineStr">
        <is>
          <t>관할 분리 관리</t>
        </is>
      </c>
      <c r="L10" s="21" t="inlineStr">
        <is>
          <t>낮음~중간</t>
        </is>
      </c>
      <c r="M10" s="21" t="inlineStr">
        <is>
          <t>B와 유사</t>
        </is>
      </c>
      <c r="N10" s="21" t="inlineStr">
        <is>
          <t>동일</t>
        </is>
      </c>
      <c r="O10" s="16" t="inlineStr">
        <is>
          <t>도시 선택 자유도</t>
        </is>
      </c>
      <c r="P10" s="16" t="inlineStr">
        <is>
          <t>관할 확인 필요</t>
        </is>
      </c>
      <c r="Q10" s="28" t="inlineStr">
        <is>
          <t>기관 확인 필요</t>
        </is>
      </c>
    </row>
    <row r="11">
      <c r="A11" s="21" t="inlineStr">
        <is>
          <t>F</t>
        </is>
      </c>
      <c r="B11" s="16" t="inlineStr">
        <is>
          <t>충진·소분 등 제조 포함</t>
        </is>
      </c>
      <c r="C11" s="16" t="inlineStr">
        <is>
          <t>TC 법인</t>
        </is>
      </c>
      <c r="D11" s="21" t="inlineStr">
        <is>
          <t>TC 법인</t>
        </is>
      </c>
      <c r="E11" s="21" t="inlineStr">
        <is>
          <t>TC 법인</t>
        </is>
      </c>
      <c r="F11" s="21" t="inlineStr">
        <is>
          <t>TC</t>
        </is>
      </c>
      <c r="G11" s="16" t="inlineStr">
        <is>
          <t>안전생산허가 또는 분장·충진 경영 + 건설·환경</t>
        </is>
      </c>
      <c r="H11" s="16" t="inlineStr">
        <is>
          <t>현 단계 불필요</t>
        </is>
      </c>
      <c r="I11" s="16" t="inlineStr">
        <is>
          <t>제조 필요성 확정</t>
        </is>
      </c>
      <c r="J11" s="21" t="inlineStr">
        <is>
          <t>-</t>
        </is>
      </c>
      <c r="K11" s="21" t="inlineStr">
        <is>
          <t>생산 책임</t>
        </is>
      </c>
      <c r="L11" s="21" t="inlineStr">
        <is>
          <t>매우 높음</t>
        </is>
      </c>
      <c r="M11" s="21" t="inlineStr">
        <is>
          <t>24개월+(가정)</t>
        </is>
      </c>
      <c r="N11" s="21" t="inlineStr">
        <is>
          <t>재승인</t>
        </is>
      </c>
      <c r="O11" s="16" t="inlineStr">
        <is>
          <t>장기 원가·대응력</t>
        </is>
      </c>
      <c r="P11" s="16" t="inlineStr">
        <is>
          <t>지금은 과잉 투자</t>
        </is>
      </c>
      <c r="Q11" s="21" t="inlineStr">
        <is>
          <t>EVD-011, EVD-033</t>
        </is>
      </c>
    </row>
    <row r="12">
      <c r="A12" s="21" t="inlineStr">
        <is>
          <t>G</t>
        </is>
      </c>
      <c r="B12" s="16" t="inlineStr">
        <is>
          <t>법인 설립 전 대리인·적격 수입자 활용</t>
        </is>
      </c>
      <c r="C12" s="16" t="inlineStr">
        <is>
          <t>TC 본사+대리인(현행) / 수입자(개정안)</t>
        </is>
      </c>
      <c r="D12" s="21" t="inlineStr">
        <is>
          <t>적격 수입자(고객·유통사)</t>
        </is>
      </c>
      <c r="E12" s="21" t="inlineStr">
        <is>
          <t>적격 수입자</t>
        </is>
      </c>
      <c r="F12" s="21" t="inlineStr">
        <is>
          <t>수입자 창고</t>
        </is>
      </c>
      <c r="G12" s="16" t="inlineStr">
        <is>
          <t>수입자 보유 허가</t>
        </is>
      </c>
      <c r="H12" s="16" t="inlineStr">
        <is>
          <t>현행 규정상 가능, 개정 시 수입자 명의</t>
        </is>
      </c>
      <c r="I12" s="16" t="inlineStr">
        <is>
          <t>대리·수입 계약</t>
        </is>
      </c>
      <c r="J12" s="21" t="inlineStr">
        <is>
          <t>대리인·수입자 노출</t>
        </is>
      </c>
      <c r="K12" s="21" t="inlineStr">
        <is>
          <t>계약 분담</t>
        </is>
      </c>
      <c r="L12" s="21" t="inlineStr">
        <is>
          <t>낮음</t>
        </is>
      </c>
      <c r="M12" s="21" t="inlineStr">
        <is>
          <t>가장 빠름</t>
        </is>
      </c>
      <c r="N12" s="21" t="inlineStr">
        <is>
          <t>기존 구조 유지 가능</t>
        </is>
      </c>
      <c r="O12" s="16" t="inlineStr">
        <is>
          <t>연말 대응 수단</t>
        </is>
      </c>
      <c r="P12" s="16" t="inlineStr">
        <is>
          <t>등록증 명의·이관 문제</t>
        </is>
      </c>
      <c r="Q12" s="21" t="inlineStr">
        <is>
          <t>EVD-001, EVD-002, EVD-005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tabColor rgb="00FF7900"/>
    <outlinePr summaryBelow="1" summaryRight="1"/>
    <pageSetUpPr/>
  </sheetPr>
  <dimension ref="A1:I1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8" customWidth="1" min="2" max="2"/>
    <col width="20" customWidth="1" min="3" max="3"/>
    <col width="20" customWidth="1" min="4" max="4"/>
    <col width="20" customWidth="1" min="5" max="5"/>
    <col width="22" customWidth="1" min="6" max="6"/>
    <col width="20" customWidth="1" min="7" max="7"/>
    <col width="14" customWidth="1" min="8" max="8"/>
    <col width="28" customWidth="1" min="9" max="9"/>
  </cols>
  <sheetData>
    <row r="1">
      <c r="A1" s="1" t="inlineStr">
        <is>
          <t>11_MPComparison | MP 활용 vs TC 독자 법인</t>
        </is>
      </c>
    </row>
    <row r="2">
      <c r="A2" s="2" t="inlineStr">
        <is>
          <t>MP 핵심 정보 미제공 → 시나리오 1(MP 허가 보유)·2(MP 신규 취득)로 비교</t>
        </is>
      </c>
    </row>
    <row r="3">
      <c r="A3" s="3" t="inlineStr">
        <is>
          <t>조사 기준일 2026-10-06 · 단위·상태는 각 열 머리글 참조</t>
        </is>
      </c>
    </row>
    <row r="5">
      <c r="A5" s="20" t="inlineStr">
        <is>
          <t>비교 항목</t>
        </is>
      </c>
      <c r="B5" s="20" t="inlineStr">
        <is>
          <t>MP 현황</t>
        </is>
      </c>
      <c r="C5" s="20" t="inlineStr">
        <is>
          <t>TC 신규 법인 조건</t>
        </is>
      </c>
      <c r="D5" s="20" t="inlineStr">
        <is>
          <t>시나리오1: MP 허가 보유</t>
        </is>
      </c>
      <c r="E5" s="20" t="inlineStr">
        <is>
          <t>시나리오2: MP 신규 취득</t>
        </is>
      </c>
      <c r="F5" s="20" t="inlineStr">
        <is>
          <t>수수료·책임</t>
        </is>
      </c>
      <c r="G5" s="20" t="inlineStr">
        <is>
          <t>비용·기간 차이</t>
        </is>
      </c>
      <c r="H5" s="20" t="inlineStr">
        <is>
          <t>데이터 상태</t>
        </is>
      </c>
      <c r="I5" s="20" t="inlineStr">
        <is>
          <t>내부 확인 질문</t>
        </is>
      </c>
    </row>
    <row r="6">
      <c r="A6" s="16" t="inlineStr">
        <is>
          <t>법인 실체</t>
        </is>
      </c>
      <c r="B6" s="21" t="inlineStr">
        <is>
          <t>정식 명칭·소재지 미제공</t>
        </is>
      </c>
      <c r="C6" s="21" t="inlineStr">
        <is>
          <t>신규 설립(등기 수주)</t>
        </is>
      </c>
      <c r="D6" s="16" t="inlineStr">
        <is>
          <t>즉시 활용</t>
        </is>
      </c>
      <c r="E6" s="16" t="inlineStr">
        <is>
          <t>즉시 활용(법인은 존재)</t>
        </is>
      </c>
      <c r="F6" s="16" t="inlineStr">
        <is>
          <t>-</t>
        </is>
      </c>
      <c r="G6" s="21" t="inlineStr">
        <is>
          <t>MP 우위</t>
        </is>
      </c>
      <c r="H6" s="26" t="inlineStr">
        <is>
          <t>정보 없음</t>
        </is>
      </c>
      <c r="I6" s="16" t="inlineStr">
        <is>
          <t>MP 정식 법인명·주소·지분</t>
        </is>
      </c>
    </row>
    <row r="7">
      <c r="A7" s="16" t="inlineStr">
        <is>
          <t>사업범위</t>
        </is>
      </c>
      <c r="B7" s="21" t="inlineStr">
        <is>
          <t>미제공</t>
        </is>
      </c>
      <c r="C7" s="21" t="inlineStr">
        <is>
          <t>설립 시 화학품 도매 포함</t>
        </is>
      </c>
      <c r="D7" s="16" t="inlineStr">
        <is>
          <t>범위 내면 즉시</t>
        </is>
      </c>
      <c r="E7" s="16" t="inlineStr">
        <is>
          <t>변경 등기 필요</t>
        </is>
      </c>
      <c r="F7" s="16" t="inlineStr">
        <is>
          <t>-</t>
        </is>
      </c>
      <c r="G7" s="21" t="inlineStr">
        <is>
          <t>유사</t>
        </is>
      </c>
      <c r="H7" s="26" t="inlineStr">
        <is>
          <t>정보 없음</t>
        </is>
      </c>
      <c r="I7" s="16" t="inlineStr">
        <is>
          <t>营业执照 사업범위</t>
        </is>
      </c>
    </row>
    <row r="8">
      <c r="A8" s="16" t="inlineStr">
        <is>
          <t>위험화학품 경영허가</t>
        </is>
      </c>
      <c r="B8" s="21" t="inlineStr">
        <is>
          <t>미보유 언급(미확인)</t>
        </is>
      </c>
      <c r="C8" s="21" t="inlineStr">
        <is>
          <t>신규 취득</t>
        </is>
      </c>
      <c r="D8" s="16" t="inlineStr">
        <is>
          <t>즉시 사용</t>
        </is>
      </c>
      <c r="E8" s="16" t="inlineStr">
        <is>
          <t>신규 취득(TC와 동일)</t>
        </is>
      </c>
      <c r="F8" s="16" t="inlineStr">
        <is>
          <t>-</t>
        </is>
      </c>
      <c r="G8" s="21" t="inlineStr">
        <is>
          <t>S1: MP 우위 / S2: 차이 없음</t>
        </is>
      </c>
      <c r="H8" s="33" t="inlineStr">
        <is>
          <t>내부 제공</t>
        </is>
      </c>
      <c r="I8" s="16" t="inlineStr">
        <is>
          <t>허가증 사본·품목·저장 방식</t>
        </is>
      </c>
    </row>
    <row r="9">
      <c r="A9" s="16" t="inlineStr">
        <is>
          <t>수입기업 위험화학품 등록</t>
        </is>
      </c>
      <c r="B9" s="21" t="inlineStr">
        <is>
          <t>미제공</t>
        </is>
      </c>
      <c r="C9" s="21" t="inlineStr">
        <is>
          <t>신규</t>
        </is>
      </c>
      <c r="D9" s="16" t="inlineStr">
        <is>
          <t>품목 추가</t>
        </is>
      </c>
      <c r="E9" s="16" t="inlineStr">
        <is>
          <t>신규</t>
        </is>
      </c>
      <c r="F9" s="16" t="inlineStr">
        <is>
          <t>-</t>
        </is>
      </c>
      <c r="G9" s="21" t="inlineStr">
        <is>
          <t>S2: 차이 없음</t>
        </is>
      </c>
      <c r="H9" s="26" t="inlineStr">
        <is>
          <t>정보 없음</t>
        </is>
      </c>
      <c r="I9" s="16" t="inlineStr">
        <is>
          <t>등록 실적</t>
        </is>
      </c>
    </row>
    <row r="10">
      <c r="A10" s="16" t="inlineStr">
        <is>
          <t>신규화학물질 등록 주체</t>
        </is>
      </c>
      <c r="B10" s="21" t="inlineStr">
        <is>
          <t>미제공</t>
        </is>
      </c>
      <c r="C10" s="21" t="inlineStr">
        <is>
          <t>TC 법인 명의</t>
        </is>
      </c>
      <c r="D10" s="16" t="inlineStr">
        <is>
          <t>MP 명의</t>
        </is>
      </c>
      <c r="E10" s="16" t="inlineStr">
        <is>
          <t>MP 명의</t>
        </is>
      </c>
      <c r="F10" s="16" t="inlineStr">
        <is>
          <t>MP에 자료·권리 귀속 위험</t>
        </is>
      </c>
      <c r="G10" s="21" t="inlineStr">
        <is>
          <t>TC 우위(통제권)</t>
        </is>
      </c>
      <c r="H10" s="26" t="inlineStr">
        <is>
          <t>정보 없음</t>
        </is>
      </c>
      <c r="I10" s="16" t="inlineStr">
        <is>
          <t>등록 수행 의향·자료 접근 범위</t>
        </is>
      </c>
    </row>
    <row r="11">
      <c r="A11" s="16" t="inlineStr">
        <is>
          <t>창고</t>
        </is>
      </c>
      <c r="B11" s="21" t="inlineStr">
        <is>
          <t>미제공</t>
        </is>
      </c>
      <c r="C11" s="21" t="inlineStr">
        <is>
          <t>3PL 계약</t>
        </is>
      </c>
      <c r="D11" s="16" t="inlineStr">
        <is>
          <t>MP 창고 활용 가능</t>
        </is>
      </c>
      <c r="E11" s="16" t="inlineStr">
        <is>
          <t>3PL 계약(동일)</t>
        </is>
      </c>
      <c r="F11" s="16" t="inlineStr">
        <is>
          <t>보관 책임 계약</t>
        </is>
      </c>
      <c r="G11" s="21" t="inlineStr">
        <is>
          <t>S1: MP 우위</t>
        </is>
      </c>
      <c r="H11" s="26" t="inlineStr">
        <is>
          <t>정보 없음</t>
        </is>
      </c>
      <c r="I11" s="16" t="inlineStr">
        <is>
          <t>창고 보유·품목</t>
        </is>
      </c>
    </row>
    <row r="12">
      <c r="A12" s="16" t="inlineStr">
        <is>
          <t>인력</t>
        </is>
      </c>
      <c r="B12" s="21" t="inlineStr">
        <is>
          <t>미제공</t>
        </is>
      </c>
      <c r="C12" s="21" t="inlineStr">
        <is>
          <t>4~5명 채용·파견</t>
        </is>
      </c>
      <c r="D12" s="16" t="inlineStr">
        <is>
          <t>겸직 가능</t>
        </is>
      </c>
      <c r="E12" s="16" t="inlineStr">
        <is>
          <t>추가 채용</t>
        </is>
      </c>
      <c r="F12" s="16" t="inlineStr">
        <is>
          <t>인건비 배분</t>
        </is>
      </c>
      <c r="G12" s="21" t="inlineStr">
        <is>
          <t>S1: MP 우위</t>
        </is>
      </c>
      <c r="H12" s="26" t="inlineStr">
        <is>
          <t>정보 없음</t>
        </is>
      </c>
      <c r="I12" s="16" t="inlineStr">
        <is>
          <t>TC 업무 담당 가능 인원</t>
        </is>
      </c>
    </row>
    <row r="13">
      <c r="A13" s="16" t="inlineStr">
        <is>
          <t>의사결정·우선순위</t>
        </is>
      </c>
      <c r="B13" s="21" t="inlineStr">
        <is>
          <t>-</t>
        </is>
      </c>
      <c r="C13" s="21" t="inlineStr">
        <is>
          <t>TC 직접</t>
        </is>
      </c>
      <c r="D13" s="16" t="inlineStr">
        <is>
          <t>MP 내부 우선순위에 종속</t>
        </is>
      </c>
      <c r="E13" s="16" t="inlineStr">
        <is>
          <t>동일</t>
        </is>
      </c>
      <c r="F13" s="16" t="inlineStr">
        <is>
          <t>서비스 수준 계약 필요</t>
        </is>
      </c>
      <c r="G13" s="21" t="inlineStr">
        <is>
          <t>TC 우위</t>
        </is>
      </c>
      <c r="H13" s="34" t="inlineStr">
        <is>
          <t>분석 가정</t>
        </is>
      </c>
      <c r="I13" s="16" t="inlineStr">
        <is>
          <t>SLA 수용 의향</t>
        </is>
      </c>
    </row>
    <row r="14">
      <c r="A14" s="16" t="inlineStr">
        <is>
          <t>이전가격·관계자 거래</t>
        </is>
      </c>
      <c r="B14" s="21" t="inlineStr">
        <is>
          <t>-</t>
        </is>
      </c>
      <c r="C14" s="21" t="inlineStr">
        <is>
          <t>TC 본사–TC 법인</t>
        </is>
      </c>
      <c r="D14" s="16" t="inlineStr">
        <is>
          <t>TC–MP 서비스 대가·이전가격</t>
        </is>
      </c>
      <c r="E14" s="16" t="inlineStr">
        <is>
          <t>동일</t>
        </is>
      </c>
      <c r="F14" s="16" t="inlineStr">
        <is>
          <t>세무 위험</t>
        </is>
      </c>
      <c r="G14" s="21" t="inlineStr">
        <is>
          <t>TC 단순</t>
        </is>
      </c>
      <c r="H14" s="34" t="inlineStr">
        <is>
          <t>분석 가정</t>
        </is>
      </c>
      <c r="I14" s="16" t="inlineStr">
        <is>
          <t>그룹 이전가격 정책</t>
        </is>
      </c>
    </row>
    <row r="15">
      <c r="A15" s="16" t="inlineStr">
        <is>
          <t>계약 종료 시</t>
        </is>
      </c>
      <c r="B15" s="21" t="inlineStr">
        <is>
          <t>-</t>
        </is>
      </c>
      <c r="C15" s="21" t="inlineStr">
        <is>
          <t>해당 없음</t>
        </is>
      </c>
      <c r="D15" s="16" t="inlineStr">
        <is>
          <t>등록증·재고·고객 이관 문제</t>
        </is>
      </c>
      <c r="E15" s="16" t="inlineStr">
        <is>
          <t>동일</t>
        </is>
      </c>
      <c r="F15" s="16" t="inlineStr">
        <is>
          <t>등록증 변경=재신청 가능성</t>
        </is>
      </c>
      <c r="G15" s="21" t="inlineStr">
        <is>
          <t>TC 우위</t>
        </is>
      </c>
      <c r="H15" s="24" t="inlineStr">
        <is>
          <t>전문가 자료</t>
        </is>
      </c>
      <c r="I15" s="16" t="inlineStr">
        <is>
          <t>-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tabColor rgb="0070AD47"/>
    <outlinePr summaryBelow="1" summaryRight="1"/>
    <pageSetUpPr/>
  </sheetPr>
  <dimension ref="A1:I38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8" customWidth="1" min="3" max="3"/>
    <col width="8" customWidth="1" min="4" max="4"/>
    <col width="12" customWidth="1" min="5" max="5"/>
    <col width="14" customWidth="1" min="6" max="6"/>
    <col width="12" customWidth="1" min="7" max="7"/>
    <col width="14" customWidth="1" min="8" max="8"/>
    <col width="16" customWidth="1" min="9" max="9"/>
  </cols>
  <sheetData>
    <row r="1">
      <c r="A1" s="1" t="inlineStr">
        <is>
          <t>12_LogisticsStaff | 거리(직선)·인력</t>
        </is>
      </c>
    </row>
    <row r="2">
      <c r="A2" s="2" t="inlineStr">
        <is>
          <t>직선거리 = 좌표(도시·구 중심, 대략) 기준 수식. 도로거리·운송 리드타임은 운송사 확인 필요</t>
        </is>
      </c>
    </row>
    <row r="3">
      <c r="A3" s="3" t="inlineStr">
        <is>
          <t>조사 기준일 2026-10-06 · 단위·상태는 각 열 머리글 참조</t>
        </is>
      </c>
    </row>
    <row r="5">
      <c r="A5" s="20" t="inlineStr">
        <is>
          <t>도시 ID</t>
        </is>
      </c>
      <c r="B5" s="20" t="inlineStr">
        <is>
          <t>도시</t>
        </is>
      </c>
      <c r="C5" s="20" t="inlineStr">
        <is>
          <t>위도</t>
        </is>
      </c>
      <c r="D5" s="20" t="inlineStr">
        <is>
          <t>경도</t>
        </is>
      </c>
      <c r="E5" s="20" t="inlineStr">
        <is>
          <t>직선거리 CXMT(km)</t>
        </is>
      </c>
      <c r="F5" s="20" t="inlineStr">
        <is>
          <t>직선거리 SK하이닉스 우시(km)</t>
        </is>
      </c>
      <c r="G5" s="20" t="inlineStr">
        <is>
          <t>직선거리 YMTC(km)</t>
        </is>
      </c>
      <c r="H5" s="20" t="inlineStr">
        <is>
          <t>도로거리·시간</t>
        </is>
      </c>
      <c r="I5" s="20" t="inlineStr">
        <is>
          <t>위험물 운송 리드타임</t>
        </is>
      </c>
    </row>
    <row r="6">
      <c r="A6" s="21" t="inlineStr">
        <is>
          <t>CITY-001</t>
        </is>
      </c>
      <c r="B6" s="21" t="inlineStr">
        <is>
          <t>无锡(무석) 新吴区(신오구)</t>
        </is>
      </c>
      <c r="C6" s="21">
        <f>INDEX('08_CityComparison'!$F$13:$F$28,MATCH(A6,'08_CityComparison'!$A$13:$A$28,0))</f>
        <v>31.55</v>
      </c>
      <c r="D6" s="21">
        <f>INDEX('08_CityComparison'!$G$13:$G$28,MATCH(A6,'08_CityComparison'!$A$13:$A$28,0))</f>
        <v>120.37</v>
      </c>
      <c r="E6" s="21">
        <f>ROUND(6371*ACOS(MIN(1,SIN(RADIANS(C6))*SIN(RADIANS(31.75))+COS(RADIANS(C6))*COS(RADIANS(31.75))*COS(RADIANS(117.25-D6)))),0)</f>
        <v>296</v>
      </c>
      <c r="F6" s="21">
        <f>ROUND(6371*ACOS(MIN(1,SIN(RADIANS(C6))*SIN(RADIANS(31.55))+COS(RADIANS(C6))*COS(RADIANS(31.55))*COS(RADIANS(120.4-D6)))),0)</f>
        <v>3</v>
      </c>
      <c r="G6" s="21">
        <f>ROUND(6371*ACOS(MIN(1,SIN(RADIANS(C6))*SIN(RADIANS(30.45))+COS(RADIANS(C6))*COS(RADIANS(30.45))*COS(RADIANS(114.55-D6)))),0)</f>
        <v>568</v>
      </c>
      <c r="H6" s="21" t="inlineStr">
        <is>
          <t>확인 필요</t>
        </is>
      </c>
      <c r="I6" s="21" t="inlineStr">
        <is>
          <t>확인 필요</t>
        </is>
      </c>
    </row>
    <row r="7">
      <c r="A7" s="21" t="inlineStr">
        <is>
          <t>CITY-002</t>
        </is>
      </c>
      <c r="B7" s="21" t="inlineStr">
        <is>
          <t>苏州(쑤저우) 工业园区(SIP) + 张家港(장자강, 현급시)</t>
        </is>
      </c>
      <c r="C7" s="21">
        <f>INDEX('08_CityComparison'!$F$13:$F$28,MATCH(A7,'08_CityComparison'!$A$13:$A$28,0))</f>
        <v>31.32</v>
      </c>
      <c r="D7" s="21">
        <f>INDEX('08_CityComparison'!$G$13:$G$28,MATCH(A7,'08_CityComparison'!$A$13:$A$28,0))</f>
        <v>120.72</v>
      </c>
      <c r="E7" s="21">
        <f>ROUND(6371*ACOS(MIN(1,SIN(RADIANS(C7))*SIN(RADIANS(31.75))+COS(RADIANS(C7))*COS(RADIANS(31.75))*COS(RADIANS(117.25-D7)))),0)</f>
        <v>332</v>
      </c>
      <c r="F7" s="21">
        <f>ROUND(6371*ACOS(MIN(1,SIN(RADIANS(C7))*SIN(RADIANS(31.55))+COS(RADIANS(C7))*COS(RADIANS(31.55))*COS(RADIANS(120.4-D7)))),0)</f>
        <v>40</v>
      </c>
      <c r="G7" s="21">
        <f>ROUND(6371*ACOS(MIN(1,SIN(RADIANS(C7))*SIN(RADIANS(30.45))+COS(RADIANS(C7))*COS(RADIANS(30.45))*COS(RADIANS(114.55-D7)))),0)</f>
        <v>597</v>
      </c>
      <c r="H7" s="21" t="inlineStr">
        <is>
          <t>확인 필요</t>
        </is>
      </c>
      <c r="I7" s="21" t="inlineStr">
        <is>
          <t>확인 필요</t>
        </is>
      </c>
    </row>
    <row r="8">
      <c r="A8" s="21" t="inlineStr">
        <is>
          <t>CITY-003</t>
        </is>
      </c>
      <c r="B8" s="21" t="inlineStr">
        <is>
          <t>常州(창저우) 新北区 滨江경개구</t>
        </is>
      </c>
      <c r="C8" s="21">
        <f>INDEX('08_CityComparison'!$F$13:$F$28,MATCH(A8,'08_CityComparison'!$A$13:$A$28,0))</f>
        <v>31.98</v>
      </c>
      <c r="D8" s="21">
        <f>INDEX('08_CityComparison'!$G$13:$G$28,MATCH(A8,'08_CityComparison'!$A$13:$A$28,0))</f>
        <v>119.9</v>
      </c>
      <c r="E8" s="21">
        <f>ROUND(6371*ACOS(MIN(1,SIN(RADIANS(C8))*SIN(RADIANS(31.75))+COS(RADIANS(C8))*COS(RADIANS(31.75))*COS(RADIANS(117.25-D8)))),0)</f>
        <v>252</v>
      </c>
      <c r="F8" s="21">
        <f>ROUND(6371*ACOS(MIN(1,SIN(RADIANS(C8))*SIN(RADIANS(31.55))+COS(RADIANS(C8))*COS(RADIANS(31.55))*COS(RADIANS(120.4-D8)))),0)</f>
        <v>67</v>
      </c>
      <c r="G8" s="21">
        <f>ROUND(6371*ACOS(MIN(1,SIN(RADIANS(C8))*SIN(RADIANS(30.45))+COS(RADIANS(C8))*COS(RADIANS(30.45))*COS(RADIANS(114.55-D8)))),0)</f>
        <v>536</v>
      </c>
      <c r="H8" s="21" t="inlineStr">
        <is>
          <t>확인 필요</t>
        </is>
      </c>
      <c r="I8" s="21" t="inlineStr">
        <is>
          <t>확인 필요</t>
        </is>
      </c>
    </row>
    <row r="9">
      <c r="A9" s="21" t="inlineStr">
        <is>
          <t>CITY-004</t>
        </is>
      </c>
      <c r="B9" s="21" t="inlineStr">
        <is>
          <t>镇江(전장) 镇江新区</t>
        </is>
      </c>
      <c r="C9" s="21">
        <f>INDEX('08_CityComparison'!$F$13:$F$28,MATCH(A9,'08_CityComparison'!$A$13:$A$28,0))</f>
        <v>32.18</v>
      </c>
      <c r="D9" s="21">
        <f>INDEX('08_CityComparison'!$G$13:$G$28,MATCH(A9,'08_CityComparison'!$A$13:$A$28,0))</f>
        <v>119.68</v>
      </c>
      <c r="E9" s="21">
        <f>ROUND(6371*ACOS(MIN(1,SIN(RADIANS(C9))*SIN(RADIANS(31.75))+COS(RADIANS(C9))*COS(RADIANS(31.75))*COS(RADIANS(117.25-D9)))),0)</f>
        <v>234</v>
      </c>
      <c r="F9" s="21">
        <f>ROUND(6371*ACOS(MIN(1,SIN(RADIANS(C9))*SIN(RADIANS(31.55))+COS(RADIANS(C9))*COS(RADIANS(31.55))*COS(RADIANS(120.4-D9)))),0)</f>
        <v>98</v>
      </c>
      <c r="G9" s="21">
        <f>ROUND(6371*ACOS(MIN(1,SIN(RADIANS(C9))*SIN(RADIANS(30.45))+COS(RADIANS(C9))*COS(RADIANS(30.45))*COS(RADIANS(114.55-D9)))),0)</f>
        <v>524</v>
      </c>
      <c r="H9" s="21" t="inlineStr">
        <is>
          <t>확인 필요</t>
        </is>
      </c>
      <c r="I9" s="21" t="inlineStr">
        <is>
          <t>확인 필요</t>
        </is>
      </c>
    </row>
    <row r="10">
      <c r="A10" s="21" t="inlineStr">
        <is>
          <t>CITY-005</t>
        </is>
      </c>
      <c r="B10" s="21" t="inlineStr">
        <is>
          <t>南通(난퉁) 경개구·如东·如皋</t>
        </is>
      </c>
      <c r="C10" s="21">
        <f>INDEX('08_CityComparison'!$F$13:$F$28,MATCH(A10,'08_CityComparison'!$A$13:$A$28,0))</f>
        <v>31.95</v>
      </c>
      <c r="D10" s="21">
        <f>INDEX('08_CityComparison'!$G$13:$G$28,MATCH(A10,'08_CityComparison'!$A$13:$A$28,0))</f>
        <v>120.95</v>
      </c>
      <c r="E10" s="21">
        <f>ROUND(6371*ACOS(MIN(1,SIN(RADIANS(C10))*SIN(RADIANS(31.75))+COS(RADIANS(C10))*COS(RADIANS(31.75))*COS(RADIANS(117.25-D10)))),0)</f>
        <v>350</v>
      </c>
      <c r="F10" s="21">
        <f>ROUND(6371*ACOS(MIN(1,SIN(RADIANS(C10))*SIN(RADIANS(31.55))+COS(RADIANS(C10))*COS(RADIANS(31.55))*COS(RADIANS(120.4-D10)))),0)</f>
        <v>68</v>
      </c>
      <c r="G10" s="21">
        <f>ROUND(6371*ACOS(MIN(1,SIN(RADIANS(C10))*SIN(RADIANS(30.45))+COS(RADIANS(C10))*COS(RADIANS(30.45))*COS(RADIANS(114.55-D10)))),0)</f>
        <v>631</v>
      </c>
      <c r="H10" s="21" t="inlineStr">
        <is>
          <t>확인 필요</t>
        </is>
      </c>
      <c r="I10" s="21" t="inlineStr">
        <is>
          <t>확인 필요</t>
        </is>
      </c>
    </row>
    <row r="11">
      <c r="A11" s="21" t="inlineStr">
        <is>
          <t>CITY-006</t>
        </is>
      </c>
      <c r="B11" s="21" t="inlineStr">
        <is>
          <t>南京(난징) 江北新区 (江北新材料科技园)</t>
        </is>
      </c>
      <c r="C11" s="21">
        <f>INDEX('08_CityComparison'!$F$13:$F$28,MATCH(A11,'08_CityComparison'!$A$13:$A$28,0))</f>
        <v>32.26</v>
      </c>
      <c r="D11" s="21">
        <f>INDEX('08_CityComparison'!$G$13:$G$28,MATCH(A11,'08_CityComparison'!$A$13:$A$28,0))</f>
        <v>118.85</v>
      </c>
      <c r="E11" s="21">
        <f>ROUND(6371*ACOS(MIN(1,SIN(RADIANS(C11))*SIN(RADIANS(31.75))+COS(RADIANS(C11))*COS(RADIANS(31.75))*COS(RADIANS(117.25-D11)))),0)</f>
        <v>161</v>
      </c>
      <c r="F11" s="21">
        <f>ROUND(6371*ACOS(MIN(1,SIN(RADIANS(C11))*SIN(RADIANS(31.55))+COS(RADIANS(C11))*COS(RADIANS(31.55))*COS(RADIANS(120.4-D11)))),0)</f>
        <v>166</v>
      </c>
      <c r="G11" s="21">
        <f>ROUND(6371*ACOS(MIN(1,SIN(RADIANS(C11))*SIN(RADIANS(30.45))+COS(RADIANS(C11))*COS(RADIANS(30.45))*COS(RADIANS(114.55-D11)))),0)</f>
        <v>455</v>
      </c>
      <c r="H11" s="21" t="inlineStr">
        <is>
          <t>확인 필요</t>
        </is>
      </c>
      <c r="I11" s="21" t="inlineStr">
        <is>
          <t>확인 필요</t>
        </is>
      </c>
    </row>
    <row r="12">
      <c r="A12" s="21" t="inlineStr">
        <is>
          <t>CITY-007</t>
        </is>
      </c>
      <c r="B12" s="21" t="inlineStr">
        <is>
          <t>扬州(양저우) 仪征 (扬州化学工业园区)</t>
        </is>
      </c>
      <c r="C12" s="21">
        <f>INDEX('08_CityComparison'!$F$13:$F$28,MATCH(A12,'08_CityComparison'!$A$13:$A$28,0))</f>
        <v>32.27</v>
      </c>
      <c r="D12" s="21">
        <f>INDEX('08_CityComparison'!$G$13:$G$28,MATCH(A12,'08_CityComparison'!$A$13:$A$28,0))</f>
        <v>119.18</v>
      </c>
      <c r="E12" s="21">
        <f>ROUND(6371*ACOS(MIN(1,SIN(RADIANS(C12))*SIN(RADIANS(31.75))+COS(RADIANS(C12))*COS(RADIANS(31.75))*COS(RADIANS(117.25-D12)))),0)</f>
        <v>191</v>
      </c>
      <c r="F12" s="21">
        <f>ROUND(6371*ACOS(MIN(1,SIN(RADIANS(C12))*SIN(RADIANS(31.55))+COS(RADIANS(C12))*COS(RADIANS(31.55))*COS(RADIANS(120.4-D12)))),0)</f>
        <v>140</v>
      </c>
      <c r="G12" s="21">
        <f>ROUND(6371*ACOS(MIN(1,SIN(RADIANS(C12))*SIN(RADIANS(30.45))+COS(RADIANS(C12))*COS(RADIANS(30.45))*COS(RADIANS(114.55-D12)))),0)</f>
        <v>484</v>
      </c>
      <c r="H12" s="21" t="inlineStr">
        <is>
          <t>확인 필요</t>
        </is>
      </c>
      <c r="I12" s="21" t="inlineStr">
        <is>
          <t>확인 필요</t>
        </is>
      </c>
    </row>
    <row r="13">
      <c r="A13" s="21" t="inlineStr">
        <is>
          <t>CITY-008</t>
        </is>
      </c>
      <c r="B13" s="21" t="inlineStr">
        <is>
          <t>泰州(타이저우) 泰兴·滨江</t>
        </is>
      </c>
      <c r="C13" s="21">
        <f>INDEX('08_CityComparison'!$F$13:$F$28,MATCH(A13,'08_CityComparison'!$A$13:$A$28,0))</f>
        <v>32.17</v>
      </c>
      <c r="D13" s="21">
        <f>INDEX('08_CityComparison'!$G$13:$G$28,MATCH(A13,'08_CityComparison'!$A$13:$A$28,0))</f>
        <v>120.02</v>
      </c>
      <c r="E13" s="21">
        <f>ROUND(6371*ACOS(MIN(1,SIN(RADIANS(C13))*SIN(RADIANS(31.75))+COS(RADIANS(C13))*COS(RADIANS(31.75))*COS(RADIANS(117.25-D13)))),0)</f>
        <v>265</v>
      </c>
      <c r="F13" s="21">
        <f>ROUND(6371*ACOS(MIN(1,SIN(RADIANS(C13))*SIN(RADIANS(31.55))+COS(RADIANS(C13))*COS(RADIANS(31.55))*COS(RADIANS(120.4-D13)))),0)</f>
        <v>78</v>
      </c>
      <c r="G13" s="21">
        <f>ROUND(6371*ACOS(MIN(1,SIN(RADIANS(C13))*SIN(RADIANS(30.45))+COS(RADIANS(C13))*COS(RADIANS(30.45))*COS(RADIANS(114.55-D13)))),0)</f>
        <v>554</v>
      </c>
      <c r="H13" s="21" t="inlineStr">
        <is>
          <t>확인 필요</t>
        </is>
      </c>
      <c r="I13" s="21" t="inlineStr">
        <is>
          <t>확인 필요</t>
        </is>
      </c>
    </row>
    <row r="14">
      <c r="A14" s="21" t="inlineStr">
        <is>
          <t>CITY-009</t>
        </is>
      </c>
      <c r="B14" s="21" t="inlineStr">
        <is>
          <t>苏州(쑤저우) 昆山(쿤산, 현급시)</t>
        </is>
      </c>
      <c r="C14" s="21">
        <f>INDEX('08_CityComparison'!$F$13:$F$28,MATCH(A14,'08_CityComparison'!$A$13:$A$28,0))</f>
        <v>31.38</v>
      </c>
      <c r="D14" s="21">
        <f>INDEX('08_CityComparison'!$G$13:$G$28,MATCH(A14,'08_CityComparison'!$A$13:$A$28,0))</f>
        <v>120.98</v>
      </c>
      <c r="E14" s="21">
        <f>ROUND(6371*ACOS(MIN(1,SIN(RADIANS(C14))*SIN(RADIANS(31.75))+COS(RADIANS(C14))*COS(RADIANS(31.75))*COS(RADIANS(117.25-D14)))),0)</f>
        <v>356</v>
      </c>
      <c r="F14" s="21">
        <f>ROUND(6371*ACOS(MIN(1,SIN(RADIANS(C14))*SIN(RADIANS(31.55))+COS(RADIANS(C14))*COS(RADIANS(31.55))*COS(RADIANS(120.4-D14)))),0)</f>
        <v>58</v>
      </c>
      <c r="G14" s="21">
        <f>ROUND(6371*ACOS(MIN(1,SIN(RADIANS(C14))*SIN(RADIANS(30.45))+COS(RADIANS(C14))*COS(RADIANS(30.45))*COS(RADIANS(114.55-D14)))),0)</f>
        <v>622</v>
      </c>
      <c r="H14" s="21" t="inlineStr">
        <is>
          <t>확인 필요</t>
        </is>
      </c>
      <c r="I14" s="21" t="inlineStr">
        <is>
          <t>확인 필요</t>
        </is>
      </c>
    </row>
    <row r="15">
      <c r="A15" s="21" t="inlineStr">
        <is>
          <t>CITY-010</t>
        </is>
      </c>
      <c r="B15" s="21" t="inlineStr">
        <is>
          <t>苏州(쑤저우) 太仓(타이창, 현급시)</t>
        </is>
      </c>
      <c r="C15" s="21">
        <f>INDEX('08_CityComparison'!$F$13:$F$28,MATCH(A15,'08_CityComparison'!$A$13:$A$28,0))</f>
        <v>31.62</v>
      </c>
      <c r="D15" s="21">
        <f>INDEX('08_CityComparison'!$G$13:$G$28,MATCH(A15,'08_CityComparison'!$A$13:$A$28,0))</f>
        <v>121.22</v>
      </c>
      <c r="E15" s="21">
        <f>ROUND(6371*ACOS(MIN(1,SIN(RADIANS(C15))*SIN(RADIANS(31.75))+COS(RADIANS(C15))*COS(RADIANS(31.75))*COS(RADIANS(117.25-D15)))),0)</f>
        <v>376</v>
      </c>
      <c r="F15" s="21">
        <f>ROUND(6371*ACOS(MIN(1,SIN(RADIANS(C15))*SIN(RADIANS(31.55))+COS(RADIANS(C15))*COS(RADIANS(31.55))*COS(RADIANS(120.4-D15)))),0)</f>
        <v>78</v>
      </c>
      <c r="G15" s="21">
        <f>ROUND(6371*ACOS(MIN(1,SIN(RADIANS(C15))*SIN(RADIANS(30.45))+COS(RADIANS(C15))*COS(RADIANS(30.45))*COS(RADIANS(114.55-D15)))),0)</f>
        <v>649</v>
      </c>
      <c r="H15" s="21" t="inlineStr">
        <is>
          <t>확인 필요</t>
        </is>
      </c>
      <c r="I15" s="21" t="inlineStr">
        <is>
          <t>확인 필요</t>
        </is>
      </c>
    </row>
    <row r="16">
      <c r="A16" s="21" t="inlineStr">
        <is>
          <t>CITY-101</t>
        </is>
      </c>
      <c r="B16" s="21" t="inlineStr">
        <is>
          <t>上海 浦东 (外高桥·自贸区)</t>
        </is>
      </c>
      <c r="C16" s="21">
        <f>INDEX('08_CityComparison'!$F$13:$F$28,MATCH(A16,'08_CityComparison'!$A$13:$A$28,0))</f>
        <v>31.36</v>
      </c>
      <c r="D16" s="21">
        <f>INDEX('08_CityComparison'!$G$13:$G$28,MATCH(A16,'08_CityComparison'!$A$13:$A$28,0))</f>
        <v>121.6</v>
      </c>
      <c r="E16" s="21">
        <f>ROUND(6371*ACOS(MIN(1,SIN(RADIANS(C16))*SIN(RADIANS(31.75))+COS(RADIANS(C16))*COS(RADIANS(31.75))*COS(RADIANS(117.25-D16)))),0)</f>
        <v>414</v>
      </c>
      <c r="F16" s="21">
        <f>ROUND(6371*ACOS(MIN(1,SIN(RADIANS(C16))*SIN(RADIANS(31.55))+COS(RADIANS(C16))*COS(RADIANS(31.55))*COS(RADIANS(120.4-D16)))),0)</f>
        <v>116</v>
      </c>
      <c r="G16" s="21">
        <f>ROUND(6371*ACOS(MIN(1,SIN(RADIANS(C16))*SIN(RADIANS(30.45))+COS(RADIANS(C16))*COS(RADIANS(30.45))*COS(RADIANS(114.55-D16)))),0)</f>
        <v>680</v>
      </c>
      <c r="H16" s="21" t="inlineStr">
        <is>
          <t>확인 필요</t>
        </is>
      </c>
      <c r="I16" s="21" t="inlineStr">
        <is>
          <t>확인 필요</t>
        </is>
      </c>
    </row>
    <row r="17">
      <c r="A17" s="21" t="inlineStr">
        <is>
          <t>CITY-102</t>
        </is>
      </c>
      <c r="B17" s="21" t="inlineStr">
        <is>
          <t>嘉兴(자싱) 平湖·嘉兴港区</t>
        </is>
      </c>
      <c r="C17" s="21">
        <f>INDEX('08_CityComparison'!$F$13:$F$28,MATCH(A17,'08_CityComparison'!$A$13:$A$28,0))</f>
        <v>30.62</v>
      </c>
      <c r="D17" s="21">
        <f>INDEX('08_CityComparison'!$G$13:$G$28,MATCH(A17,'08_CityComparison'!$A$13:$A$28,0))</f>
        <v>121.1</v>
      </c>
      <c r="E17" s="21">
        <f>ROUND(6371*ACOS(MIN(1,SIN(RADIANS(C17))*SIN(RADIANS(31.75))+COS(RADIANS(C17))*COS(RADIANS(31.75))*COS(RADIANS(117.25-D17)))),0)</f>
        <v>387</v>
      </c>
      <c r="F17" s="21">
        <f>ROUND(6371*ACOS(MIN(1,SIN(RADIANS(C17))*SIN(RADIANS(31.55))+COS(RADIANS(C17))*COS(RADIANS(31.55))*COS(RADIANS(120.4-D17)))),0)</f>
        <v>123</v>
      </c>
      <c r="G17" s="21">
        <f>ROUND(6371*ACOS(MIN(1,SIN(RADIANS(C17))*SIN(RADIANS(30.45))+COS(RADIANS(C17))*COS(RADIANS(30.45))*COS(RADIANS(114.55-D17)))),0)</f>
        <v>628</v>
      </c>
      <c r="H17" s="21" t="inlineStr">
        <is>
          <t>확인 필요</t>
        </is>
      </c>
      <c r="I17" s="21" t="inlineStr">
        <is>
          <t>확인 필요</t>
        </is>
      </c>
    </row>
    <row r="18">
      <c r="A18" s="21" t="inlineStr">
        <is>
          <t>CITY-103</t>
        </is>
      </c>
      <c r="B18" s="21" t="inlineStr">
        <is>
          <t>宁波(닝보) 镇海 (宁波石化经开区)</t>
        </is>
      </c>
      <c r="C18" s="21">
        <f>INDEX('08_CityComparison'!$F$13:$F$28,MATCH(A18,'08_CityComparison'!$A$13:$A$28,0))</f>
        <v>29.98</v>
      </c>
      <c r="D18" s="21">
        <f>INDEX('08_CityComparison'!$G$13:$G$28,MATCH(A18,'08_CityComparison'!$A$13:$A$28,0))</f>
        <v>121.66</v>
      </c>
      <c r="E18" s="21">
        <f>ROUND(6371*ACOS(MIN(1,SIN(RADIANS(C18))*SIN(RADIANS(31.75))+COS(RADIANS(C18))*COS(RADIANS(31.75))*COS(RADIANS(117.25-D18)))),0)</f>
        <v>465</v>
      </c>
      <c r="F18" s="21">
        <f>ROUND(6371*ACOS(MIN(1,SIN(RADIANS(C18))*SIN(RADIANS(31.55))+COS(RADIANS(C18))*COS(RADIANS(31.55))*COS(RADIANS(120.4-D18)))),0)</f>
        <v>212</v>
      </c>
      <c r="G18" s="21">
        <f>ROUND(6371*ACOS(MIN(1,SIN(RADIANS(C18))*SIN(RADIANS(30.45))+COS(RADIANS(C18))*COS(RADIANS(30.45))*COS(RADIANS(114.55-D18)))),0)</f>
        <v>685</v>
      </c>
      <c r="H18" s="21" t="inlineStr">
        <is>
          <t>확인 필요</t>
        </is>
      </c>
      <c r="I18" s="21" t="inlineStr">
        <is>
          <t>확인 필요</t>
        </is>
      </c>
    </row>
    <row r="19">
      <c r="A19" s="21" t="inlineStr">
        <is>
          <t>CITY-104</t>
        </is>
      </c>
      <c r="B19" s="21" t="inlineStr">
        <is>
          <t>合肥(허페이) 经开区</t>
        </is>
      </c>
      <c r="C19" s="21">
        <f>INDEX('08_CityComparison'!$F$13:$F$28,MATCH(A19,'08_CityComparison'!$A$13:$A$28,0))</f>
        <v>31.75</v>
      </c>
      <c r="D19" s="21">
        <f>INDEX('08_CityComparison'!$G$13:$G$28,MATCH(A19,'08_CityComparison'!$A$13:$A$28,0))</f>
        <v>117.24</v>
      </c>
      <c r="E19" s="21">
        <f>ROUND(6371*ACOS(MIN(1,SIN(RADIANS(C19))*SIN(RADIANS(31.75))+COS(RADIANS(C19))*COS(RADIANS(31.75))*COS(RADIANS(117.25-D19)))),0)</f>
        <v>1</v>
      </c>
      <c r="F19" s="21">
        <f>ROUND(6371*ACOS(MIN(1,SIN(RADIANS(C19))*SIN(RADIANS(31.55))+COS(RADIANS(C19))*COS(RADIANS(31.55))*COS(RADIANS(120.4-D19)))),0)</f>
        <v>300</v>
      </c>
      <c r="G19" s="21">
        <f>ROUND(6371*ACOS(MIN(1,SIN(RADIANS(C19))*SIN(RADIANS(30.45))+COS(RADIANS(C19))*COS(RADIANS(30.45))*COS(RADIANS(114.55-D19)))),0)</f>
        <v>294</v>
      </c>
      <c r="H19" s="21" t="inlineStr">
        <is>
          <t>확인 필요</t>
        </is>
      </c>
      <c r="I19" s="21" t="inlineStr">
        <is>
          <t>확인 필요</t>
        </is>
      </c>
    </row>
    <row r="20">
      <c r="A20" s="21" t="inlineStr">
        <is>
          <t>CITY-105</t>
        </is>
      </c>
      <c r="B20" s="21" t="inlineStr">
        <is>
          <t>滁州(추저우) -</t>
        </is>
      </c>
      <c r="C20" s="21">
        <f>INDEX('08_CityComparison'!$F$13:$F$28,MATCH(A20,'08_CityComparison'!$A$13:$A$28,0))</f>
        <v>32.3</v>
      </c>
      <c r="D20" s="21">
        <f>INDEX('08_CityComparison'!$G$13:$G$28,MATCH(A20,'08_CityComparison'!$A$13:$A$28,0))</f>
        <v>118.32</v>
      </c>
      <c r="E20" s="21">
        <f>ROUND(6371*ACOS(MIN(1,SIN(RADIANS(C20))*SIN(RADIANS(31.75))+COS(RADIANS(C20))*COS(RADIANS(31.75))*COS(RADIANS(117.25-D20)))),0)</f>
        <v>118</v>
      </c>
      <c r="F20" s="21">
        <f>ROUND(6371*ACOS(MIN(1,SIN(RADIANS(C20))*SIN(RADIANS(31.55))+COS(RADIANS(C20))*COS(RADIANS(31.55))*COS(RADIANS(120.4-D20)))),0)</f>
        <v>213</v>
      </c>
      <c r="G20" s="21">
        <f>ROUND(6371*ACOS(MIN(1,SIN(RADIANS(C20))*SIN(RADIANS(30.45))+COS(RADIANS(C20))*COS(RADIANS(30.45))*COS(RADIANS(114.55-D20)))),0)</f>
        <v>413</v>
      </c>
      <c r="H20" s="21" t="inlineStr">
        <is>
          <t>확인 필요</t>
        </is>
      </c>
      <c r="I20" s="21" t="inlineStr">
        <is>
          <t>확인 필요</t>
        </is>
      </c>
    </row>
    <row r="21">
      <c r="A21" s="21" t="inlineStr">
        <is>
          <t>CITY-106</t>
        </is>
      </c>
      <c r="B21" s="21" t="inlineStr">
        <is>
          <t>芜湖·马鞍山 -</t>
        </is>
      </c>
      <c r="C21" s="21">
        <f>INDEX('08_CityComparison'!$F$13:$F$28,MATCH(A21,'08_CityComparison'!$A$13:$A$28,0))</f>
        <v>31.5</v>
      </c>
      <c r="D21" s="21">
        <f>INDEX('08_CityComparison'!$G$13:$G$28,MATCH(A21,'08_CityComparison'!$A$13:$A$28,0))</f>
        <v>118.47</v>
      </c>
      <c r="E21" s="21">
        <f>ROUND(6371*ACOS(MIN(1,SIN(RADIANS(C21))*SIN(RADIANS(31.75))+COS(RADIANS(C21))*COS(RADIANS(31.75))*COS(RADIANS(117.25-D21)))),0)</f>
        <v>119</v>
      </c>
      <c r="F21" s="21">
        <f>ROUND(6371*ACOS(MIN(1,SIN(RADIANS(C21))*SIN(RADIANS(31.55))+COS(RADIANS(C21))*COS(RADIANS(31.55))*COS(RADIANS(120.4-D21)))),0)</f>
        <v>183</v>
      </c>
      <c r="G21" s="21">
        <f>ROUND(6371*ACOS(MIN(1,SIN(RADIANS(C21))*SIN(RADIANS(30.45))+COS(RADIANS(C21))*COS(RADIANS(30.45))*COS(RADIANS(114.55-D21)))),0)</f>
        <v>392</v>
      </c>
      <c r="H21" s="21" t="inlineStr">
        <is>
          <t>확인 필요</t>
        </is>
      </c>
      <c r="I21" s="21" t="inlineStr">
        <is>
          <t>확인 필요</t>
        </is>
      </c>
    </row>
    <row r="24">
      <c r="A24" s="6" t="inlineStr">
        <is>
          <t>고객 위치 (공개 주소 기준)</t>
        </is>
      </c>
    </row>
    <row r="25">
      <c r="A25" t="inlineStr">
        <is>
          <t>CUST-01</t>
        </is>
      </c>
      <c r="B25" t="inlineStr">
        <is>
          <t>CXMT (长鑫存储)</t>
        </is>
      </c>
      <c r="C25" t="inlineStr">
        <is>
          <t>안후이 허페이 경제기술개발구 (등록 주소)</t>
        </is>
      </c>
      <c r="D25" t="n">
        <v>31.75</v>
      </c>
      <c r="E25" t="n">
        <v>117.25</v>
      </c>
      <c r="F25" t="inlineStr">
        <is>
          <t>EVD-029</t>
        </is>
      </c>
      <c r="G25" t="inlineStr">
        <is>
          <t>공개 주소 기준 · 반입 위치 고객 확인</t>
        </is>
      </c>
    </row>
    <row r="26">
      <c r="A26" t="inlineStr">
        <is>
          <t>CUST-02</t>
        </is>
      </c>
      <c r="B26" t="inlineStr">
        <is>
          <t>SK하이닉스 우시</t>
        </is>
      </c>
      <c r="C26" t="inlineStr">
        <is>
          <t>강소 무석 신오구</t>
        </is>
      </c>
      <c r="D26" t="n">
        <v>31.55</v>
      </c>
      <c r="E26" t="n">
        <v>120.4</v>
      </c>
      <c r="F26" t="inlineStr">
        <is>
          <t>EVD-031</t>
        </is>
      </c>
      <c r="G26" t="inlineStr">
        <is>
          <t>구 단위 위치 · 반입 위치 고객 확인</t>
        </is>
      </c>
    </row>
    <row r="27">
      <c r="A27" t="inlineStr">
        <is>
          <t>CUST-03</t>
        </is>
      </c>
      <c r="B27" t="inlineStr">
        <is>
          <t>YMTC (长江存储)</t>
        </is>
      </c>
      <c r="C27" t="inlineStr">
        <is>
          <t>후베이 우한 동호고신구</t>
        </is>
      </c>
      <c r="D27" t="n">
        <v>30.45</v>
      </c>
      <c r="E27" t="n">
        <v>114.55</v>
      </c>
      <c r="F27" t="inlineStr">
        <is>
          <t>EVD-030</t>
        </is>
      </c>
      <c r="G27" t="inlineStr">
        <is>
          <t>지도 범위 밖(서쪽)</t>
        </is>
      </c>
    </row>
    <row r="29">
      <c r="A29" s="6" t="inlineStr">
        <is>
          <t>인력 역할 (최소안 vs 확대안)</t>
        </is>
      </c>
    </row>
    <row r="30">
      <c r="A30" s="15" t="inlineStr">
        <is>
          <t>역할</t>
        </is>
      </c>
      <c r="B30" s="15" t="inlineStr">
        <is>
          <t>법정·운영 구분</t>
        </is>
      </c>
      <c r="C30" s="15" t="inlineStr">
        <is>
          <t>자격·교육</t>
        </is>
      </c>
      <c r="D30" s="15" t="inlineStr">
        <is>
          <t>겸직·외주</t>
        </is>
      </c>
      <c r="E30" s="15" t="inlineStr">
        <is>
          <t>상주</t>
        </is>
      </c>
      <c r="F30" s="15" t="inlineStr">
        <is>
          <t>현지/주재원</t>
        </is>
      </c>
      <c r="G30" s="15" t="inlineStr">
        <is>
          <t>최소안(명)</t>
        </is>
      </c>
      <c r="H30" s="15" t="inlineStr">
        <is>
          <t>확대안(명)</t>
        </is>
      </c>
      <c r="I30" s="15" t="inlineStr">
        <is>
          <t>근거 ID</t>
        </is>
      </c>
    </row>
    <row r="31">
      <c r="A31" s="5" t="inlineStr">
        <is>
          <t>법인장·법정대표인(이사 또는 경리)</t>
        </is>
      </c>
      <c r="B31" s="5" t="inlineStr">
        <is>
          <t>법정(법정대표인 1명)</t>
        </is>
      </c>
      <c r="C31" s="5" t="inlineStr">
        <is>
          <t>위험화학품 경영 '주요 책임자' 교육·시험</t>
        </is>
      </c>
      <c r="D31" s="5" t="inlineStr">
        <is>
          <t>겸직 가능(이사 겸)</t>
        </is>
      </c>
      <c r="E31" s="5" t="inlineStr">
        <is>
          <t>권장</t>
        </is>
      </c>
      <c r="F31" s="5" t="inlineStr">
        <is>
          <t>주재원(이동선 총감 구상)</t>
        </is>
      </c>
      <c r="G31" s="5" t="n">
        <v>1</v>
      </c>
      <c r="H31" s="5" t="n">
        <v>1</v>
      </c>
      <c r="I31" s="5" t="inlineStr">
        <is>
          <t>EVD-023, EVD-012</t>
        </is>
      </c>
    </row>
    <row r="32">
      <c r="A32" s="5" t="inlineStr">
        <is>
          <t>전담 안전관리자</t>
        </is>
      </c>
      <c r="B32" s="5" t="inlineStr">
        <is>
          <t>경영허가 조건(전담)</t>
        </is>
      </c>
      <c r="C32" s="5" t="inlineStr">
        <is>
          <t>안전관리자 교육·시험 합격</t>
        </is>
      </c>
      <c r="D32" s="5" t="inlineStr">
        <is>
          <t>겸직 불가(전담 요구)</t>
        </is>
      </c>
      <c r="E32" s="5" t="inlineStr">
        <is>
          <t>필요</t>
        </is>
      </c>
      <c r="F32" s="5" t="inlineStr">
        <is>
          <t>현지</t>
        </is>
      </c>
      <c r="G32" s="5" t="n">
        <v>1</v>
      </c>
      <c r="H32" s="5" t="n">
        <v>1</v>
      </c>
      <c r="I32" s="5" t="inlineStr">
        <is>
          <t>EVD-012</t>
        </is>
      </c>
    </row>
    <row r="33">
      <c r="A33" s="5" t="inlineStr">
        <is>
          <t>영업·고객 기술 대응</t>
        </is>
      </c>
      <c r="B33" s="5" t="inlineStr">
        <is>
          <t>운영 필요</t>
        </is>
      </c>
      <c r="C33" s="5" t="inlineStr">
        <is>
          <t>-</t>
        </is>
      </c>
      <c r="D33" s="5" t="inlineStr">
        <is>
          <t>법인장 일부 겸</t>
        </is>
      </c>
      <c r="E33" s="5" t="inlineStr">
        <is>
          <t>필요</t>
        </is>
      </c>
      <c r="F33" s="5" t="inlineStr">
        <is>
          <t>현지/주재원</t>
        </is>
      </c>
      <c r="G33" s="5" t="n">
        <v>1</v>
      </c>
      <c r="H33" s="5" t="n">
        <v>2</v>
      </c>
      <c r="I33" s="5" t="inlineStr">
        <is>
          <t>분석 가정</t>
        </is>
      </c>
    </row>
    <row r="34">
      <c r="A34" s="5" t="inlineStr">
        <is>
          <t>수입·물류·통관·재고</t>
        </is>
      </c>
      <c r="B34" s="5" t="inlineStr">
        <is>
          <t>운영 필요</t>
        </is>
      </c>
      <c r="C34" s="5" t="inlineStr">
        <is>
          <t>위험물 운송 지식</t>
        </is>
      </c>
      <c r="D34" s="5" t="inlineStr">
        <is>
          <t>안전관리자와 분리 권장</t>
        </is>
      </c>
      <c r="E34" s="5" t="inlineStr">
        <is>
          <t>필요</t>
        </is>
      </c>
      <c r="F34" s="5" t="inlineStr">
        <is>
          <t>현지</t>
        </is>
      </c>
      <c r="G34" s="5" t="n">
        <v>0</v>
      </c>
      <c r="H34" s="5" t="n">
        <v>1</v>
      </c>
      <c r="I34" s="5" t="inlineStr">
        <is>
          <t>분석 가정</t>
        </is>
      </c>
    </row>
    <row r="35">
      <c r="A35" s="5" t="inlineStr">
        <is>
          <t>재무·세무·회계(경리)</t>
        </is>
      </c>
      <c r="B35" s="5" t="inlineStr">
        <is>
          <t>세무 등록 실무상 필요</t>
        </is>
      </c>
      <c r="C35" s="5" t="inlineStr">
        <is>
          <t>-</t>
        </is>
      </c>
      <c r="D35" s="5" t="inlineStr">
        <is>
          <t>회계 대행 외주 가능</t>
        </is>
      </c>
      <c r="E35" s="5" t="inlineStr">
        <is>
          <t>부분</t>
        </is>
      </c>
      <c r="F35" s="5" t="inlineStr">
        <is>
          <t>현지</t>
        </is>
      </c>
      <c r="G35" s="5" t="n">
        <v>1</v>
      </c>
      <c r="H35" s="5" t="n">
        <v>1</v>
      </c>
      <c r="I35" s="5" t="inlineStr">
        <is>
          <t>분석 가정</t>
        </is>
      </c>
    </row>
    <row r="36">
      <c r="A36" s="5" t="inlineStr">
        <is>
          <t>창고 운영·품질</t>
        </is>
      </c>
      <c r="B36" s="5" t="inlineStr">
        <is>
          <t>C·D안에서 필요</t>
        </is>
      </c>
      <c r="C36" s="5" t="inlineStr">
        <is>
          <t>위험화학품 창고 교육</t>
        </is>
      </c>
      <c r="D36" s="5" t="inlineStr">
        <is>
          <t>B안은 3PL 수행</t>
        </is>
      </c>
      <c r="E36" s="5" t="inlineStr">
        <is>
          <t>C·D안</t>
        </is>
      </c>
      <c r="F36" s="5" t="inlineStr">
        <is>
          <t>현지</t>
        </is>
      </c>
      <c r="G36" s="5" t="n">
        <v>0</v>
      </c>
      <c r="H36" s="5" t="n">
        <v>2</v>
      </c>
      <c r="I36" s="5" t="inlineStr">
        <is>
          <t>분석 가정</t>
        </is>
      </c>
    </row>
    <row r="37">
      <c r="A37" s="4" t="inlineStr">
        <is>
          <t>합계</t>
        </is>
      </c>
      <c r="G37">
        <f>SUM(G31:G36)</f>
        <v>4</v>
      </c>
      <c r="H37">
        <f>SUM(H31:H36)</f>
        <v>8</v>
      </c>
    </row>
    <row r="38">
      <c r="A38" t="inlineStr">
        <is>
          <t>회의 구상 4명(이동선 총감·신규 채용·최영진·경리)은 전담 안전관리자 1명이 포함될 때 무저장(B안) 최소 운영 가능 — 법정 최소 인원 아님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tabColor rgb="0070AD47"/>
    <outlinePr summaryBelow="1" summaryRight="1"/>
    <pageSetUpPr/>
  </sheetPr>
  <dimension ref="A1:L16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4" customWidth="1" min="2" max="2"/>
    <col width="12" customWidth="1" min="3" max="3"/>
    <col width="12" customWidth="1" min="4" max="4"/>
    <col width="8" customWidth="1" min="5" max="5"/>
    <col width="11" customWidth="1" min="6" max="6"/>
    <col width="26" customWidth="1" min="7" max="7"/>
    <col width="26" customWidth="1" min="8" max="8"/>
    <col width="10" customWidth="1" min="9" max="9"/>
    <col width="12" customWidth="1" min="10" max="10"/>
    <col width="18" customWidth="1" min="11" max="11"/>
    <col width="16" customWidth="1" min="12" max="12"/>
  </cols>
  <sheetData>
    <row r="1">
      <c r="A1" s="1" t="inlineStr">
        <is>
          <t>13_FXAssumptions | 환율·단가·가정 입력</t>
        </is>
      </c>
    </row>
    <row r="2">
      <c r="A2" s="2" t="inlineStr">
        <is>
          <t>파란 칸만 수정. 빈 칸 = 견적 필요(0 아님)</t>
        </is>
      </c>
    </row>
    <row r="3">
      <c r="A3" s="3" t="inlineStr">
        <is>
          <t>조사 기준일 2026-10-06 · 단위·상태는 각 열 머리글 참조</t>
        </is>
      </c>
    </row>
    <row r="5">
      <c r="A5" s="20" t="inlineStr">
        <is>
          <t>가정 ID</t>
        </is>
      </c>
      <c r="B5" s="20" t="inlineStr">
        <is>
          <t>항목</t>
        </is>
      </c>
      <c r="C5" s="20" t="inlineStr">
        <is>
          <t>입력값</t>
        </is>
      </c>
      <c r="D5" s="20" t="inlineStr">
        <is>
          <t>단위</t>
        </is>
      </c>
      <c r="E5" s="20" t="inlineStr">
        <is>
          <t>통화</t>
        </is>
      </c>
      <c r="F5" s="20" t="inlineStr">
        <is>
          <t>적용일</t>
        </is>
      </c>
      <c r="G5" s="20" t="inlineStr">
        <is>
          <t>환율·출처</t>
        </is>
      </c>
      <c r="H5" s="20" t="inlineStr">
        <is>
          <t>가정 이유</t>
        </is>
      </c>
      <c r="I5" s="20" t="inlineStr">
        <is>
          <t>적용 구조</t>
        </is>
      </c>
      <c r="J5" s="20" t="inlineStr">
        <is>
          <t>범위</t>
        </is>
      </c>
      <c r="K5" s="20" t="inlineStr">
        <is>
          <t>확인 상태</t>
        </is>
      </c>
      <c r="L5" s="20" t="inlineStr">
        <is>
          <t>변경 영향</t>
        </is>
      </c>
    </row>
    <row r="6">
      <c r="A6" s="21" t="inlineStr">
        <is>
          <t>ASM-001</t>
        </is>
      </c>
      <c r="B6" s="16" t="inlineStr">
        <is>
          <t>환율 CNY→KRW</t>
        </is>
      </c>
      <c r="C6" s="35" t="n">
        <v>204</v>
      </c>
      <c r="D6" s="21" t="inlineStr">
        <is>
          <t>KRW/CNY</t>
        </is>
      </c>
      <c r="E6" s="21" t="inlineStr">
        <is>
          <t>KRW</t>
        </is>
      </c>
      <c r="F6" s="21" t="inlineStr">
        <is>
          <t>2026-09-01</t>
        </is>
      </c>
      <c r="G6" s="16" t="inlineStr">
        <is>
          <t>SRC-026</t>
        </is>
      </c>
      <c r="H6" s="16" t="inlineStr">
        <is>
          <t>검색 확인 최근값</t>
        </is>
      </c>
      <c r="I6" s="21" t="inlineStr">
        <is>
          <t>전체</t>
        </is>
      </c>
      <c r="J6" s="21" t="inlineStr">
        <is>
          <t>195~215</t>
        </is>
      </c>
      <c r="K6" s="25" t="inlineStr">
        <is>
          <t>언론·기타</t>
        </is>
      </c>
      <c r="L6" s="21" t="inlineStr">
        <is>
          <t>KRW 환산 전체</t>
        </is>
      </c>
    </row>
    <row r="7">
      <c r="A7" s="21" t="inlineStr">
        <is>
          <t>ASM-002</t>
        </is>
      </c>
      <c r="B7" s="16" t="inlineStr">
        <is>
          <t>현지 직원 연 기본급 (무석 평균임금 기준)</t>
        </is>
      </c>
      <c r="C7" s="36" t="n">
        <v>147293</v>
      </c>
      <c r="D7" s="21" t="inlineStr">
        <is>
          <t>CNY/인·년</t>
        </is>
      </c>
      <c r="E7" s="21" t="inlineStr">
        <is>
          <t>CNY</t>
        </is>
      </c>
      <c r="F7" s="21" t="inlineStr">
        <is>
          <t>2025</t>
        </is>
      </c>
      <c r="G7" s="16" t="inlineStr">
        <is>
          <t>SRC-024</t>
        </is>
      </c>
      <c r="H7" s="16" t="inlineStr">
        <is>
          <t>직무 시장급여 미확보 → 평균임금 사용</t>
        </is>
      </c>
      <c r="I7" s="21" t="inlineStr">
        <is>
          <t>B·C</t>
        </is>
      </c>
      <c r="J7" s="21" t="inlineStr">
        <is>
          <t>-</t>
        </is>
      </c>
      <c r="K7" s="25" t="inlineStr">
        <is>
          <t>언론·기타</t>
        </is>
      </c>
      <c r="L7" s="21" t="inlineStr">
        <is>
          <t>인건비</t>
        </is>
      </c>
    </row>
    <row r="8">
      <c r="A8" s="21" t="inlineStr">
        <is>
          <t>ASM-003</t>
        </is>
      </c>
      <c r="B8" s="16" t="inlineStr">
        <is>
          <t>직무 급여 배수 (평균 대비)</t>
        </is>
      </c>
      <c r="C8" s="27" t="n">
        <v>1.2</v>
      </c>
      <c r="D8" s="21" t="inlineStr">
        <is>
          <t>배</t>
        </is>
      </c>
      <c r="E8" s="21" t="inlineStr">
        <is>
          <t>-</t>
        </is>
      </c>
      <c r="F8" s="21" t="inlineStr">
        <is>
          <t>-</t>
        </is>
      </c>
      <c r="G8" s="37" t="inlineStr">
        <is>
          <t>분석 가정</t>
        </is>
      </c>
      <c r="H8" s="16" t="inlineStr">
        <is>
          <t>전문직(영업·안전) 프리미엄</t>
        </is>
      </c>
      <c r="I8" s="21" t="inlineStr">
        <is>
          <t>B·C</t>
        </is>
      </c>
      <c r="J8" s="21" t="inlineStr">
        <is>
          <t>1.0~1.5</t>
        </is>
      </c>
      <c r="K8" s="34" t="inlineStr">
        <is>
          <t>분석 가정</t>
        </is>
      </c>
      <c r="L8" s="21" t="inlineStr">
        <is>
          <t>인건비</t>
        </is>
      </c>
    </row>
    <row r="9">
      <c r="A9" s="21" t="inlineStr">
        <is>
          <t>ASM-004</t>
        </is>
      </c>
      <c r="B9" s="16" t="inlineStr">
        <is>
          <t>사업주 사회보험·주택공적금 부담률</t>
        </is>
      </c>
      <c r="C9" s="38" t="n">
        <v>0.35</v>
      </c>
      <c r="D9" s="21" t="inlineStr">
        <is>
          <t>비율</t>
        </is>
      </c>
      <c r="E9" s="21" t="inlineStr">
        <is>
          <t>-</t>
        </is>
      </c>
      <c r="F9" s="21" t="inlineStr">
        <is>
          <t>-</t>
        </is>
      </c>
      <c r="G9" s="16" t="inlineStr">
        <is>
          <t>분석 가정 (강소성 요율 확인 필요)</t>
        </is>
      </c>
      <c r="H9" s="16" t="inlineStr">
        <is>
          <t>-</t>
        </is>
      </c>
      <c r="I9" s="21" t="inlineStr">
        <is>
          <t>B·C</t>
        </is>
      </c>
      <c r="J9" s="21" t="inlineStr">
        <is>
          <t>0.30~0.40</t>
        </is>
      </c>
      <c r="K9" s="34" t="inlineStr">
        <is>
          <t>분석 가정</t>
        </is>
      </c>
      <c r="L9" s="21" t="inlineStr">
        <is>
          <t>인건비</t>
        </is>
      </c>
    </row>
    <row r="10">
      <c r="A10" s="21" t="inlineStr">
        <is>
          <t>ASM-005</t>
        </is>
      </c>
      <c r="B10" s="16" t="inlineStr">
        <is>
          <t>현지 채용 인원 (최소안)</t>
        </is>
      </c>
      <c r="C10" s="27" t="n">
        <v>3</v>
      </c>
      <c r="D10" s="21" t="inlineStr">
        <is>
          <t>명</t>
        </is>
      </c>
      <c r="E10" s="21" t="inlineStr">
        <is>
          <t>-</t>
        </is>
      </c>
      <c r="F10" s="21" t="inlineStr">
        <is>
          <t>-</t>
        </is>
      </c>
      <c r="G10" s="16" t="inlineStr">
        <is>
          <t>인력표: 안전관리자·영업·경리</t>
        </is>
      </c>
      <c r="H10" s="16" t="inlineStr">
        <is>
          <t>법인장은 주재원</t>
        </is>
      </c>
      <c r="I10" s="21" t="inlineStr">
        <is>
          <t>B</t>
        </is>
      </c>
      <c r="J10" s="21" t="inlineStr">
        <is>
          <t>3~4</t>
        </is>
      </c>
      <c r="K10" s="34" t="inlineStr">
        <is>
          <t>분석 가정</t>
        </is>
      </c>
      <c r="L10" s="21" t="inlineStr">
        <is>
          <t>인건비</t>
        </is>
      </c>
    </row>
    <row r="11">
      <c r="A11" s="21" t="inlineStr">
        <is>
          <t>ASM-006</t>
        </is>
      </c>
      <c r="B11" s="16" t="inlineStr">
        <is>
          <t>사무실 면적</t>
        </is>
      </c>
      <c r="C11" s="27" t="n">
        <v>120</v>
      </c>
      <c r="D11" s="21" t="inlineStr">
        <is>
          <t>㎡</t>
        </is>
      </c>
      <c r="E11" s="21" t="inlineStr">
        <is>
          <t>-</t>
        </is>
      </c>
      <c r="F11" s="21" t="inlineStr">
        <is>
          <t>-</t>
        </is>
      </c>
      <c r="G11" s="37" t="inlineStr">
        <is>
          <t>분석 가정</t>
        </is>
      </c>
      <c r="H11" s="16" t="inlineStr">
        <is>
          <t>4~5명 + 회의실</t>
        </is>
      </c>
      <c r="I11" s="21" t="inlineStr">
        <is>
          <t>B·C</t>
        </is>
      </c>
      <c r="J11" s="21" t="inlineStr">
        <is>
          <t>80~150</t>
        </is>
      </c>
      <c r="K11" s="34" t="inlineStr">
        <is>
          <t>분석 가정</t>
        </is>
      </c>
      <c r="L11" s="21" t="inlineStr">
        <is>
          <t>임대료</t>
        </is>
      </c>
    </row>
    <row r="12">
      <c r="A12" s="21" t="inlineStr">
        <is>
          <t>ASM-007</t>
        </is>
      </c>
      <c r="B12" s="16" t="inlineStr">
        <is>
          <t>사무실 임대 단가</t>
        </is>
      </c>
      <c r="C12" s="33" t="n"/>
      <c r="D12" s="21" t="inlineStr">
        <is>
          <t>CNY/㎡·월</t>
        </is>
      </c>
      <c r="E12" s="21" t="inlineStr">
        <is>
          <t>CNY</t>
        </is>
      </c>
      <c r="F12" s="21" t="inlineStr">
        <is>
          <t>-</t>
        </is>
      </c>
      <c r="G12" s="16" t="inlineStr">
        <is>
          <t>견적 필요 (무석 공개 시세 미확보)</t>
        </is>
      </c>
      <c r="H12" s="16" t="inlineStr">
        <is>
          <t>-</t>
        </is>
      </c>
      <c r="I12" s="21" t="inlineStr">
        <is>
          <t>B·C</t>
        </is>
      </c>
      <c r="J12" s="21" t="inlineStr">
        <is>
          <t>-</t>
        </is>
      </c>
      <c r="K12" s="28" t="inlineStr">
        <is>
          <t>기관 확인 필요</t>
        </is>
      </c>
      <c r="L12" s="21" t="inlineStr">
        <is>
          <t>임대료</t>
        </is>
      </c>
    </row>
    <row r="13">
      <c r="A13" s="21" t="inlineStr">
        <is>
          <t>ASM-008</t>
        </is>
      </c>
      <c r="B13" s="16" t="inlineStr">
        <is>
          <t>보증금 개월수</t>
        </is>
      </c>
      <c r="C13" s="27" t="n">
        <v>3</v>
      </c>
      <c r="D13" s="21" t="inlineStr">
        <is>
          <t>개월</t>
        </is>
      </c>
      <c r="E13" s="21" t="inlineStr">
        <is>
          <t>-</t>
        </is>
      </c>
      <c r="F13" s="21" t="inlineStr">
        <is>
          <t>-</t>
        </is>
      </c>
      <c r="G13" s="37" t="inlineStr">
        <is>
          <t>분석 가정</t>
        </is>
      </c>
      <c r="H13" s="16" t="inlineStr">
        <is>
          <t>-</t>
        </is>
      </c>
      <c r="I13" s="21" t="inlineStr">
        <is>
          <t>B·C</t>
        </is>
      </c>
      <c r="J13" s="21" t="inlineStr">
        <is>
          <t>2~3</t>
        </is>
      </c>
      <c r="K13" s="34" t="inlineStr">
        <is>
          <t>분석 가정</t>
        </is>
      </c>
      <c r="L13" s="21" t="inlineStr">
        <is>
          <t>보증금(회수 가능)</t>
        </is>
      </c>
    </row>
    <row r="14">
      <c r="A14" s="21" t="inlineStr">
        <is>
          <t>ASM-009</t>
        </is>
      </c>
      <c r="B14" s="16" t="inlineStr">
        <is>
          <t>현지 재고 일수 (민감도)</t>
        </is>
      </c>
      <c r="C14" s="27" t="n">
        <v>30</v>
      </c>
      <c r="D14" s="21" t="inlineStr">
        <is>
          <t>일</t>
        </is>
      </c>
      <c r="E14" s="21" t="inlineStr">
        <is>
          <t>-</t>
        </is>
      </c>
      <c r="F14" s="21" t="inlineStr">
        <is>
          <t>-</t>
        </is>
      </c>
      <c r="G14" s="16" t="inlineStr">
        <is>
          <t>분석 가정 (고객 요구 미제공)</t>
        </is>
      </c>
      <c r="H14" s="16" t="inlineStr">
        <is>
          <t>1·2·3개월 비교</t>
        </is>
      </c>
      <c r="I14" s="21" t="inlineStr">
        <is>
          <t>B·C</t>
        </is>
      </c>
      <c r="J14" s="21" t="inlineStr">
        <is>
          <t>30/60/90</t>
        </is>
      </c>
      <c r="K14" s="34" t="inlineStr">
        <is>
          <t>분석 가정</t>
        </is>
      </c>
      <c r="L14" s="21" t="inlineStr">
        <is>
          <t>운전자본</t>
        </is>
      </c>
    </row>
    <row r="15">
      <c r="A15" s="21" t="inlineStr">
        <is>
          <t>ASM-010</t>
        </is>
      </c>
      <c r="B15" s="16" t="inlineStr">
        <is>
          <t>월 판매액 (중국 공급)</t>
        </is>
      </c>
      <c r="C15" s="33" t="n"/>
      <c r="D15" s="21" t="inlineStr">
        <is>
          <t>CNY/월</t>
        </is>
      </c>
      <c r="E15" s="21" t="inlineStr">
        <is>
          <t>CNY</t>
        </is>
      </c>
      <c r="F15" s="21" t="inlineStr">
        <is>
          <t>-</t>
        </is>
      </c>
      <c r="G15" s="16" t="inlineStr">
        <is>
          <t>미제공</t>
        </is>
      </c>
      <c r="H15" s="16" t="inlineStr">
        <is>
          <t>매출 계획 창작 금지</t>
        </is>
      </c>
      <c r="I15" s="21" t="inlineStr">
        <is>
          <t>-</t>
        </is>
      </c>
      <c r="J15" s="21" t="inlineStr">
        <is>
          <t>-</t>
        </is>
      </c>
      <c r="K15" s="26" t="inlineStr">
        <is>
          <t>정보 없음</t>
        </is>
      </c>
      <c r="L15" s="21" t="inlineStr">
        <is>
          <t>운전자본·손익분기</t>
        </is>
      </c>
    </row>
    <row r="16">
      <c r="A16" s="21" t="inlineStr">
        <is>
          <t>ASM-011</t>
        </is>
      </c>
      <c r="B16" s="16" t="inlineStr">
        <is>
          <t>등록자본 = 첫해 고정비 × 배수</t>
        </is>
      </c>
      <c r="C16" s="27" t="n">
        <v>1.5</v>
      </c>
      <c r="D16" s="21" t="inlineStr">
        <is>
          <t>배</t>
        </is>
      </c>
      <c r="E16" s="21" t="inlineStr">
        <is>
          <t>-</t>
        </is>
      </c>
      <c r="F16" s="21" t="inlineStr">
        <is>
          <t>-</t>
        </is>
      </c>
      <c r="G16" s="37" t="inlineStr">
        <is>
          <t>분석 가정</t>
        </is>
      </c>
      <c r="H16" s="16" t="inlineStr">
        <is>
          <t>운영 18개월분 수준</t>
        </is>
      </c>
      <c r="I16" s="21" t="inlineStr">
        <is>
          <t>B</t>
        </is>
      </c>
      <c r="J16" s="21" t="inlineStr">
        <is>
          <t>1.0~2.0</t>
        </is>
      </c>
      <c r="K16" s="34" t="inlineStr">
        <is>
          <t>분석 가정</t>
        </is>
      </c>
      <c r="L16" s="21" t="inlineStr">
        <is>
          <t>등록자본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tabColor rgb="0070AD47"/>
    <outlinePr summaryBelow="1" summaryRight="1"/>
    <pageSetUpPr/>
  </sheetPr>
  <dimension ref="A1:N23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40" customWidth="1" min="2" max="2"/>
    <col width="9" customWidth="1" min="3" max="3"/>
    <col width="6" customWidth="1" min="4" max="4"/>
    <col width="14" customWidth="1" min="5" max="5"/>
    <col width="8" customWidth="1" min="6" max="6"/>
    <col width="8" customWidth="1" min="7" max="7"/>
    <col width="16" customWidth="1" min="8" max="8"/>
    <col width="18" customWidth="1" min="9" max="9"/>
    <col width="9" customWidth="1" min="10" max="10"/>
    <col width="11" customWidth="1" min="11" max="11"/>
    <col width="16" customWidth="1" min="12" max="12"/>
    <col width="14" customWidth="1" min="13" max="13"/>
    <col width="16" customWidth="1" min="14" max="14"/>
  </cols>
  <sheetData>
    <row r="1">
      <c r="A1" s="1" t="inlineStr">
        <is>
          <t>14_CostsRaw | 비용 원자료 (CNY)</t>
        </is>
      </c>
    </row>
    <row r="2">
      <c r="A2" s="2" t="inlineStr">
        <is>
          <t>단가가 빈칸이면 금액도 빈칸(견적 필요). 보증금은 회수 가능 자금으로 초기 지출과 분리</t>
        </is>
      </c>
    </row>
    <row r="3">
      <c r="A3" s="3" t="inlineStr">
        <is>
          <t>조사 기준일 2026-10-06 · 단위·상태는 각 열 머리글 참조</t>
        </is>
      </c>
    </row>
    <row r="5">
      <c r="A5" s="20" t="inlineStr">
        <is>
          <t>비용 ID</t>
        </is>
      </c>
      <c r="B5" s="20" t="inlineStr">
        <is>
          <t>항목</t>
        </is>
      </c>
      <c r="C5" s="20" t="inlineStr">
        <is>
          <t>유형</t>
        </is>
      </c>
      <c r="D5" s="20" t="inlineStr">
        <is>
          <t>구조</t>
        </is>
      </c>
      <c r="E5" s="20" t="inlineStr">
        <is>
          <t>단가(CNY)</t>
        </is>
      </c>
      <c r="F5" s="20" t="inlineStr">
        <is>
          <t>수량</t>
        </is>
      </c>
      <c r="G5" s="20" t="inlineStr">
        <is>
          <t>주기</t>
        </is>
      </c>
      <c r="H5" s="20" t="inlineStr">
        <is>
          <t>세금 조건</t>
        </is>
      </c>
      <c r="I5" s="20" t="inlineStr">
        <is>
          <t>근거 구분</t>
        </is>
      </c>
      <c r="J5" s="20" t="inlineStr">
        <is>
          <t>회수 가능</t>
        </is>
      </c>
      <c r="K5" s="20" t="inlineStr">
        <is>
          <t>기준일</t>
        </is>
      </c>
      <c r="L5" s="20" t="inlineStr">
        <is>
          <t>출처·가정 ID</t>
        </is>
      </c>
      <c r="M5" s="20" t="inlineStr">
        <is>
          <t>금액(CNY)</t>
        </is>
      </c>
      <c r="N5" s="20" t="inlineStr">
        <is>
          <t>산출 상태</t>
        </is>
      </c>
    </row>
    <row r="6">
      <c r="A6" s="21" t="inlineStr">
        <is>
          <t>CST-001</t>
        </is>
      </c>
      <c r="B6" s="16" t="inlineStr">
        <is>
          <t>법인 설립 대행·번역·아포스티유</t>
        </is>
      </c>
      <c r="C6" s="21" t="inlineStr">
        <is>
          <t>초기</t>
        </is>
      </c>
      <c r="D6" s="21" t="inlineStr">
        <is>
          <t>B</t>
        </is>
      </c>
      <c r="E6" s="39" t="n"/>
      <c r="F6" s="21" t="n">
        <v>1</v>
      </c>
      <c r="G6" s="21" t="inlineStr">
        <is>
          <t>1회</t>
        </is>
      </c>
      <c r="H6" s="21" t="inlineStr">
        <is>
          <t>부가세 별도 여부 확인</t>
        </is>
      </c>
      <c r="I6" s="21" t="inlineStr">
        <is>
          <t>견적 필요</t>
        </is>
      </c>
      <c r="J6" s="21" t="inlineStr">
        <is>
          <t>아니오</t>
        </is>
      </c>
      <c r="K6" s="21" t="inlineStr">
        <is>
          <t>2026-10-06</t>
        </is>
      </c>
      <c r="L6" s="21" t="inlineStr">
        <is>
          <t>-</t>
        </is>
      </c>
      <c r="M6" s="39">
        <f>IF(AND(ISNUMBER(E6),ISNUMBER(F6)),E6*F6,"")</f>
      </c>
      <c r="N6" s="21" t="str">
        <f>IF(M6="","견적 필요","산출")</f>
        <v>견적 필요</v>
      </c>
    </row>
    <row r="7">
      <c r="A7" s="21" t="inlineStr">
        <is>
          <t>CST-002</t>
        </is>
      </c>
      <c r="B7" s="16" t="inlineStr">
        <is>
          <t>법무·현지 전문가 검토 (등록·허가 의견)</t>
        </is>
      </c>
      <c r="C7" s="21" t="inlineStr">
        <is>
          <t>초기</t>
        </is>
      </c>
      <c r="D7" s="21" t="inlineStr">
        <is>
          <t>B</t>
        </is>
      </c>
      <c r="E7" s="39" t="n"/>
      <c r="F7" s="21" t="n">
        <v>1</v>
      </c>
      <c r="G7" s="21" t="inlineStr">
        <is>
          <t>1회</t>
        </is>
      </c>
      <c r="H7" s="21" t="inlineStr">
        <is>
          <t>-</t>
        </is>
      </c>
      <c r="I7" s="21" t="inlineStr">
        <is>
          <t>견적 필요</t>
        </is>
      </c>
      <c r="J7" s="21" t="inlineStr">
        <is>
          <t>아니오</t>
        </is>
      </c>
      <c r="K7" s="21" t="inlineStr">
        <is>
          <t>2026-10-06</t>
        </is>
      </c>
      <c r="L7" s="21" t="inlineStr">
        <is>
          <t>-</t>
        </is>
      </c>
      <c r="M7" s="39">
        <f>IF(AND(ISNUMBER(E7),ISNUMBER(F7)),E7*F7,"")</f>
      </c>
      <c r="N7" s="21" t="str">
        <f>IF(M7="","견적 필요","산출")</f>
        <v>견적 필요</v>
      </c>
    </row>
    <row r="8">
      <c r="A8" s="21" t="inlineStr">
        <is>
          <t>CST-003</t>
        </is>
      </c>
      <c r="B8" s="16" t="inlineStr">
        <is>
          <t>신규화학물질 등록 (시험·대행)</t>
        </is>
      </c>
      <c r="C8" s="21" t="inlineStr">
        <is>
          <t>초기</t>
        </is>
      </c>
      <c r="D8" s="21" t="inlineStr">
        <is>
          <t>B</t>
        </is>
      </c>
      <c r="E8" s="39" t="n"/>
      <c r="F8" s="21" t="n">
        <v>3</v>
      </c>
      <c r="G8" s="21" t="inlineStr">
        <is>
          <t>물질별</t>
        </is>
      </c>
      <c r="H8" s="21" t="inlineStr">
        <is>
          <t>-</t>
        </is>
      </c>
      <c r="I8" s="21" t="inlineStr">
        <is>
          <t>견적 필요</t>
        </is>
      </c>
      <c r="J8" s="21" t="inlineStr">
        <is>
          <t>아니오</t>
        </is>
      </c>
      <c r="K8" s="21" t="inlineStr">
        <is>
          <t>2026-10-06</t>
        </is>
      </c>
      <c r="L8" s="21" t="inlineStr">
        <is>
          <t>EVD-006</t>
        </is>
      </c>
      <c r="M8" s="39">
        <f>IF(AND(ISNUMBER(E8),ISNUMBER(F8)),E8*F8,"")</f>
      </c>
      <c r="N8" s="21" t="str">
        <f>IF(M8="","견적 필요","산출")</f>
        <v>견적 필요</v>
      </c>
    </row>
    <row r="9">
      <c r="A9" s="21" t="inlineStr">
        <is>
          <t>CST-004</t>
        </is>
      </c>
      <c r="B9" s="16" t="inlineStr">
        <is>
          <t>위험성 분류 감정·위험화학품 등록</t>
        </is>
      </c>
      <c r="C9" s="21" t="inlineStr">
        <is>
          <t>초기</t>
        </is>
      </c>
      <c r="D9" s="21" t="inlineStr">
        <is>
          <t>B</t>
        </is>
      </c>
      <c r="E9" s="39" t="n"/>
      <c r="F9" s="21" t="n">
        <v>3</v>
      </c>
      <c r="G9" s="21" t="inlineStr">
        <is>
          <t>물질별</t>
        </is>
      </c>
      <c r="H9" s="21" t="inlineStr">
        <is>
          <t>-</t>
        </is>
      </c>
      <c r="I9" s="21" t="inlineStr">
        <is>
          <t>견적 필요</t>
        </is>
      </c>
      <c r="J9" s="21" t="inlineStr">
        <is>
          <t>아니오</t>
        </is>
      </c>
      <c r="K9" s="21" t="inlineStr">
        <is>
          <t>2026-10-06</t>
        </is>
      </c>
      <c r="L9" s="21" t="inlineStr">
        <is>
          <t>EVD-018</t>
        </is>
      </c>
      <c r="M9" s="39">
        <f>IF(AND(ISNUMBER(E9),ISNUMBER(F9)),E9*F9,"")</f>
      </c>
      <c r="N9" s="21" t="str">
        <f>IF(M9="","견적 필요","산출")</f>
        <v>견적 필요</v>
      </c>
    </row>
    <row r="10">
      <c r="A10" s="21" t="inlineStr">
        <is>
          <t>CST-005</t>
        </is>
      </c>
      <c r="B10" s="16" t="inlineStr">
        <is>
          <t>안전관리자·책임자 교육·시험</t>
        </is>
      </c>
      <c r="C10" s="21" t="inlineStr">
        <is>
          <t>초기</t>
        </is>
      </c>
      <c r="D10" s="21" t="inlineStr">
        <is>
          <t>B</t>
        </is>
      </c>
      <c r="E10" s="39" t="n"/>
      <c r="F10" s="21" t="n">
        <v>2</v>
      </c>
      <c r="G10" s="21" t="inlineStr">
        <is>
          <t>인</t>
        </is>
      </c>
      <c r="H10" s="21" t="inlineStr">
        <is>
          <t>-</t>
        </is>
      </c>
      <c r="I10" s="21" t="inlineStr">
        <is>
          <t>견적 필요</t>
        </is>
      </c>
      <c r="J10" s="21" t="inlineStr">
        <is>
          <t>아니오</t>
        </is>
      </c>
      <c r="K10" s="21" t="inlineStr">
        <is>
          <t>2026-10-06</t>
        </is>
      </c>
      <c r="L10" s="21" t="inlineStr">
        <is>
          <t>EVD-012</t>
        </is>
      </c>
      <c r="M10" s="39">
        <f>IF(AND(ISNUMBER(E10),ISNUMBER(F10)),E10*F10,"")</f>
      </c>
      <c r="N10" s="21" t="str">
        <f>IF(M10="","견적 필요","산출")</f>
        <v>견적 필요</v>
      </c>
    </row>
    <row r="11">
      <c r="A11" s="21" t="inlineStr">
        <is>
          <t>CST-006</t>
        </is>
      </c>
      <c r="B11" s="16" t="inlineStr">
        <is>
          <t>사무실 보증금</t>
        </is>
      </c>
      <c r="C11" s="21" t="inlineStr">
        <is>
          <t>보증금</t>
        </is>
      </c>
      <c r="D11" s="21" t="inlineStr">
        <is>
          <t>B</t>
        </is>
      </c>
      <c r="E11" s="39">
        <f>IF(ISNUMBER(OFFICE_RENT),OFFICE_RENT*OFFICE_SQM*DEP_MONTHS,"")</f>
      </c>
      <c r="F11" s="21" t="n">
        <v>1</v>
      </c>
      <c r="G11" s="21" t="inlineStr">
        <is>
          <t>1회</t>
        </is>
      </c>
      <c r="H11" s="21" t="inlineStr">
        <is>
          <t>-</t>
        </is>
      </c>
      <c r="I11" s="34" t="inlineStr">
        <is>
          <t>분석 가정</t>
        </is>
      </c>
      <c r="J11" s="21" t="inlineStr">
        <is>
          <t>예</t>
        </is>
      </c>
      <c r="K11" s="21" t="inlineStr">
        <is>
          <t>2026-10-06</t>
        </is>
      </c>
      <c r="L11" s="21" t="inlineStr">
        <is>
          <t>ASM-008</t>
        </is>
      </c>
      <c r="M11" s="39">
        <f>IF(AND(ISNUMBER(E11),ISNUMBER(F11)),E11*F11,"")</f>
      </c>
      <c r="N11" s="21" t="str">
        <f>IF(M11="","견적 필요","산출")</f>
        <v>견적 필요</v>
      </c>
    </row>
    <row r="12">
      <c r="A12" s="21" t="inlineStr">
        <is>
          <t>CST-007</t>
        </is>
      </c>
      <c r="B12" s="16" t="inlineStr">
        <is>
          <t>사무 집기·IT·시스템</t>
        </is>
      </c>
      <c r="C12" s="21" t="inlineStr">
        <is>
          <t>초기</t>
        </is>
      </c>
      <c r="D12" s="21" t="inlineStr">
        <is>
          <t>B</t>
        </is>
      </c>
      <c r="E12" s="39" t="n"/>
      <c r="F12" s="21" t="n">
        <v>1</v>
      </c>
      <c r="G12" s="21" t="inlineStr">
        <is>
          <t>1회</t>
        </is>
      </c>
      <c r="H12" s="21" t="inlineStr">
        <is>
          <t>-</t>
        </is>
      </c>
      <c r="I12" s="21" t="inlineStr">
        <is>
          <t>견적 필요</t>
        </is>
      </c>
      <c r="J12" s="21" t="inlineStr">
        <is>
          <t>아니오</t>
        </is>
      </c>
      <c r="K12" s="21" t="inlineStr">
        <is>
          <t>2026-10-06</t>
        </is>
      </c>
      <c r="L12" s="21" t="inlineStr">
        <is>
          <t>-</t>
        </is>
      </c>
      <c r="M12" s="39">
        <f>IF(AND(ISNUMBER(E12),ISNUMBER(F12)),E12*F12,"")</f>
      </c>
      <c r="N12" s="21" t="str">
        <f>IF(M12="","견적 필요","산출")</f>
        <v>견적 필요</v>
      </c>
    </row>
    <row r="13">
      <c r="A13" s="21" t="inlineStr">
        <is>
          <t>CST-008</t>
        </is>
      </c>
      <c r="B13" s="16" t="inlineStr">
        <is>
          <t>현지 직원 인건비 (기본급×배수×(1+부담률))</t>
        </is>
      </c>
      <c r="C13" s="21" t="inlineStr">
        <is>
          <t>연간</t>
        </is>
      </c>
      <c r="D13" s="21" t="inlineStr">
        <is>
          <t>B</t>
        </is>
      </c>
      <c r="E13" s="39">
        <f>BASE_WAGE*WAGE_MULT*(1+ER_RATE)</f>
        <v>238614.66</v>
      </c>
      <c r="F13" s="21">
        <f>LOCAL_HC</f>
        <v>3</v>
      </c>
      <c r="G13" s="21" t="inlineStr">
        <is>
          <t>년</t>
        </is>
      </c>
      <c r="H13" s="21" t="inlineStr">
        <is>
          <t>세전</t>
        </is>
      </c>
      <c r="I13" s="21" t="inlineStr">
        <is>
          <t>공개 통계+가정</t>
        </is>
      </c>
      <c r="J13" s="21" t="inlineStr">
        <is>
          <t>-</t>
        </is>
      </c>
      <c r="K13" s="21" t="inlineStr">
        <is>
          <t>2026-10-06</t>
        </is>
      </c>
      <c r="L13" s="21" t="inlineStr">
        <is>
          <t>ASM-002~005</t>
        </is>
      </c>
      <c r="M13" s="39">
        <f>IF(AND(ISNUMBER(E13),ISNUMBER(F13)),E13*F13,"")</f>
        <v>715843.98</v>
      </c>
      <c r="N13" s="21" t="str">
        <f>IF(M13="","공개 통계+가정","산출")</f>
        <v>산출</v>
      </c>
    </row>
    <row r="14">
      <c r="A14" s="21" t="inlineStr">
        <is>
          <t>CST-009</t>
        </is>
      </c>
      <c r="B14" s="16" t="inlineStr">
        <is>
          <t>사무실 임대료</t>
        </is>
      </c>
      <c r="C14" s="21" t="inlineStr">
        <is>
          <t>연간</t>
        </is>
      </c>
      <c r="D14" s="21" t="inlineStr">
        <is>
          <t>B</t>
        </is>
      </c>
      <c r="E14" s="39">
        <f>IF(ISNUMBER(OFFICE_RENT),OFFICE_RENT*OFFICE_SQM*12,"")</f>
      </c>
      <c r="F14" s="21" t="n">
        <v>1</v>
      </c>
      <c r="G14" s="21" t="inlineStr">
        <is>
          <t>년</t>
        </is>
      </c>
      <c r="H14" s="21" t="inlineStr">
        <is>
          <t>부가세 확인</t>
        </is>
      </c>
      <c r="I14" s="21" t="inlineStr">
        <is>
          <t>견적 필요</t>
        </is>
      </c>
      <c r="J14" s="21" t="inlineStr">
        <is>
          <t>-</t>
        </is>
      </c>
      <c r="K14" s="21" t="inlineStr">
        <is>
          <t>2026-10-06</t>
        </is>
      </c>
      <c r="L14" s="21" t="inlineStr">
        <is>
          <t>ASM-006, ASM-007</t>
        </is>
      </c>
      <c r="M14" s="39">
        <f>IF(AND(ISNUMBER(E14),ISNUMBER(F14)),E14*F14,"")</f>
      </c>
      <c r="N14" s="21" t="str">
        <f>IF(M14="","견적 필요","산출")</f>
        <v>견적 필요</v>
      </c>
    </row>
    <row r="15">
      <c r="A15" s="21" t="inlineStr">
        <is>
          <t>CST-010</t>
        </is>
      </c>
      <c r="B15" s="16" t="inlineStr">
        <is>
          <t>회계·세무·감사 대행</t>
        </is>
      </c>
      <c r="C15" s="21" t="inlineStr">
        <is>
          <t>연간</t>
        </is>
      </c>
      <c r="D15" s="21" t="inlineStr">
        <is>
          <t>B</t>
        </is>
      </c>
      <c r="E15" s="39" t="n"/>
      <c r="F15" s="21" t="n">
        <v>1</v>
      </c>
      <c r="G15" s="21" t="inlineStr">
        <is>
          <t>년</t>
        </is>
      </c>
      <c r="H15" s="21" t="inlineStr">
        <is>
          <t>-</t>
        </is>
      </c>
      <c r="I15" s="21" t="inlineStr">
        <is>
          <t>견적 필요</t>
        </is>
      </c>
      <c r="J15" s="21" t="inlineStr">
        <is>
          <t>-</t>
        </is>
      </c>
      <c r="K15" s="21" t="inlineStr">
        <is>
          <t>2026-10-06</t>
        </is>
      </c>
      <c r="L15" s="21" t="inlineStr">
        <is>
          <t>-</t>
        </is>
      </c>
      <c r="M15" s="39">
        <f>IF(AND(ISNUMBER(E15),ISNUMBER(F15)),E15*F15,"")</f>
      </c>
      <c r="N15" s="21" t="str">
        <f>IF(M15="","견적 필요","산출")</f>
        <v>견적 필요</v>
      </c>
    </row>
    <row r="16">
      <c r="A16" s="21" t="inlineStr">
        <is>
          <t>CST-011</t>
        </is>
      </c>
      <c r="B16" s="16" t="inlineStr">
        <is>
          <t>3PL 위험품 보관·입출고</t>
        </is>
      </c>
      <c r="C16" s="21" t="inlineStr">
        <is>
          <t>변동</t>
        </is>
      </c>
      <c r="D16" s="21" t="inlineStr">
        <is>
          <t>B</t>
        </is>
      </c>
      <c r="E16" s="39" t="n"/>
      <c r="F16" s="21" t="n">
        <v>12</v>
      </c>
      <c r="G16" s="21" t="inlineStr">
        <is>
          <t>월</t>
        </is>
      </c>
      <c r="H16" s="21" t="inlineStr">
        <is>
          <t>-</t>
        </is>
      </c>
      <c r="I16" s="21" t="inlineStr">
        <is>
          <t>견적 필요</t>
        </is>
      </c>
      <c r="J16" s="21" t="inlineStr">
        <is>
          <t>-</t>
        </is>
      </c>
      <c r="K16" s="21" t="inlineStr">
        <is>
          <t>2026-10-06</t>
        </is>
      </c>
      <c r="L16" s="21" t="inlineStr">
        <is>
          <t>SITE-001~005</t>
        </is>
      </c>
      <c r="M16" s="39">
        <f>IF(AND(ISNUMBER(E16),ISNUMBER(F16)),E16*F16,"")</f>
      </c>
      <c r="N16" s="21" t="str">
        <f>IF(M16="","견적 필요","산출")</f>
        <v>견적 필요</v>
      </c>
    </row>
    <row r="17">
      <c r="A17" s="21" t="inlineStr">
        <is>
          <t>CST-012</t>
        </is>
      </c>
      <c r="B17" s="16" t="inlineStr">
        <is>
          <t>위험물 운송 (항만→창고→고객)</t>
        </is>
      </c>
      <c r="C17" s="21" t="inlineStr">
        <is>
          <t>변동</t>
        </is>
      </c>
      <c r="D17" s="21" t="inlineStr">
        <is>
          <t>B</t>
        </is>
      </c>
      <c r="E17" s="39" t="n"/>
      <c r="F17" s="21" t="n">
        <v>12</v>
      </c>
      <c r="G17" s="21" t="inlineStr">
        <is>
          <t>월</t>
        </is>
      </c>
      <c r="H17" s="21" t="inlineStr">
        <is>
          <t>-</t>
        </is>
      </c>
      <c r="I17" s="21" t="inlineStr">
        <is>
          <t>견적 필요</t>
        </is>
      </c>
      <c r="J17" s="21" t="inlineStr">
        <is>
          <t>-</t>
        </is>
      </c>
      <c r="K17" s="21" t="inlineStr">
        <is>
          <t>2026-10-06</t>
        </is>
      </c>
      <c r="L17" s="21" t="inlineStr">
        <is>
          <t>-</t>
        </is>
      </c>
      <c r="M17" s="39">
        <f>IF(AND(ISNUMBER(E17),ISNUMBER(F17)),E17*F17,"")</f>
      </c>
      <c r="N17" s="21" t="str">
        <f>IF(M17="","견적 필요","산출")</f>
        <v>견적 필요</v>
      </c>
    </row>
    <row r="18">
      <c r="A18" s="21" t="inlineStr">
        <is>
          <t>CST-013</t>
        </is>
      </c>
      <c r="B18" s="16" t="inlineStr">
        <is>
          <t>보험 (제품책임·화물·환경)</t>
        </is>
      </c>
      <c r="C18" s="21" t="inlineStr">
        <is>
          <t>연간</t>
        </is>
      </c>
      <c r="D18" s="21" t="inlineStr">
        <is>
          <t>B</t>
        </is>
      </c>
      <c r="E18" s="39" t="n"/>
      <c r="F18" s="21" t="n">
        <v>1</v>
      </c>
      <c r="G18" s="21" t="inlineStr">
        <is>
          <t>년</t>
        </is>
      </c>
      <c r="H18" s="21" t="inlineStr">
        <is>
          <t>-</t>
        </is>
      </c>
      <c r="I18" s="21" t="inlineStr">
        <is>
          <t>견적 필요</t>
        </is>
      </c>
      <c r="J18" s="21" t="inlineStr">
        <is>
          <t>-</t>
        </is>
      </c>
      <c r="K18" s="21" t="inlineStr">
        <is>
          <t>2026-10-06</t>
        </is>
      </c>
      <c r="L18" s="21" t="inlineStr">
        <is>
          <t>-</t>
        </is>
      </c>
      <c r="M18" s="39">
        <f>IF(AND(ISNUMBER(E18),ISNUMBER(F18)),E18*F18,"")</f>
      </c>
      <c r="N18" s="21" t="str">
        <f>IF(M18="","견적 필요","산출")</f>
        <v>견적 필요</v>
      </c>
    </row>
    <row r="19">
      <c r="A19" s="21" t="inlineStr">
        <is>
          <t>CST-014</t>
        </is>
      </c>
      <c r="B19" s="16" t="inlineStr">
        <is>
          <t>허가 유지·교육·응급훈련</t>
        </is>
      </c>
      <c r="C19" s="21" t="inlineStr">
        <is>
          <t>연간</t>
        </is>
      </c>
      <c r="D19" s="21" t="inlineStr">
        <is>
          <t>B</t>
        </is>
      </c>
      <c r="E19" s="39" t="n"/>
      <c r="F19" s="21" t="n">
        <v>1</v>
      </c>
      <c r="G19" s="21" t="inlineStr">
        <is>
          <t>년</t>
        </is>
      </c>
      <c r="H19" s="21" t="inlineStr">
        <is>
          <t>-</t>
        </is>
      </c>
      <c r="I19" s="21" t="inlineStr">
        <is>
          <t>견적 필요</t>
        </is>
      </c>
      <c r="J19" s="21" t="inlineStr">
        <is>
          <t>-</t>
        </is>
      </c>
      <c r="K19" s="21" t="inlineStr">
        <is>
          <t>2026-10-06</t>
        </is>
      </c>
      <c r="L19" s="21" t="inlineStr">
        <is>
          <t>EVD-017</t>
        </is>
      </c>
      <c r="M19" s="39">
        <f>IF(AND(ISNUMBER(E19),ISNUMBER(F19)),E19*F19,"")</f>
      </c>
      <c r="N19" s="21" t="str">
        <f>IF(M19="","견적 필요","산출")</f>
        <v>견적 필요</v>
      </c>
    </row>
    <row r="20">
      <c r="A20" s="21" t="inlineStr">
        <is>
          <t>CST-015</t>
        </is>
      </c>
      <c r="B20" s="16" t="inlineStr">
        <is>
          <t>현지 재고 운전자본 (판매액×재고일/30)</t>
        </is>
      </c>
      <c r="C20" s="21" t="inlineStr">
        <is>
          <t>운전자본</t>
        </is>
      </c>
      <c r="D20" s="21" t="inlineStr">
        <is>
          <t>B</t>
        </is>
      </c>
      <c r="E20" s="39">
        <f>IF(ISNUMBER(MONTHLY_SALES),MONTHLY_SALES*INV_DAYS/30,"")</f>
      </c>
      <c r="F20" s="21" t="n">
        <v>1</v>
      </c>
      <c r="G20" s="21" t="inlineStr">
        <is>
          <t>-</t>
        </is>
      </c>
      <c r="H20" s="21" t="inlineStr">
        <is>
          <t>-</t>
        </is>
      </c>
      <c r="I20" s="21" t="inlineStr">
        <is>
          <t>판매액 미제공</t>
        </is>
      </c>
      <c r="J20" s="21" t="inlineStr">
        <is>
          <t>-</t>
        </is>
      </c>
      <c r="K20" s="21" t="inlineStr">
        <is>
          <t>2026-10-06</t>
        </is>
      </c>
      <c r="L20" s="21" t="inlineStr">
        <is>
          <t>ASM-009, ASM-010</t>
        </is>
      </c>
      <c r="M20" s="39">
        <f>IF(AND(ISNUMBER(E20),ISNUMBER(F20)),E20*F20,"")</f>
      </c>
      <c r="N20" s="21" t="str">
        <f>IF(M20="","판매액 미제공","산출")</f>
        <v>판매액 미제공</v>
      </c>
    </row>
    <row r="21">
      <c r="A21" s="21" t="inlineStr">
        <is>
          <t>CST-016</t>
        </is>
      </c>
      <c r="B21" s="16" t="inlineStr">
        <is>
          <t>주재원 비용 (법인장)</t>
        </is>
      </c>
      <c r="C21" s="21" t="inlineStr">
        <is>
          <t>연간</t>
        </is>
      </c>
      <c r="D21" s="21" t="inlineStr">
        <is>
          <t>B</t>
        </is>
      </c>
      <c r="E21" s="39" t="n"/>
      <c r="F21" s="21" t="n">
        <v>1</v>
      </c>
      <c r="G21" s="21" t="inlineStr">
        <is>
          <t>년</t>
        </is>
      </c>
      <c r="H21" s="21" t="inlineStr">
        <is>
          <t>-</t>
        </is>
      </c>
      <c r="I21" s="21" t="inlineStr">
        <is>
          <t>내부 확인 (본사/법인 부담)</t>
        </is>
      </c>
      <c r="J21" s="21" t="inlineStr">
        <is>
          <t>-</t>
        </is>
      </c>
      <c r="K21" s="21" t="inlineStr">
        <is>
          <t>2026-10-06</t>
        </is>
      </c>
      <c r="L21" s="21" t="inlineStr">
        <is>
          <t>-</t>
        </is>
      </c>
      <c r="M21" s="39">
        <f>IF(AND(ISNUMBER(E21),ISNUMBER(F21)),E21*F21,"")</f>
      </c>
      <c r="N21" s="21" t="str">
        <f>IF(M21="","내부 확인 (본사/법인 부담)","산출")</f>
        <v>내부 확인 (본사/법인 부담)</v>
      </c>
    </row>
    <row r="22">
      <c r="A22" s="21" t="inlineStr">
        <is>
          <t>CST-017</t>
        </is>
      </c>
      <c r="B22" s="16" t="inlineStr">
        <is>
          <t>임차 전용 창고 임대·안전 설비</t>
        </is>
      </c>
      <c r="C22" s="21" t="inlineStr">
        <is>
          <t>연간</t>
        </is>
      </c>
      <c r="D22" s="21" t="inlineStr">
        <is>
          <t>C</t>
        </is>
      </c>
      <c r="E22" s="39" t="n"/>
      <c r="F22" s="21" t="n">
        <v>1</v>
      </c>
      <c r="G22" s="21" t="inlineStr">
        <is>
          <t>년</t>
        </is>
      </c>
      <c r="H22" s="21" t="inlineStr">
        <is>
          <t>-</t>
        </is>
      </c>
      <c r="I22" s="21" t="inlineStr">
        <is>
          <t>견적 필요</t>
        </is>
      </c>
      <c r="J22" s="21" t="inlineStr">
        <is>
          <t>-</t>
        </is>
      </c>
      <c r="K22" s="21" t="inlineStr">
        <is>
          <t>2026-10-06</t>
        </is>
      </c>
      <c r="L22" s="21" t="inlineStr">
        <is>
          <t>-</t>
        </is>
      </c>
      <c r="M22" s="39">
        <f>IF(AND(ISNUMBER(E22),ISNUMBER(F22)),E22*F22,"")</f>
      </c>
      <c r="N22" s="21" t="str">
        <f>IF(M22="","견적 필요","산출")</f>
        <v>견적 필요</v>
      </c>
    </row>
    <row r="23">
      <c r="A23" s="21" t="inlineStr">
        <is>
          <t>CST-018</t>
        </is>
      </c>
      <c r="B23" s="16" t="inlineStr">
        <is>
          <t>자체 창고 토지·건설·소방·안전평가</t>
        </is>
      </c>
      <c r="C23" s="21" t="inlineStr">
        <is>
          <t>초기</t>
        </is>
      </c>
      <c r="D23" s="21" t="inlineStr">
        <is>
          <t>D</t>
        </is>
      </c>
      <c r="E23" s="39" t="n"/>
      <c r="F23" s="21" t="n">
        <v>1</v>
      </c>
      <c r="G23" s="21" t="inlineStr">
        <is>
          <t>1회</t>
        </is>
      </c>
      <c r="H23" s="21" t="inlineStr">
        <is>
          <t>-</t>
        </is>
      </c>
      <c r="I23" s="21" t="inlineStr">
        <is>
          <t>견적 필요</t>
        </is>
      </c>
      <c r="J23" s="21" t="inlineStr">
        <is>
          <t>-</t>
        </is>
      </c>
      <c r="K23" s="21" t="inlineStr">
        <is>
          <t>2026-10-06</t>
        </is>
      </c>
      <c r="L23" s="21" t="inlineStr">
        <is>
          <t>-</t>
        </is>
      </c>
      <c r="M23" s="39">
        <f>IF(AND(ISNUMBER(E23),ISNUMBER(F23)),E23*F23,"")</f>
      </c>
      <c r="N23" s="21" t="str">
        <f>IF(M23="","견적 필요","산출")</f>
        <v>견적 필요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tabColor rgb="0070AD47"/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20" customWidth="1" min="3" max="3"/>
    <col width="14" customWidth="1" min="4" max="4"/>
    <col width="26" customWidth="1" min="5" max="5"/>
    <col width="14" customWidth="1" min="6" max="6"/>
    <col width="50" customWidth="1" min="7" max="7"/>
  </cols>
  <sheetData>
    <row r="1">
      <c r="A1" s="1" t="inlineStr">
        <is>
          <t>15_CostModel | 구조별 비용 합계 (B안 최소 구조 기준)</t>
        </is>
      </c>
    </row>
    <row r="2">
      <c r="A2" s="2" t="inlineStr">
        <is>
          <t>확인 가능 금액만 합산하고 빈칸 수를 함께 표시 — 부분합을 전체 예산으로 읽지 말 것</t>
        </is>
      </c>
    </row>
    <row r="3">
      <c r="A3" s="3" t="inlineStr">
        <is>
          <t>조사 기준일 2026-10-06 · 단위·상태는 각 열 머리글 참조</t>
        </is>
      </c>
    </row>
    <row r="5">
      <c r="A5" s="40" t="inlineStr">
        <is>
          <t>구분</t>
        </is>
      </c>
      <c r="B5" s="40" t="inlineStr">
        <is>
          <t>유형 키</t>
        </is>
      </c>
      <c r="C5" s="40" t="inlineStr">
        <is>
          <t>확인 가능 합계(CNY)</t>
        </is>
      </c>
      <c r="D5" s="40" t="inlineStr">
        <is>
          <t>견적 필요 건수</t>
        </is>
      </c>
      <c r="E5" s="40" t="inlineStr">
        <is>
          <t>산출 상태</t>
        </is>
      </c>
      <c r="F5" s="40" t="inlineStr">
        <is>
          <t>KRW 환산(백만원)</t>
        </is>
      </c>
      <c r="G5" s="40" t="inlineStr">
        <is>
          <t>비고</t>
        </is>
      </c>
    </row>
    <row r="6">
      <c r="A6" s="41" t="inlineStr">
        <is>
          <t>초기 일회성 비용</t>
        </is>
      </c>
      <c r="B6" s="41" t="inlineStr">
        <is>
          <t>초기</t>
        </is>
      </c>
      <c r="C6" s="42" t="str">
        <f>IF(COUNTIFS('14_CostsRaw'!$C$6:$C$23,B6,'14_CostsRaw'!$D$6:$D$23,"B")=D6,"확인분 없음",SUMIFS('14_CostsRaw'!$M$6:$M$23,'14_CostsRaw'!$C$6:$C$23,B6,'14_CostsRaw'!$D$6:$D$23,"B"))</f>
        <v>확인분 없음</v>
      </c>
      <c r="D6" s="41">
        <f>COUNTIFS('14_CostsRaw'!$C$6:$C$23,B6,'14_CostsRaw'!$D$6:$D$23,"B",'14_CostsRaw'!$M$6:$M$23,"")</f>
        <v>6</v>
      </c>
      <c r="E6" s="41" t="str">
        <f>IF(D6&gt;0,"미완성(견적 "&amp;D6&amp;"건)","완성")</f>
        <v>미완성(견적 6건)</v>
      </c>
      <c r="F6" s="43" t="str">
        <f>IF(ISNUMBER(C6),C6*FX_KRW/1000000,"-")</f>
        <v>-</v>
      </c>
      <c r="G6" s="41" t="inlineStr">
        <is>
          <t>보증금·재고 제외</t>
        </is>
      </c>
    </row>
    <row r="7">
      <c r="A7" s="41" t="inlineStr">
        <is>
          <t>보증금 (회수 가능)</t>
        </is>
      </c>
      <c r="B7" s="41" t="inlineStr">
        <is>
          <t>보증금</t>
        </is>
      </c>
      <c r="C7" s="42" t="str">
        <f>IF(COUNTIFS('14_CostsRaw'!$C$6:$C$23,B7,'14_CostsRaw'!$D$6:$D$23,"B")=D7,"확인분 없음",SUMIFS('14_CostsRaw'!$M$6:$M$23,'14_CostsRaw'!$C$6:$C$23,B7,'14_CostsRaw'!$D$6:$D$23,"B"))</f>
        <v>확인분 없음</v>
      </c>
      <c r="D7" s="41">
        <f>COUNTIFS('14_CostsRaw'!$C$6:$C$23,B7,'14_CostsRaw'!$D$6:$D$23,"B",'14_CostsRaw'!$M$6:$M$23,"")</f>
        <v>1</v>
      </c>
      <c r="E7" s="41" t="str">
        <f>IF(D7&gt;0,"미완성(견적 "&amp;D7&amp;"건)","완성")</f>
        <v>미완성(견적 1건)</v>
      </c>
      <c r="F7" s="43" t="str">
        <f>IF(ISNUMBER(C7),C7*FX_KRW/1000000,"-")</f>
        <v>-</v>
      </c>
      <c r="G7" s="41" t="inlineStr">
        <is>
          <t>현금 지출이나 회수 가능</t>
        </is>
      </c>
    </row>
    <row r="8">
      <c r="A8" s="41" t="inlineStr">
        <is>
          <t>연간 고정비</t>
        </is>
      </c>
      <c r="B8" s="41" t="inlineStr">
        <is>
          <t>연간</t>
        </is>
      </c>
      <c r="C8" s="42">
        <f>IF(COUNTIFS('14_CostsRaw'!$C$6:$C$23,B8,'14_CostsRaw'!$D$6:$D$23,"B")=D8,"확인분 없음",SUMIFS('14_CostsRaw'!$M$6:$M$23,'14_CostsRaw'!$C$6:$C$23,B8,'14_CostsRaw'!$D$6:$D$23,"B"))</f>
        <v>715843.98</v>
      </c>
      <c r="D8" s="41">
        <f>COUNTIFS('14_CostsRaw'!$C$6:$C$23,B8,'14_CostsRaw'!$D$6:$D$23,"B",'14_CostsRaw'!$M$6:$M$23,"")</f>
        <v>5</v>
      </c>
      <c r="E8" s="41" t="str">
        <f>IF(D8&gt;0,"미완성(견적 "&amp;D8&amp;"건)","완성")</f>
        <v>미완성(견적 5건)</v>
      </c>
      <c r="F8" s="43">
        <f>IF(ISNUMBER(C8),C8*FX_KRW/1000000,"-")</f>
        <v>146.03217192</v>
      </c>
      <c r="G8" s="41" t="inlineStr">
        <is>
          <t>인건비·임대·회계 등</t>
        </is>
      </c>
    </row>
    <row r="9">
      <c r="A9" s="41" t="inlineStr">
        <is>
          <t>물량 연동 변동비 (연)</t>
        </is>
      </c>
      <c r="B9" s="41" t="inlineStr">
        <is>
          <t>변동</t>
        </is>
      </c>
      <c r="C9" s="42" t="str">
        <f>IF(COUNTIFS('14_CostsRaw'!$C$6:$C$23,B9,'14_CostsRaw'!$D$6:$D$23,"B")=D9,"확인분 없음",SUMIFS('14_CostsRaw'!$M$6:$M$23,'14_CostsRaw'!$C$6:$C$23,B9,'14_CostsRaw'!$D$6:$D$23,"B"))</f>
        <v>확인분 없음</v>
      </c>
      <c r="D9" s="41">
        <f>COUNTIFS('14_CostsRaw'!$C$6:$C$23,B9,'14_CostsRaw'!$D$6:$D$23,"B",'14_CostsRaw'!$M$6:$M$23,"")</f>
        <v>2</v>
      </c>
      <c r="E9" s="41" t="str">
        <f>IF(D9&gt;0,"미완성(견적 "&amp;D9&amp;"건)","완성")</f>
        <v>미완성(견적 2건)</v>
      </c>
      <c r="F9" s="43" t="str">
        <f>IF(ISNUMBER(C9),C9*FX_KRW/1000000,"-")</f>
        <v>-</v>
      </c>
      <c r="G9" s="41" t="inlineStr">
        <is>
          <t>3PL·운송 — 물량 미제공</t>
        </is>
      </c>
    </row>
    <row r="10">
      <c r="A10" s="41" t="inlineStr">
        <is>
          <t>운전자본 (재고)</t>
        </is>
      </c>
      <c r="B10" s="41" t="inlineStr">
        <is>
          <t>운전자본</t>
        </is>
      </c>
      <c r="C10" s="42" t="str">
        <f>IF(COUNTIFS('14_CostsRaw'!$C$6:$C$23,B10,'14_CostsRaw'!$D$6:$D$23,"B")=D10,"확인분 없음",SUMIFS('14_CostsRaw'!$M$6:$M$23,'14_CostsRaw'!$C$6:$C$23,B10,'14_CostsRaw'!$D$6:$D$23,"B"))</f>
        <v>확인분 없음</v>
      </c>
      <c r="D10" s="41">
        <f>COUNTIFS('14_CostsRaw'!$C$6:$C$23,B10,'14_CostsRaw'!$D$6:$D$23,"B",'14_CostsRaw'!$M$6:$M$23,"")</f>
        <v>1</v>
      </c>
      <c r="E10" s="41" t="str">
        <f>IF(D10&gt;0,"미완성(견적 "&amp;D10&amp;"건)","완성")</f>
        <v>미완성(견적 1건)</v>
      </c>
      <c r="F10" s="43" t="str">
        <f>IF(ISNUMBER(C10),C10*FX_KRW/1000000,"-")</f>
        <v>-</v>
      </c>
      <c r="G10" s="41" t="inlineStr">
        <is>
          <t>판매액 미제공</t>
        </is>
      </c>
    </row>
    <row r="12">
      <c r="A12" s="6" t="inlineStr">
        <is>
          <t>인건비 시나리오 (1인당 연 인건비 × 인원)</t>
        </is>
      </c>
    </row>
    <row r="13">
      <c r="A13" s="15" t="inlineStr">
        <is>
          <t>시나리오</t>
        </is>
      </c>
      <c r="B13" s="15" t="inlineStr">
        <is>
          <t>현지 인원</t>
        </is>
      </c>
      <c r="C13" s="15" t="inlineStr">
        <is>
          <t>1인당 연 인건비(CNY)</t>
        </is>
      </c>
      <c r="D13" s="15" t="inlineStr">
        <is>
          <t>연 인건비(CNY)</t>
        </is>
      </c>
      <c r="E13" s="15" t="inlineStr">
        <is>
          <t>KRW(백만원)</t>
        </is>
      </c>
      <c r="F13" s="15" t="inlineStr">
        <is>
          <t>구성</t>
        </is>
      </c>
      <c r="G13" s="15" t="inlineStr">
        <is>
          <t>상태</t>
        </is>
      </c>
    </row>
    <row r="14">
      <c r="A14" t="inlineStr">
        <is>
          <t>최소 (B안)</t>
        </is>
      </c>
      <c r="B14">
        <f>LOCAL_HC</f>
        <v>3</v>
      </c>
      <c r="C14" s="17">
        <f>BASE_WAGE*WAGE_MULT*(1+ER_RATE)</f>
        <v>238614.66</v>
      </c>
      <c r="D14" s="17">
        <f>B14*C14</f>
        <v>715843.98</v>
      </c>
      <c r="E14" s="44">
        <f>D14*FX_KRW/1000000</f>
        <v>146.03217192</v>
      </c>
      <c r="F14" t="inlineStr">
        <is>
          <t>안전관리자·영업·경리 + 법인장(주재원 별도)</t>
        </is>
      </c>
      <c r="G14" t="inlineStr">
        <is>
          <t>분석 가정 (평균임금 기반)</t>
        </is>
      </c>
    </row>
    <row r="15">
      <c r="A15" t="inlineStr">
        <is>
          <t>기준 (B안+물류)</t>
        </is>
      </c>
      <c r="B15">
        <f>LOCAL_HC+1</f>
        <v>4</v>
      </c>
      <c r="C15" s="17">
        <f>BASE_WAGE*WAGE_MULT*(1+ER_RATE)</f>
        <v>238614.66</v>
      </c>
      <c r="D15" s="17">
        <f>B15*C15</f>
        <v>954458.64</v>
      </c>
      <c r="E15" s="44">
        <f>D15*FX_KRW/1000000</f>
        <v>194.70956256</v>
      </c>
      <c r="F15" t="inlineStr">
        <is>
          <t>+수입·물류·통관</t>
        </is>
      </c>
      <c r="G15" t="inlineStr">
        <is>
          <t>분석 가정 (평균임금 기반)</t>
        </is>
      </c>
    </row>
    <row r="16">
      <c r="A16" t="inlineStr">
        <is>
          <t>확대 (C안)</t>
        </is>
      </c>
      <c r="B16">
        <f>LOCAL_HC+3</f>
        <v>6</v>
      </c>
      <c r="C16" s="17">
        <f>BASE_WAGE*WAGE_MULT*(1+ER_RATE)</f>
        <v>238614.66</v>
      </c>
      <c r="D16" s="17">
        <f>B16*C16</f>
        <v>1431687.96</v>
      </c>
      <c r="E16" s="44">
        <f>D16*FX_KRW/1000000</f>
        <v>292.06434384</v>
      </c>
      <c r="F16" t="inlineStr">
        <is>
          <t>+물류 1·창고·품질 2</t>
        </is>
      </c>
      <c r="G16" t="inlineStr">
        <is>
          <t>분석 가정 (평균임금 기반)</t>
        </is>
      </c>
    </row>
    <row r="18">
      <c r="A18" s="6" t="inlineStr">
        <is>
          <t>등록자본 제안 (가정)</t>
        </is>
      </c>
    </row>
    <row r="19">
      <c r="A19" t="inlineStr">
        <is>
          <t>확인 가능 연간 고정비 × 배수</t>
        </is>
      </c>
      <c r="C19" s="17">
        <f>C8*CAP_MULT</f>
        <v>1073765.97</v>
      </c>
      <c r="E19" t="str">
        <f>IF(D8&gt;0,"미완성 — 임대·회계·주재원 견적 반영 후 재산정","산정")</f>
        <v>미완성 — 임대·회계·주재원 견적 반영 후 재산정</v>
      </c>
      <c r="F19" s="44">
        <f>C19*FX_KRW/1000000</f>
        <v>219.04825788</v>
      </c>
      <c r="G19" t="inlineStr">
        <is>
          <t>법정 최저자본 아님. 5년 내 납입(공사법). 등록자본·투자비·보증금·재고자금은 서로 다른 개념</t>
        </is>
      </c>
    </row>
    <row r="21">
      <c r="A21" s="6" t="inlineStr">
        <is>
          <t>손익분기 산식 (매출·마진 미제공 → 산식만)</t>
        </is>
      </c>
    </row>
    <row r="22">
      <c r="A22" t="inlineStr">
        <is>
          <t>필요 연 매출총이익 = 연간 고정비 + 변동비 (견적 반영 후)</t>
        </is>
      </c>
    </row>
    <row r="23">
      <c r="A23" t="inlineStr">
        <is>
          <t>필요 연 매출 = 필요 매출총이익 ÷ 매출총이익률 (내부 입력)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7F7F7F"/>
    <outlinePr summaryBelow="1" summaryRight="1"/>
    <pageSetUpPr/>
  </sheetPr>
  <dimension ref="A1:T20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40" customWidth="1" min="2" max="2"/>
    <col width="7" customWidth="1" min="3" max="3"/>
    <col width="18" customWidth="1" min="4" max="4"/>
    <col width="16" customWidth="1" min="5" max="5"/>
    <col width="7" customWidth="1" min="6" max="6"/>
    <col width="7" customWidth="1" min="7" max="7"/>
    <col width="9" customWidth="1" min="8" max="8"/>
    <col width="9" customWidth="1" min="9" max="9"/>
    <col width="9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24" customWidth="1" min="16" max="16"/>
    <col width="10" customWidth="1" min="17" max="17"/>
    <col width="16" customWidth="1" min="18" max="18"/>
    <col width="11" customWidth="1" min="19" max="19"/>
    <col width="11" customWidth="1" min="20" max="20"/>
  </cols>
  <sheetData>
    <row r="1">
      <c r="A1" s="1" t="inlineStr">
        <is>
          <t>16_Timeline | 일정 (2026-10-06 착수, 주 단위 · 달력일 기준)</t>
        </is>
      </c>
    </row>
    <row r="2">
      <c r="A2" s="2" t="inlineStr">
        <is>
          <t>선행 작업의 최대 종료일 다음 날 시작. 공휴일 미반영 → 영업일 일정 아님. 기간은 분석 가정</t>
        </is>
      </c>
    </row>
    <row r="3">
      <c r="A3" s="3" t="inlineStr">
        <is>
          <t>조사 기준일 2026-10-06 · 단위·상태는 각 열 머리글 참조</t>
        </is>
      </c>
    </row>
    <row r="4">
      <c r="B4" t="inlineStr">
        <is>
          <t>착수일</t>
        </is>
      </c>
      <c r="C4" s="45" t="n">
        <v>46301</v>
      </c>
    </row>
    <row r="5">
      <c r="A5" s="20" t="inlineStr">
        <is>
          <t>작업 ID</t>
        </is>
      </c>
      <c r="B5" s="20" t="inlineStr">
        <is>
          <t>단계</t>
        </is>
      </c>
      <c r="C5" s="20" t="inlineStr">
        <is>
          <t>구조</t>
        </is>
      </c>
      <c r="D5" s="20" t="inlineStr">
        <is>
          <t>책임 부서</t>
        </is>
      </c>
      <c r="E5" s="20" t="inlineStr">
        <is>
          <t>산출물</t>
        </is>
      </c>
      <c r="F5" s="20" t="inlineStr">
        <is>
          <t>선행1</t>
        </is>
      </c>
      <c r="G5" s="20" t="inlineStr">
        <is>
          <t>선행2</t>
        </is>
      </c>
      <c r="H5" s="20" t="inlineStr">
        <is>
          <t>기간 낙관(주)</t>
        </is>
      </c>
      <c r="I5" s="20" t="inlineStr">
        <is>
          <t>기간 기준(주)</t>
        </is>
      </c>
      <c r="J5" s="20" t="inlineStr">
        <is>
          <t>기간 보수(주)</t>
        </is>
      </c>
      <c r="K5" s="20" t="inlineStr">
        <is>
          <t>시작(기준)</t>
        </is>
      </c>
      <c r="L5" s="20" t="inlineStr">
        <is>
          <t>종료(기준)</t>
        </is>
      </c>
      <c r="M5" s="20" t="inlineStr">
        <is>
          <t>종료(기준)·참조용</t>
        </is>
      </c>
      <c r="N5" s="20" t="inlineStr">
        <is>
          <t>종료(낙관)</t>
        </is>
      </c>
      <c r="O5" s="20" t="inlineStr">
        <is>
          <t>종료(보수)</t>
        </is>
      </c>
      <c r="P5" s="20" t="inlineStr">
        <is>
          <t>기간 근거</t>
        </is>
      </c>
      <c r="Q5" s="20" t="inlineStr">
        <is>
          <t>법정·현실</t>
        </is>
      </c>
      <c r="R5" s="20" t="inlineStr">
        <is>
          <t>병목</t>
        </is>
      </c>
      <c r="S5" s="20" t="inlineStr">
        <is>
          <t>시작(낙관)</t>
        </is>
      </c>
      <c r="T5" s="20" t="inlineStr">
        <is>
          <t>시작(보수)</t>
        </is>
      </c>
    </row>
    <row r="6">
      <c r="A6" s="21" t="inlineStr">
        <is>
          <t>T01</t>
        </is>
      </c>
      <c r="B6" s="16" t="inlineStr">
        <is>
          <t>대상 물질·규제 분류 확정 (CAS·SDS·备案 현황)</t>
        </is>
      </c>
      <c r="C6" s="21" t="inlineStr">
        <is>
          <t>공통</t>
        </is>
      </c>
      <c r="D6" s="21" t="inlineStr">
        <is>
          <t>해외영업·한호진 PL</t>
        </is>
      </c>
      <c r="E6" s="21" t="inlineStr">
        <is>
          <t>제품별 판정표</t>
        </is>
      </c>
      <c r="F6" s="21" t="inlineStr"/>
      <c r="G6" s="21" t="inlineStr"/>
      <c r="H6" s="27" t="n">
        <v>1</v>
      </c>
      <c r="I6" s="27" t="n">
        <v>2</v>
      </c>
      <c r="J6" s="27" t="n">
        <v>3</v>
      </c>
      <c r="K6" s="46">
        <f>MAX(IF(F6="",T0-1,INDEX($L$6:$L$20,MATCH(F6,$A$6:$A$20,0))),IF(G6="",T0-1,INDEX($L$6:$L$20,MATCH(G6,$A$6:$A$20,0))))+1</f>
        <v>46301.0</v>
      </c>
      <c r="L6" s="46">
        <f>K6+I6*7-1</f>
        <v>46314.0</v>
      </c>
      <c r="M6" s="46">
        <f>L6</f>
        <v>46314.0</v>
      </c>
      <c r="N6" s="46">
        <f>S6+H6*7-1</f>
        <v>46307.0</v>
      </c>
      <c r="O6" s="46">
        <f>T6+J6*7-1</f>
        <v>46321.0</v>
      </c>
      <c r="P6" s="21" t="inlineStr">
        <is>
          <t>내부 자료 수집</t>
        </is>
      </c>
      <c r="Q6" s="21" t="inlineStr">
        <is>
          <t>현실</t>
        </is>
      </c>
      <c r="R6" s="21" t="inlineStr">
        <is>
          <t>备案 보유자 확인</t>
        </is>
      </c>
      <c r="S6" s="46">
        <f>MAX(IF(F6="",T0-1,INDEX($N$6:$N$20,MATCH(F6,$A$6:$A$20,0))),IF(G6="",T0-1,INDEX($N$6:$N$20,MATCH(G6,$A$6:$A$20,0))))+1</f>
        <v>46301.0</v>
      </c>
      <c r="T6" s="46">
        <f>MAX(IF(F6="",T0-1,INDEX($O$6:$O$20,MATCH(F6,$A$6:$A$20,0))),IF(G6="",T0-1,INDEX($O$6:$O$20,MATCH(G6,$A$6:$A$20,0))))+1</f>
        <v>46301.0</v>
      </c>
    </row>
    <row r="7">
      <c r="A7" s="21" t="inlineStr">
        <is>
          <t>T02</t>
        </is>
      </c>
      <c r="B7" s="16" t="inlineStr">
        <is>
          <t>MP 현황 확인 (허가·창고·등록 능력)</t>
        </is>
      </c>
      <c r="C7" s="21" t="inlineStr">
        <is>
          <t>A</t>
        </is>
      </c>
      <c r="D7" s="21" t="inlineStr">
        <is>
          <t>해외영업·기획</t>
        </is>
      </c>
      <c r="E7" s="21" t="inlineStr">
        <is>
          <t>MP 실사표</t>
        </is>
      </c>
      <c r="F7" s="21" t="inlineStr"/>
      <c r="G7" s="21" t="inlineStr"/>
      <c r="H7" s="27" t="n">
        <v>1</v>
      </c>
      <c r="I7" s="27" t="n">
        <v>2</v>
      </c>
      <c r="J7" s="27" t="n">
        <v>3</v>
      </c>
      <c r="K7" s="46">
        <f>MAX(IF(F7="",T0-1,INDEX($L$6:$L$20,MATCH(F7,$A$6:$A$20,0))),IF(G7="",T0-1,INDEX($L$6:$L$20,MATCH(G7,$A$6:$A$20,0))))+1</f>
        <v>46301.0</v>
      </c>
      <c r="L7" s="46">
        <f>K7+I7*7-1</f>
        <v>46314.0</v>
      </c>
      <c r="M7" s="46">
        <f>L7</f>
        <v>46314.0</v>
      </c>
      <c r="N7" s="46">
        <f>S7+H7*7-1</f>
        <v>46307.0</v>
      </c>
      <c r="O7" s="46">
        <f>T7+J7*7-1</f>
        <v>46321.0</v>
      </c>
      <c r="P7" s="21" t="inlineStr">
        <is>
          <t>내부 질의</t>
        </is>
      </c>
      <c r="Q7" s="21" t="inlineStr">
        <is>
          <t>현실</t>
        </is>
      </c>
      <c r="R7" s="21" t="inlineStr">
        <is>
          <t>-</t>
        </is>
      </c>
      <c r="S7" s="46">
        <f>MAX(IF(F7="",T0-1,INDEX($N$6:$N$20,MATCH(F7,$A$6:$A$20,0))),IF(G7="",T0-1,INDEX($N$6:$N$20,MATCH(G7,$A$6:$A$20,0))))+1</f>
        <v>46301.0</v>
      </c>
      <c r="T7" s="46">
        <f>MAX(IF(F7="",T0-1,INDEX($O$6:$O$20,MATCH(F7,$A$6:$A$20,0))),IF(G7="",T0-1,INDEX($O$6:$O$20,MATCH(G7,$A$6:$A$20,0))))+1</f>
        <v>46301.0</v>
      </c>
    </row>
    <row r="8">
      <c r="A8" s="21" t="inlineStr">
        <is>
          <t>T03</t>
        </is>
      </c>
      <c r="B8" s="16" t="inlineStr">
        <is>
          <t>기관 질의 (무석 신오구·생태환경부·3PL)</t>
        </is>
      </c>
      <c r="C8" s="21" t="inlineStr">
        <is>
          <t>공통</t>
        </is>
      </c>
      <c r="D8" s="21" t="inlineStr">
        <is>
          <t>중국 현지·법무</t>
        </is>
      </c>
      <c r="E8" s="21" t="inlineStr">
        <is>
          <t>질의 회신</t>
        </is>
      </c>
      <c r="F8" s="21" t="inlineStr"/>
      <c r="G8" s="21" t="inlineStr"/>
      <c r="H8" s="27" t="n">
        <v>2</v>
      </c>
      <c r="I8" s="27" t="n">
        <v>3</v>
      </c>
      <c r="J8" s="27" t="n">
        <v>5</v>
      </c>
      <c r="K8" s="46">
        <f>MAX(IF(F8="",T0-1,INDEX($L$6:$L$20,MATCH(F8,$A$6:$A$20,0))),IF(G8="",T0-1,INDEX($L$6:$L$20,MATCH(G8,$A$6:$A$20,0))))+1</f>
        <v>46301.0</v>
      </c>
      <c r="L8" s="46">
        <f>K8+I8*7-1</f>
        <v>46321.0</v>
      </c>
      <c r="M8" s="46">
        <f>L8</f>
        <v>46321.0</v>
      </c>
      <c r="N8" s="46">
        <f>S8+H8*7-1</f>
        <v>46314.0</v>
      </c>
      <c r="O8" s="46">
        <f>T8+J8*7-1</f>
        <v>46335.0</v>
      </c>
      <c r="P8" s="21" t="inlineStr">
        <is>
          <t>회신 대기</t>
        </is>
      </c>
      <c r="Q8" s="21" t="inlineStr">
        <is>
          <t>현실</t>
        </is>
      </c>
      <c r="R8" s="21" t="inlineStr">
        <is>
          <t>기관 회신</t>
        </is>
      </c>
      <c r="S8" s="46">
        <f>MAX(IF(F8="",T0-1,INDEX($N$6:$N$20,MATCH(F8,$A$6:$A$20,0))),IF(G8="",T0-1,INDEX($N$6:$N$20,MATCH(G8,$A$6:$A$20,0))))+1</f>
        <v>46301.0</v>
      </c>
      <c r="T8" s="46">
        <f>MAX(IF(F8="",T0-1,INDEX($O$6:$O$20,MATCH(F8,$A$6:$A$20,0))),IF(G8="",T0-1,INDEX($O$6:$O$20,MATCH(G8,$A$6:$A$20,0))))+1</f>
        <v>46301.0</v>
      </c>
    </row>
    <row r="9">
      <c r="A9" s="21" t="inlineStr">
        <is>
          <t>T04</t>
        </is>
      </c>
      <c r="B9" s="16" t="inlineStr">
        <is>
          <t>법무·현지 전문가 검토</t>
        </is>
      </c>
      <c r="C9" s="21" t="inlineStr">
        <is>
          <t>공통</t>
        </is>
      </c>
      <c r="D9" s="21" t="inlineStr">
        <is>
          <t>법무</t>
        </is>
      </c>
      <c r="E9" s="21" t="inlineStr">
        <is>
          <t>법률 의견서</t>
        </is>
      </c>
      <c r="F9" s="21" t="inlineStr">
        <is>
          <t>T01</t>
        </is>
      </c>
      <c r="G9" s="21" t="inlineStr"/>
      <c r="H9" s="27" t="n">
        <v>2</v>
      </c>
      <c r="I9" s="27" t="n">
        <v>3</v>
      </c>
      <c r="J9" s="27" t="n">
        <v>4</v>
      </c>
      <c r="K9" s="46">
        <f>MAX(IF(F9="",T0-1,INDEX($L$6:$L$20,MATCH(F9,$A$6:$A$20,0))),IF(G9="",T0-1,INDEX($L$6:$L$20,MATCH(G9,$A$6:$A$20,0))))+1</f>
        <v>46315.0</v>
      </c>
      <c r="L9" s="46">
        <f>K9+I9*7-1</f>
        <v>46335.0</v>
      </c>
      <c r="M9" s="46">
        <f>L9</f>
        <v>46335.0</v>
      </c>
      <c r="N9" s="46">
        <f>S9+H9*7-1</f>
        <v>46321.0</v>
      </c>
      <c r="O9" s="46">
        <f>T9+J9*7-1</f>
        <v>46349.0</v>
      </c>
      <c r="P9" s="21" t="inlineStr">
        <is>
          <t>외부 전문가</t>
        </is>
      </c>
      <c r="Q9" s="21" t="inlineStr">
        <is>
          <t>현실</t>
        </is>
      </c>
      <c r="R9" s="21" t="inlineStr">
        <is>
          <t>-</t>
        </is>
      </c>
      <c r="S9" s="46">
        <f>MAX(IF(F9="",T0-1,INDEX($N$6:$N$20,MATCH(F9,$A$6:$A$20,0))),IF(G9="",T0-1,INDEX($N$6:$N$20,MATCH(G9,$A$6:$A$20,0))))+1</f>
        <v>46308.0</v>
      </c>
      <c r="T9" s="46">
        <f>MAX(IF(F9="",T0-1,INDEX($O$6:$O$20,MATCH(F9,$A$6:$A$20,0))),IF(G9="",T0-1,INDEX($O$6:$O$20,MATCH(G9,$A$6:$A$20,0))))+1</f>
        <v>46322.0</v>
      </c>
    </row>
    <row r="10">
      <c r="A10" s="21" t="inlineStr">
        <is>
          <t>T05</t>
        </is>
      </c>
      <c r="B10" s="16" t="inlineStr">
        <is>
          <t>경영진 승인 (구조·지역·예산)</t>
        </is>
      </c>
      <c r="C10" s="21" t="inlineStr">
        <is>
          <t>공통</t>
        </is>
      </c>
      <c r="D10" s="21" t="inlineStr">
        <is>
          <t>기획</t>
        </is>
      </c>
      <c r="E10" s="21" t="inlineStr">
        <is>
          <t>승인</t>
        </is>
      </c>
      <c r="F10" s="21" t="inlineStr">
        <is>
          <t>T03</t>
        </is>
      </c>
      <c r="G10" s="21" t="inlineStr">
        <is>
          <t>T04</t>
        </is>
      </c>
      <c r="H10" s="27" t="n">
        <v>1</v>
      </c>
      <c r="I10" s="27" t="n">
        <v>1</v>
      </c>
      <c r="J10" s="27" t="n">
        <v>2</v>
      </c>
      <c r="K10" s="46">
        <f>MAX(IF(F10="",T0-1,INDEX($L$6:$L$20,MATCH(F10,$A$6:$A$20,0))),IF(G10="",T0-1,INDEX($L$6:$L$20,MATCH(G10,$A$6:$A$20,0))))+1</f>
        <v>46336.0</v>
      </c>
      <c r="L10" s="46">
        <f>K10+I10*7-1</f>
        <v>46342.0</v>
      </c>
      <c r="M10" s="46">
        <f>L10</f>
        <v>46342.0</v>
      </c>
      <c r="N10" s="46">
        <f>S10+H10*7-1</f>
        <v>46328.0</v>
      </c>
      <c r="O10" s="46">
        <f>T10+J10*7-1</f>
        <v>46363.0</v>
      </c>
      <c r="P10" s="21" t="inlineStr">
        <is>
          <t>내부</t>
        </is>
      </c>
      <c r="Q10" s="21" t="inlineStr">
        <is>
          <t>현실</t>
        </is>
      </c>
      <c r="R10" s="21" t="inlineStr">
        <is>
          <t>-</t>
        </is>
      </c>
      <c r="S10" s="46">
        <f>MAX(IF(F10="",T0-1,INDEX($N$6:$N$20,MATCH(F10,$A$6:$A$20,0))),IF(G10="",T0-1,INDEX($N$6:$N$20,MATCH(G10,$A$6:$A$20,0))))+1</f>
        <v>46322.0</v>
      </c>
      <c r="T10" s="46">
        <f>MAX(IF(F10="",T0-1,INDEX($O$6:$O$20,MATCH(F10,$A$6:$A$20,0))),IF(G10="",T0-1,INDEX($O$6:$O$20,MATCH(G10,$A$6:$A$20,0))))+1</f>
        <v>46350.0</v>
      </c>
    </row>
    <row r="11">
      <c r="A11" s="21" t="inlineStr">
        <is>
          <t>T06</t>
        </is>
      </c>
      <c r="B11" s="16" t="inlineStr">
        <is>
          <t>한국 해외직접투자 신고·송금</t>
        </is>
      </c>
      <c r="C11" s="21" t="inlineStr">
        <is>
          <t>B</t>
        </is>
      </c>
      <c r="D11" s="21" t="inlineStr">
        <is>
          <t>기획·재무</t>
        </is>
      </c>
      <c r="E11" s="21" t="inlineStr">
        <is>
          <t>신고 수리</t>
        </is>
      </c>
      <c r="F11" s="21" t="inlineStr">
        <is>
          <t>T05</t>
        </is>
      </c>
      <c r="G11" s="21" t="inlineStr"/>
      <c r="H11" s="27" t="n">
        <v>1</v>
      </c>
      <c r="I11" s="27" t="n">
        <v>1</v>
      </c>
      <c r="J11" s="27" t="n">
        <v>2</v>
      </c>
      <c r="K11" s="46">
        <f>MAX(IF(F11="",T0-1,INDEX($L$6:$L$20,MATCH(F11,$A$6:$A$20,0))),IF(G11="",T0-1,INDEX($L$6:$L$20,MATCH(G11,$A$6:$A$20,0))))+1</f>
        <v>46343.0</v>
      </c>
      <c r="L11" s="46">
        <f>K11+I11*7-1</f>
        <v>46349.0</v>
      </c>
      <c r="M11" s="46">
        <f>L11</f>
        <v>46349.0</v>
      </c>
      <c r="N11" s="46">
        <f>S11+H11*7-1</f>
        <v>46335.0</v>
      </c>
      <c r="O11" s="46">
        <f>T11+J11*7-1</f>
        <v>46377.0</v>
      </c>
      <c r="P11" s="21" t="inlineStr">
        <is>
          <t>은행 절차</t>
        </is>
      </c>
      <c r="Q11" s="21" t="inlineStr">
        <is>
          <t>현실</t>
        </is>
      </c>
      <c r="R11" s="21" t="inlineStr">
        <is>
          <t>-</t>
        </is>
      </c>
      <c r="S11" s="46">
        <f>MAX(IF(F11="",T0-1,INDEX($N$6:$N$20,MATCH(F11,$A$6:$A$20,0))),IF(G11="",T0-1,INDEX($N$6:$N$20,MATCH(G11,$A$6:$A$20,0))))+1</f>
        <v>46329.0</v>
      </c>
      <c r="T11" s="46">
        <f>MAX(IF(F11="",T0-1,INDEX($O$6:$O$20,MATCH(F11,$A$6:$A$20,0))),IF(G11="",T0-1,INDEX($O$6:$O$20,MATCH(G11,$A$6:$A$20,0))))+1</f>
        <v>46364.0</v>
      </c>
    </row>
    <row r="12">
      <c r="A12" s="21" t="inlineStr">
        <is>
          <t>T07</t>
        </is>
      </c>
      <c r="B12" s="16" t="inlineStr">
        <is>
          <t>법인 등기 (营业执照)</t>
        </is>
      </c>
      <c r="C12" s="21" t="inlineStr">
        <is>
          <t>B</t>
        </is>
      </c>
      <c r="D12" s="21" t="inlineStr">
        <is>
          <t>법무·현지</t>
        </is>
      </c>
      <c r="E12" s="21" t="inlineStr">
        <is>
          <t>营业执照</t>
        </is>
      </c>
      <c r="F12" s="21" t="inlineStr">
        <is>
          <t>T05</t>
        </is>
      </c>
      <c r="G12" s="21" t="inlineStr"/>
      <c r="H12" s="27" t="n">
        <v>3</v>
      </c>
      <c r="I12" s="27" t="n">
        <v>5</v>
      </c>
      <c r="J12" s="27" t="n">
        <v>8</v>
      </c>
      <c r="K12" s="46">
        <f>MAX(IF(F12="",T0-1,INDEX($L$6:$L$20,MATCH(F12,$A$6:$A$20,0))),IF(G12="",T0-1,INDEX($L$6:$L$20,MATCH(G12,$A$6:$A$20,0))))+1</f>
        <v>46343.0</v>
      </c>
      <c r="L12" s="46">
        <f>K12+I12*7-1</f>
        <v>46377.0</v>
      </c>
      <c r="M12" s="46">
        <f>L12</f>
        <v>46377.0</v>
      </c>
      <c r="N12" s="46">
        <f>S12+H12*7-1</f>
        <v>46349.0</v>
      </c>
      <c r="O12" s="46">
        <f>T12+J12*7-1</f>
        <v>46419.0</v>
      </c>
      <c r="P12" s="21" t="inlineStr">
        <is>
          <t>서류 아포스티유 포함 가정</t>
        </is>
      </c>
      <c r="Q12" s="21" t="inlineStr">
        <is>
          <t>현실</t>
        </is>
      </c>
      <c r="R12" s="21" t="inlineStr">
        <is>
          <t>주소·서류</t>
        </is>
      </c>
      <c r="S12" s="46">
        <f>MAX(IF(F12="",T0-1,INDEX($N$6:$N$20,MATCH(F12,$A$6:$A$20,0))),IF(G12="",T0-1,INDEX($N$6:$N$20,MATCH(G12,$A$6:$A$20,0))))+1</f>
        <v>46329.0</v>
      </c>
      <c r="T12" s="46">
        <f>MAX(IF(F12="",T0-1,INDEX($O$6:$O$20,MATCH(F12,$A$6:$A$20,0))),IF(G12="",T0-1,INDEX($O$6:$O$20,MATCH(G12,$A$6:$A$20,0))))+1</f>
        <v>46364.0</v>
      </c>
    </row>
    <row r="13">
      <c r="A13" s="21" t="inlineStr">
        <is>
          <t>T08</t>
        </is>
      </c>
      <c r="B13" s="16" t="inlineStr">
        <is>
          <t>계좌·외환·세무·해관 등록</t>
        </is>
      </c>
      <c r="C13" s="21" t="inlineStr">
        <is>
          <t>B</t>
        </is>
      </c>
      <c r="D13" s="21" t="inlineStr">
        <is>
          <t>재무·현지</t>
        </is>
      </c>
      <c r="E13" s="21" t="inlineStr">
        <is>
          <t>등록 완료</t>
        </is>
      </c>
      <c r="F13" s="21" t="inlineStr">
        <is>
          <t>T07</t>
        </is>
      </c>
      <c r="G13" s="21" t="inlineStr"/>
      <c r="H13" s="27" t="n">
        <v>2</v>
      </c>
      <c r="I13" s="27" t="n">
        <v>3</v>
      </c>
      <c r="J13" s="27" t="n">
        <v>5</v>
      </c>
      <c r="K13" s="46">
        <f>MAX(IF(F13="",T0-1,INDEX($L$6:$L$20,MATCH(F13,$A$6:$A$20,0))),IF(G13="",T0-1,INDEX($L$6:$L$20,MATCH(G13,$A$6:$A$20,0))))+1</f>
        <v>46378.0</v>
      </c>
      <c r="L13" s="46">
        <f>K13+I13*7-1</f>
        <v>46398.0</v>
      </c>
      <c r="M13" s="46">
        <f>L13</f>
        <v>46398.0</v>
      </c>
      <c r="N13" s="46">
        <f>S13+H13*7-1</f>
        <v>46363.0</v>
      </c>
      <c r="O13" s="46">
        <f>T13+J13*7-1</f>
        <v>46454.0</v>
      </c>
      <c r="P13" s="21" t="inlineStr">
        <is>
          <t>기관 실무</t>
        </is>
      </c>
      <c r="Q13" s="21" t="inlineStr">
        <is>
          <t>현실</t>
        </is>
      </c>
      <c r="R13" s="21" t="inlineStr">
        <is>
          <t>-</t>
        </is>
      </c>
      <c r="S13" s="46">
        <f>MAX(IF(F13="",T0-1,INDEX($N$6:$N$20,MATCH(F13,$A$6:$A$20,0))),IF(G13="",T0-1,INDEX($N$6:$N$20,MATCH(G13,$A$6:$A$20,0))))+1</f>
        <v>46350.0</v>
      </c>
      <c r="T13" s="46">
        <f>MAX(IF(F13="",T0-1,INDEX($O$6:$O$20,MATCH(F13,$A$6:$A$20,0))),IF(G13="",T0-1,INDEX($O$6:$O$20,MATCH(G13,$A$6:$A$20,0))))+1</f>
        <v>46420.0</v>
      </c>
    </row>
    <row r="14">
      <c r="A14" s="21" t="inlineStr">
        <is>
          <t>T09</t>
        </is>
      </c>
      <c r="B14" s="16" t="inlineStr">
        <is>
          <t>무저장 위험화학품 경영허가</t>
        </is>
      </c>
      <c r="C14" s="21" t="inlineStr">
        <is>
          <t>B</t>
        </is>
      </c>
      <c r="D14" s="21" t="inlineStr">
        <is>
          <t>현지·안전관리자</t>
        </is>
      </c>
      <c r="E14" s="21" t="inlineStr">
        <is>
          <t>경영허가증</t>
        </is>
      </c>
      <c r="F14" s="21" t="inlineStr">
        <is>
          <t>T07</t>
        </is>
      </c>
      <c r="G14" s="21" t="inlineStr"/>
      <c r="H14" s="27" t="n">
        <v>5</v>
      </c>
      <c r="I14" s="27" t="n">
        <v>8</v>
      </c>
      <c r="J14" s="27" t="n">
        <v>12</v>
      </c>
      <c r="K14" s="46">
        <f>MAX(IF(F14="",T0-1,INDEX($L$6:$L$20,MATCH(F14,$A$6:$A$20,0))),IF(G14="",T0-1,INDEX($L$6:$L$20,MATCH(G14,$A$6:$A$20,0))))+1</f>
        <v>46378.0</v>
      </c>
      <c r="L14" s="46">
        <f>K14+I14*7-1</f>
        <v>46433.0</v>
      </c>
      <c r="M14" s="46">
        <f>L14</f>
        <v>46433.0</v>
      </c>
      <c r="N14" s="46">
        <f>S14+H14*7-1</f>
        <v>46384.0</v>
      </c>
      <c r="O14" s="46">
        <f>T14+J14*7-1</f>
        <v>46503.0</v>
      </c>
      <c r="P14" s="21" t="inlineStr">
        <is>
          <t>법정 20 영업일(사례)+준비</t>
        </is>
      </c>
      <c r="Q14" s="21" t="inlineStr">
        <is>
          <t>법정+준비</t>
        </is>
      </c>
      <c r="R14" s="21" t="inlineStr">
        <is>
          <t>안전관리자 채용·시험</t>
        </is>
      </c>
      <c r="S14" s="46">
        <f>MAX(IF(F14="",T0-1,INDEX($N$6:$N$20,MATCH(F14,$A$6:$A$20,0))),IF(G14="",T0-1,INDEX($N$6:$N$20,MATCH(G14,$A$6:$A$20,0))))+1</f>
        <v>46350.0</v>
      </c>
      <c r="T14" s="46">
        <f>MAX(IF(F14="",T0-1,INDEX($O$6:$O$20,MATCH(F14,$A$6:$A$20,0))),IF(G14="",T0-1,INDEX($O$6:$O$20,MATCH(G14,$A$6:$A$20,0))))+1</f>
        <v>46420.0</v>
      </c>
    </row>
    <row r="15">
      <c r="A15" s="21" t="inlineStr">
        <is>
          <t>T10</t>
        </is>
      </c>
      <c r="B15" s="16" t="inlineStr">
        <is>
          <t>수입기업 위험화학품 등록</t>
        </is>
      </c>
      <c r="C15" s="21" t="inlineStr">
        <is>
          <t>B</t>
        </is>
      </c>
      <c r="D15" s="21" t="inlineStr">
        <is>
          <t>현지</t>
        </is>
      </c>
      <c r="E15" s="21" t="inlineStr">
        <is>
          <t>등록증</t>
        </is>
      </c>
      <c r="F15" s="21" t="inlineStr">
        <is>
          <t>T09</t>
        </is>
      </c>
      <c r="G15" s="21" t="inlineStr"/>
      <c r="H15" s="27" t="n">
        <v>2</v>
      </c>
      <c r="I15" s="27" t="n">
        <v>4</v>
      </c>
      <c r="J15" s="27" t="n">
        <v>6</v>
      </c>
      <c r="K15" s="46">
        <f>MAX(IF(F15="",T0-1,INDEX($L$6:$L$20,MATCH(F15,$A$6:$A$20,0))),IF(G15="",T0-1,INDEX($L$6:$L$20,MATCH(G15,$A$6:$A$20,0))))+1</f>
        <v>46434.0</v>
      </c>
      <c r="L15" s="46">
        <f>K15+I15*7-1</f>
        <v>46461.0</v>
      </c>
      <c r="M15" s="46">
        <f>L15</f>
        <v>46461.0</v>
      </c>
      <c r="N15" s="46">
        <f>S15+H15*7-1</f>
        <v>46398.0</v>
      </c>
      <c r="O15" s="46">
        <f>T15+J15*7-1</f>
        <v>46545.0</v>
      </c>
      <c r="P15" s="21" t="inlineStr">
        <is>
          <t>기관 확인</t>
        </is>
      </c>
      <c r="Q15" s="21" t="inlineStr">
        <is>
          <t>현실</t>
        </is>
      </c>
      <c r="R15" s="21" t="inlineStr">
        <is>
          <t>분류 감정</t>
        </is>
      </c>
      <c r="S15" s="46">
        <f>MAX(IF(F15="",T0-1,INDEX($N$6:$N$20,MATCH(F15,$A$6:$A$20,0))),IF(G15="",T0-1,INDEX($N$6:$N$20,MATCH(G15,$A$6:$A$20,0))))+1</f>
        <v>46385.0</v>
      </c>
      <c r="T15" s="46">
        <f>MAX(IF(F15="",T0-1,INDEX($O$6:$O$20,MATCH(F15,$A$6:$A$20,0))),IF(G15="",T0-1,INDEX($O$6:$O$20,MATCH(G15,$A$6:$A$20,0))))+1</f>
        <v>46504.0</v>
      </c>
    </row>
    <row r="16">
      <c r="A16" s="21" t="inlineStr">
        <is>
          <t>T11</t>
        </is>
      </c>
      <c r="B16" s="16" t="inlineStr">
        <is>
          <t>신규화학물질 등록 (TC 법인 명의)</t>
        </is>
      </c>
      <c r="C16" s="21" t="inlineStr">
        <is>
          <t>B</t>
        </is>
      </c>
      <c r="D16" s="21" t="inlineStr">
        <is>
          <t>법무·한호진 PL</t>
        </is>
      </c>
      <c r="E16" s="21" t="inlineStr">
        <is>
          <t>등록증</t>
        </is>
      </c>
      <c r="F16" s="21" t="inlineStr">
        <is>
          <t>T07</t>
        </is>
      </c>
      <c r="G16" s="21" t="inlineStr"/>
      <c r="H16" s="27" t="n">
        <v>12</v>
      </c>
      <c r="I16" s="27" t="n">
        <v>20</v>
      </c>
      <c r="J16" s="27" t="n">
        <v>32</v>
      </c>
      <c r="K16" s="46">
        <f>MAX(IF(F16="",T0-1,INDEX($L$6:$L$20,MATCH(F16,$A$6:$A$20,0))),IF(G16="",T0-1,INDEX($L$6:$L$20,MATCH(G16,$A$6:$A$20,0))))+1</f>
        <v>46378.0</v>
      </c>
      <c r="L16" s="46">
        <f>K16+I16*7-1</f>
        <v>46517.0</v>
      </c>
      <c r="M16" s="46">
        <f>L16</f>
        <v>46517.0</v>
      </c>
      <c r="N16" s="46">
        <f>S16+H16*7-1</f>
        <v>46433.0</v>
      </c>
      <c r="O16" s="46">
        <f>T16+J16*7-1</f>
        <v>46643.0</v>
      </c>
      <c r="P16" s="21" t="inlineStr">
        <is>
          <t>시험·심사(간이 준용)</t>
        </is>
      </c>
      <c r="Q16" s="21" t="inlineStr">
        <is>
          <t>법정+시험</t>
        </is>
      </c>
      <c r="R16" s="21" t="inlineStr">
        <is>
          <t>중국 내 시험</t>
        </is>
      </c>
      <c r="S16" s="46">
        <f>MAX(IF(F16="",T0-1,INDEX($N$6:$N$20,MATCH(F16,$A$6:$A$20,0))),IF(G16="",T0-1,INDEX($N$6:$N$20,MATCH(G16,$A$6:$A$20,0))))+1</f>
        <v>46350.0</v>
      </c>
      <c r="T16" s="46">
        <f>MAX(IF(F16="",T0-1,INDEX($O$6:$O$20,MATCH(F16,$A$6:$A$20,0))),IF(G16="",T0-1,INDEX($O$6:$O$20,MATCH(G16,$A$6:$A$20,0))))+1</f>
        <v>46420.0</v>
      </c>
    </row>
    <row r="17">
      <c r="A17" s="21" t="inlineStr">
        <is>
          <t>T12</t>
        </is>
      </c>
      <c r="B17" s="16" t="inlineStr">
        <is>
          <t>3PL 창고 계약·품목 확인</t>
        </is>
      </c>
      <c r="C17" s="21" t="inlineStr">
        <is>
          <t>B</t>
        </is>
      </c>
      <c r="D17" s="21" t="inlineStr">
        <is>
          <t>현지·물류</t>
        </is>
      </c>
      <c r="E17" s="21" t="inlineStr">
        <is>
          <t>계약</t>
        </is>
      </c>
      <c r="F17" s="21" t="inlineStr">
        <is>
          <t>T03</t>
        </is>
      </c>
      <c r="G17" s="21" t="inlineStr"/>
      <c r="H17" s="27" t="n">
        <v>4</v>
      </c>
      <c r="I17" s="27" t="n">
        <v>6</v>
      </c>
      <c r="J17" s="27" t="n">
        <v>10</v>
      </c>
      <c r="K17" s="46">
        <f>MAX(IF(F17="",T0-1,INDEX($L$6:$L$20,MATCH(F17,$A$6:$A$20,0))),IF(G17="",T0-1,INDEX($L$6:$L$20,MATCH(G17,$A$6:$A$20,0))))+1</f>
        <v>46322.0</v>
      </c>
      <c r="L17" s="46">
        <f>K17+I17*7-1</f>
        <v>46363.0</v>
      </c>
      <c r="M17" s="46">
        <f>L17</f>
        <v>46363.0</v>
      </c>
      <c r="N17" s="46">
        <f>S17+H17*7-1</f>
        <v>46342.0</v>
      </c>
      <c r="O17" s="46">
        <f>T17+J17*7-1</f>
        <v>46405.0</v>
      </c>
      <c r="P17" s="21" t="inlineStr">
        <is>
          <t>운영사 협의</t>
        </is>
      </c>
      <c r="Q17" s="21" t="inlineStr">
        <is>
          <t>현실</t>
        </is>
      </c>
      <c r="R17" s="21" t="inlineStr">
        <is>
          <t>4.2·4.3류 수용</t>
        </is>
      </c>
      <c r="S17" s="46">
        <f>MAX(IF(F17="",T0-1,INDEX($N$6:$N$20,MATCH(F17,$A$6:$A$20,0))),IF(G17="",T0-1,INDEX($N$6:$N$20,MATCH(G17,$A$6:$A$20,0))))+1</f>
        <v>46315.0</v>
      </c>
      <c r="T17" s="46">
        <f>MAX(IF(F17="",T0-1,INDEX($O$6:$O$20,MATCH(F17,$A$6:$A$20,0))),IF(G17="",T0-1,INDEX($O$6:$O$20,MATCH(G17,$A$6:$A$20,0))))+1</f>
        <v>46336.0</v>
      </c>
    </row>
    <row r="18">
      <c r="A18" s="21" t="inlineStr">
        <is>
          <t>T13</t>
        </is>
      </c>
      <c r="B18" s="16" t="inlineStr">
        <is>
          <t>고객 공급자 변경 승인</t>
        </is>
      </c>
      <c r="C18" s="21" t="inlineStr">
        <is>
          <t>B</t>
        </is>
      </c>
      <c r="D18" s="21" t="inlineStr">
        <is>
          <t>해외영업</t>
        </is>
      </c>
      <c r="E18" s="21" t="inlineStr">
        <is>
          <t>승인</t>
        </is>
      </c>
      <c r="F18" s="21" t="inlineStr">
        <is>
          <t>T10</t>
        </is>
      </c>
      <c r="G18" s="21" t="inlineStr">
        <is>
          <t>T11</t>
        </is>
      </c>
      <c r="H18" s="27" t="n">
        <v>4</v>
      </c>
      <c r="I18" s="27" t="n">
        <v>8</v>
      </c>
      <c r="J18" s="27" t="n">
        <v>12</v>
      </c>
      <c r="K18" s="46">
        <f>MAX(IF(F18="",T0-1,INDEX($L$6:$L$20,MATCH(F18,$A$6:$A$20,0))),IF(G18="",T0-1,INDEX($L$6:$L$20,MATCH(G18,$A$6:$A$20,0))))+1</f>
        <v>46518.0</v>
      </c>
      <c r="L18" s="46">
        <f>K18+I18*7-1</f>
        <v>46573.0</v>
      </c>
      <c r="M18" s="46">
        <f>L18</f>
        <v>46573.0</v>
      </c>
      <c r="N18" s="46">
        <f>S18+H18*7-1</f>
        <v>46461.0</v>
      </c>
      <c r="O18" s="46">
        <f>T18+J18*7-1</f>
        <v>46727.0</v>
      </c>
      <c r="P18" s="21" t="inlineStr">
        <is>
          <t>고객 절차</t>
        </is>
      </c>
      <c r="Q18" s="21" t="inlineStr">
        <is>
          <t>현실</t>
        </is>
      </c>
      <c r="R18" s="21" t="inlineStr">
        <is>
          <t>고객 승인</t>
        </is>
      </c>
      <c r="S18" s="46">
        <f>MAX(IF(F18="",T0-1,INDEX($N$6:$N$20,MATCH(F18,$A$6:$A$20,0))),IF(G18="",T0-1,INDEX($N$6:$N$20,MATCH(G18,$A$6:$A$20,0))))+1</f>
        <v>46434.0</v>
      </c>
      <c r="T18" s="46">
        <f>MAX(IF(F18="",T0-1,INDEX($O$6:$O$20,MATCH(F18,$A$6:$A$20,0))),IF(G18="",T0-1,INDEX($O$6:$O$20,MATCH(G18,$A$6:$A$20,0))))+1</f>
        <v>46644.0</v>
      </c>
    </row>
    <row r="19">
      <c r="A19" s="21" t="inlineStr">
        <is>
          <t>T14</t>
        </is>
      </c>
      <c r="B19" s="16" t="inlineStr">
        <is>
          <t>초도 공급</t>
        </is>
      </c>
      <c r="C19" s="21" t="inlineStr">
        <is>
          <t>B</t>
        </is>
      </c>
      <c r="D19" s="21" t="inlineStr">
        <is>
          <t>해외영업·물류</t>
        </is>
      </c>
      <c r="E19" s="21" t="inlineStr">
        <is>
          <t>첫 납품</t>
        </is>
      </c>
      <c r="F19" s="21" t="inlineStr">
        <is>
          <t>T12</t>
        </is>
      </c>
      <c r="G19" s="21" t="inlineStr">
        <is>
          <t>T13</t>
        </is>
      </c>
      <c r="H19" s="27" t="n">
        <v>1</v>
      </c>
      <c r="I19" s="27" t="n">
        <v>2</v>
      </c>
      <c r="J19" s="27" t="n">
        <v>3</v>
      </c>
      <c r="K19" s="46">
        <f>MAX(IF(F19="",T0-1,INDEX($L$6:$L$20,MATCH(F19,$A$6:$A$20,0))),IF(G19="",T0-1,INDEX($L$6:$L$20,MATCH(G19,$A$6:$A$20,0))))+1</f>
        <v>46574.0</v>
      </c>
      <c r="L19" s="46">
        <f>K19+I19*7-1</f>
        <v>46587.0</v>
      </c>
      <c r="M19" s="46">
        <f>L19</f>
        <v>46587.0</v>
      </c>
      <c r="N19" s="46">
        <f>S19+H19*7-1</f>
        <v>46468.0</v>
      </c>
      <c r="O19" s="46">
        <f>T19+J19*7-1</f>
        <v>46748.0</v>
      </c>
      <c r="P19" s="21" t="inlineStr">
        <is>
          <t>-</t>
        </is>
      </c>
      <c r="Q19" s="21" t="inlineStr">
        <is>
          <t>현실</t>
        </is>
      </c>
      <c r="R19" s="21" t="inlineStr">
        <is>
          <t>-</t>
        </is>
      </c>
      <c r="S19" s="46">
        <f>MAX(IF(F19="",T0-1,INDEX($N$6:$N$20,MATCH(F19,$A$6:$A$20,0))),IF(G19="",T0-1,INDEX($N$6:$N$20,MATCH(G19,$A$6:$A$20,0))))+1</f>
        <v>46462.0</v>
      </c>
      <c r="T19" s="46">
        <f>MAX(IF(F19="",T0-1,INDEX($O$6:$O$20,MATCH(F19,$A$6:$A$20,0))),IF(G19="",T0-1,INDEX($O$6:$O$20,MATCH(G19,$A$6:$A$20,0))))+1</f>
        <v>46728.0</v>
      </c>
    </row>
    <row r="20">
      <c r="A20" s="21" t="inlineStr">
        <is>
          <t>T20</t>
        </is>
      </c>
      <c r="B20" s="16" t="inlineStr">
        <is>
          <t>[연말 대응] 기존 备案 보유자 전환 신청</t>
        </is>
      </c>
      <c r="C20" s="21" t="inlineStr">
        <is>
          <t>G</t>
        </is>
      </c>
      <c r="D20" s="21" t="inlineStr">
        <is>
          <t>해외영업·법무</t>
        </is>
      </c>
      <c r="E20" s="21" t="inlineStr">
        <is>
          <t>전환 신청 접수</t>
        </is>
      </c>
      <c r="F20" s="21" t="inlineStr">
        <is>
          <t>T01</t>
        </is>
      </c>
      <c r="G20" s="21" t="inlineStr"/>
      <c r="H20" s="27" t="n">
        <v>4</v>
      </c>
      <c r="I20" s="27" t="n">
        <v>6</v>
      </c>
      <c r="J20" s="27" t="n">
        <v>10</v>
      </c>
      <c r="K20" s="46">
        <f>MAX(IF(F20="",T0-1,INDEX($L$6:$L$20,MATCH(F20,$A$6:$A$20,0))),IF(G20="",T0-1,INDEX($L$6:$L$20,MATCH(G20,$A$6:$A$20,0))))+1</f>
        <v>46315.0</v>
      </c>
      <c r="L20" s="46">
        <f>K20+I20*7-1</f>
        <v>46356.0</v>
      </c>
      <c r="M20" s="46">
        <f>L20</f>
        <v>46356.0</v>
      </c>
      <c r="N20" s="46">
        <f>S20+H20*7-1</f>
        <v>46335.0</v>
      </c>
      <c r="O20" s="46">
        <f>T20+J20*7-1</f>
        <v>46391.0</v>
      </c>
      <c r="P20" s="21" t="inlineStr">
        <is>
          <t>12-31 기한(EVD-003)</t>
        </is>
      </c>
      <c r="Q20" s="21" t="inlineStr">
        <is>
          <t>법정 기한</t>
        </is>
      </c>
      <c r="R20" s="21" t="inlineStr">
        <is>
          <t>보유자 협조</t>
        </is>
      </c>
      <c r="S20" s="46">
        <f>MAX(IF(F20="",T0-1,INDEX($N$6:$N$20,MATCH(F20,$A$6:$A$20,0))),IF(G20="",T0-1,INDEX($N$6:$N$20,MATCH(G20,$A$6:$A$20,0))))+1</f>
        <v>46308.0</v>
      </c>
      <c r="T20" s="46">
        <f>MAX(IF(F20="",T0-1,INDEX($O$6:$O$20,MATCH(F20,$A$6:$A$20,0))),IF(G20="",T0-1,INDEX($O$6:$O$20,MATCH(G20,$A$6:$A$20,0))))+1</f>
        <v>46322.0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tabColor rgb="007F7F7F"/>
    <outlinePr summaryBelow="1" summaryRight="1"/>
    <pageSetUpPr/>
  </sheetPr>
  <dimension ref="A1:L18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44" customWidth="1" min="2" max="2"/>
    <col width="8" customWidth="1" min="3" max="3"/>
    <col width="22" customWidth="1" min="4" max="4"/>
    <col width="20" customWidth="1" min="5" max="5"/>
    <col width="12" customWidth="1" min="6" max="6"/>
    <col width="8" customWidth="1" min="7" max="7"/>
    <col width="40" customWidth="1" min="8" max="8"/>
    <col width="11" customWidth="1" min="9" max="9"/>
    <col width="10" customWidth="1" min="10" max="10"/>
    <col width="10" customWidth="1" min="11" max="11"/>
    <col width="9" customWidth="1" min="12" max="12"/>
  </cols>
  <sheetData>
    <row r="1">
      <c r="A1" s="1" t="inlineStr">
        <is>
          <t>17_RisksActions | 리스크·확인 과제</t>
        </is>
      </c>
    </row>
    <row r="2">
      <c r="A2" s="2" t="inlineStr">
        <is>
          <t>기한은 착수 후 2~6주 내 제안 일정. 진행 상태는 모두 '문의 예정'</t>
        </is>
      </c>
    </row>
    <row r="3">
      <c r="A3" s="3" t="inlineStr">
        <is>
          <t>조사 기준일 2026-10-06 · 단위·상태는 각 열 머리글 참조</t>
        </is>
      </c>
    </row>
    <row r="5">
      <c r="A5" s="20" t="inlineStr">
        <is>
          <t>리스크 ID</t>
        </is>
      </c>
      <c r="B5" s="20" t="inlineStr">
        <is>
          <t>내용</t>
        </is>
      </c>
      <c r="C5" s="20" t="inlineStr">
        <is>
          <t>영향</t>
        </is>
      </c>
      <c r="D5" s="20" t="inlineStr">
        <is>
          <t>현재 근거</t>
        </is>
      </c>
      <c r="E5" s="20" t="inlineStr">
        <is>
          <t>확인 대상</t>
        </is>
      </c>
      <c r="F5" s="20" t="inlineStr">
        <is>
          <t>담당 부서</t>
        </is>
      </c>
      <c r="G5" s="20" t="inlineStr">
        <is>
          <t>우선순위</t>
        </is>
      </c>
      <c r="H5" s="20" t="inlineStr">
        <is>
          <t>대응</t>
        </is>
      </c>
      <c r="I5" s="20" t="inlineStr">
        <is>
          <t>기한</t>
        </is>
      </c>
      <c r="J5" s="20" t="inlineStr">
        <is>
          <t>진행 상태</t>
        </is>
      </c>
      <c r="K5" s="20" t="inlineStr">
        <is>
          <t>완료 증거</t>
        </is>
      </c>
      <c r="L5" s="20" t="inlineStr">
        <is>
          <t>PPT 페이지</t>
        </is>
      </c>
    </row>
    <row r="6">
      <c r="A6" s="21" t="inlineStr">
        <is>
          <t>R01</t>
        </is>
      </c>
      <c r="B6" s="16" t="inlineStr">
        <is>
          <t>등록 주체 오판 (개정안 확정 시 해외 기업 신청 불가)</t>
        </is>
      </c>
      <c r="C6" s="21" t="inlineStr">
        <is>
          <t>높음</t>
        </is>
      </c>
      <c r="D6" s="21" t="inlineStr">
        <is>
          <t>EVD-002 (초안)</t>
        </is>
      </c>
      <c r="E6" s="21" t="inlineStr">
        <is>
          <t>생태환경부·법무</t>
        </is>
      </c>
      <c r="F6" s="21" t="inlineStr">
        <is>
          <t>법무</t>
        </is>
      </c>
      <c r="G6" s="21" t="inlineStr">
        <is>
          <t>1</t>
        </is>
      </c>
      <c r="H6" s="16" t="inlineStr">
        <is>
          <t>최종 공포 여부 확인, TC 법인·대리 두 경로 병행</t>
        </is>
      </c>
      <c r="I6" s="21" t="inlineStr">
        <is>
          <t>2026-10-20</t>
        </is>
      </c>
      <c r="J6" s="21" t="inlineStr">
        <is>
          <t>문의 예정</t>
        </is>
      </c>
      <c r="K6" s="21" t="inlineStr">
        <is>
          <t>-</t>
        </is>
      </c>
      <c r="L6" s="21" t="inlineStr">
        <is>
          <t>27</t>
        </is>
      </c>
    </row>
    <row r="7">
      <c r="A7" s="21" t="inlineStr">
        <is>
          <t>R02</t>
        </is>
      </c>
      <c r="B7" s="16" t="inlineStr">
        <is>
          <t>연말 기한 대상 여부 오판 (备案 보유 여부)</t>
        </is>
      </c>
      <c r="C7" s="21" t="inlineStr">
        <is>
          <t>높음</t>
        </is>
      </c>
      <c r="D7" s="21" t="inlineStr">
        <is>
          <t>EVD-003</t>
        </is>
      </c>
      <c r="E7" s="21" t="inlineStr">
        <is>
          <t>고객·기존 대리인</t>
        </is>
      </c>
      <c r="F7" s="21" t="inlineStr">
        <is>
          <t>해외영업</t>
        </is>
      </c>
      <c r="G7" s="21" t="inlineStr">
        <is>
          <t>1</t>
        </is>
      </c>
      <c r="H7" s="16" t="inlineStr">
        <is>
          <t>备案 번호·보유자 확인 후 전환 신청</t>
        </is>
      </c>
      <c r="I7" s="21" t="inlineStr">
        <is>
          <t>2026-10-16</t>
        </is>
      </c>
      <c r="J7" s="21" t="inlineStr">
        <is>
          <t>문의 예정</t>
        </is>
      </c>
      <c r="K7" s="21" t="inlineStr">
        <is>
          <t>-</t>
        </is>
      </c>
      <c r="L7" s="21" t="inlineStr">
        <is>
          <t>27</t>
        </is>
      </c>
    </row>
    <row r="8">
      <c r="A8" s="21" t="inlineStr">
        <is>
          <t>R03</t>
        </is>
      </c>
      <c r="B8" s="16" t="inlineStr">
        <is>
          <t>제품 분류 오류 (위험화학품·신규 여부)</t>
        </is>
      </c>
      <c r="C8" s="21" t="inlineStr">
        <is>
          <t>높음</t>
        </is>
      </c>
      <c r="D8" s="26" t="inlineStr">
        <is>
          <t>정보 없음</t>
        </is>
      </c>
      <c r="E8" s="21" t="inlineStr">
        <is>
          <t>SDS·IECSC 검색</t>
        </is>
      </c>
      <c r="F8" s="21" t="inlineStr">
        <is>
          <t>한호진 PL</t>
        </is>
      </c>
      <c r="G8" s="21" t="inlineStr">
        <is>
          <t>1</t>
        </is>
      </c>
      <c r="H8" s="16" t="inlineStr">
        <is>
          <t>제품별 판정표 작성·감정</t>
        </is>
      </c>
      <c r="I8" s="21" t="inlineStr">
        <is>
          <t>2026-10-20</t>
        </is>
      </c>
      <c r="J8" s="21" t="inlineStr">
        <is>
          <t>문의 예정</t>
        </is>
      </c>
      <c r="K8" s="21" t="inlineStr">
        <is>
          <t>-</t>
        </is>
      </c>
      <c r="L8" s="21" t="inlineStr">
        <is>
          <t>27</t>
        </is>
      </c>
    </row>
    <row r="9">
      <c r="A9" s="21" t="inlineStr">
        <is>
          <t>R04</t>
        </is>
      </c>
      <c r="B9" s="16" t="inlineStr">
        <is>
          <t>강소성 원구·창고 진입 불가</t>
        </is>
      </c>
      <c r="C9" s="21" t="inlineStr">
        <is>
          <t>중간</t>
        </is>
      </c>
      <c r="D9" s="21" t="inlineStr">
        <is>
          <t>EVD-020 (원구 존재만 확인)</t>
        </is>
      </c>
      <c r="E9" s="21" t="inlineStr">
        <is>
          <t>원구·3PL</t>
        </is>
      </c>
      <c r="F9" s="21" t="inlineStr">
        <is>
          <t>현지</t>
        </is>
      </c>
      <c r="G9" s="21" t="inlineStr">
        <is>
          <t>2</t>
        </is>
      </c>
      <c r="H9" s="16" t="inlineStr">
        <is>
          <t>무석·장자강·상하이 3PL 동시 질의</t>
        </is>
      </c>
      <c r="I9" s="21" t="inlineStr">
        <is>
          <t>2026-10-31</t>
        </is>
      </c>
      <c r="J9" s="21" t="inlineStr">
        <is>
          <t>문의 예정</t>
        </is>
      </c>
      <c r="K9" s="21" t="inlineStr">
        <is>
          <t>-</t>
        </is>
      </c>
      <c r="L9" s="21" t="inlineStr">
        <is>
          <t>27</t>
        </is>
      </c>
    </row>
    <row r="10">
      <c r="A10" s="21" t="inlineStr">
        <is>
          <t>R05</t>
        </is>
      </c>
      <c r="B10" s="16" t="inlineStr">
        <is>
          <t>4.2·4.3류 등 특수 물성 수용 창고 미확보</t>
        </is>
      </c>
      <c r="C10" s="21" t="inlineStr">
        <is>
          <t>높음</t>
        </is>
      </c>
      <c r="D10" s="26" t="inlineStr">
        <is>
          <t>정보 없음</t>
        </is>
      </c>
      <c r="E10" s="21" t="inlineStr">
        <is>
          <t>3PL</t>
        </is>
      </c>
      <c r="F10" s="21" t="inlineStr">
        <is>
          <t>현지·물류</t>
        </is>
      </c>
      <c r="G10" s="21" t="inlineStr">
        <is>
          <t>1</t>
        </is>
      </c>
      <c r="H10" s="16" t="inlineStr">
        <is>
          <t>물성 확정 후 품목 범위 확인</t>
        </is>
      </c>
      <c r="I10" s="21" t="inlineStr">
        <is>
          <t>2026-10-31</t>
        </is>
      </c>
      <c r="J10" s="21" t="inlineStr">
        <is>
          <t>문의 예정</t>
        </is>
      </c>
      <c r="K10" s="21" t="inlineStr">
        <is>
          <t>-</t>
        </is>
      </c>
      <c r="L10" s="21" t="inlineStr">
        <is>
          <t>27</t>
        </is>
      </c>
    </row>
    <row r="11">
      <c r="A11" s="21" t="inlineStr">
        <is>
          <t>R06</t>
        </is>
      </c>
      <c r="B11" s="16" t="inlineStr">
        <is>
          <t>수입·운송 제한 (항만 위험물 범위·차량 통행)</t>
        </is>
      </c>
      <c r="C11" s="21" t="inlineStr">
        <is>
          <t>중간</t>
        </is>
      </c>
      <c r="D11" s="26" t="inlineStr">
        <is>
          <t>정보 없음</t>
        </is>
      </c>
      <c r="E11" s="21" t="inlineStr">
        <is>
          <t>항만·운송사</t>
        </is>
      </c>
      <c r="F11" s="21" t="inlineStr">
        <is>
          <t>물류</t>
        </is>
      </c>
      <c r="G11" s="21" t="inlineStr">
        <is>
          <t>2</t>
        </is>
      </c>
      <c r="H11" s="16" t="inlineStr">
        <is>
          <t>수입항·경로 사전 확인</t>
        </is>
      </c>
      <c r="I11" s="21" t="inlineStr">
        <is>
          <t>2026-11-15</t>
        </is>
      </c>
      <c r="J11" s="21" t="inlineStr">
        <is>
          <t>문의 예정</t>
        </is>
      </c>
      <c r="K11" s="21" t="inlineStr">
        <is>
          <t>-</t>
        </is>
      </c>
      <c r="L11" s="21" t="inlineStr">
        <is>
          <t>27</t>
        </is>
      </c>
    </row>
    <row r="12">
      <c r="A12" s="21" t="inlineStr">
        <is>
          <t>R07</t>
        </is>
      </c>
      <c r="B12" s="16" t="inlineStr">
        <is>
          <t>IP·시험자료 사용권 (한국 자료 권리)</t>
        </is>
      </c>
      <c r="C12" s="21" t="inlineStr">
        <is>
          <t>중간</t>
        </is>
      </c>
      <c r="D12" s="21" t="inlineStr">
        <is>
          <t>EVD-006</t>
        </is>
      </c>
      <c r="E12" s="21" t="inlineStr">
        <is>
          <t>내부 법무</t>
        </is>
      </c>
      <c r="F12" s="21" t="inlineStr">
        <is>
          <t>법무</t>
        </is>
      </c>
      <c r="G12" s="21" t="inlineStr">
        <is>
          <t>2</t>
        </is>
      </c>
      <c r="H12" s="16" t="inlineStr">
        <is>
          <t>자료 목록·소유권 정리, 정보보호 신청</t>
        </is>
      </c>
      <c r="I12" s="21" t="inlineStr">
        <is>
          <t>2026-10-31</t>
        </is>
      </c>
      <c r="J12" s="21" t="inlineStr">
        <is>
          <t>문의 예정</t>
        </is>
      </c>
      <c r="K12" s="21" t="inlineStr">
        <is>
          <t>-</t>
        </is>
      </c>
      <c r="L12" s="21" t="inlineStr">
        <is>
          <t>27</t>
        </is>
      </c>
    </row>
    <row r="13">
      <c r="A13" s="21" t="inlineStr">
        <is>
          <t>R08</t>
        </is>
      </c>
      <c r="B13" s="16" t="inlineStr">
        <is>
          <t>등록증 명의 이관 (대리·MP → TC)</t>
        </is>
      </c>
      <c r="C13" s="21" t="inlineStr">
        <is>
          <t>중간</t>
        </is>
      </c>
      <c r="D13" s="21" t="inlineStr">
        <is>
          <t>EVD-005</t>
        </is>
      </c>
      <c r="E13" s="21" t="inlineStr">
        <is>
          <t>생태환경부</t>
        </is>
      </c>
      <c r="F13" s="21" t="inlineStr">
        <is>
          <t>법무</t>
        </is>
      </c>
      <c r="G13" s="21" t="inlineStr">
        <is>
          <t>2</t>
        </is>
      </c>
      <c r="H13" s="16" t="inlineStr">
        <is>
          <t>처음부터 최종 명의자로 신청</t>
        </is>
      </c>
      <c r="I13" s="21" t="inlineStr">
        <is>
          <t>2026-10-31</t>
        </is>
      </c>
      <c r="J13" s="21" t="inlineStr">
        <is>
          <t>문의 예정</t>
        </is>
      </c>
      <c r="K13" s="21" t="inlineStr">
        <is>
          <t>-</t>
        </is>
      </c>
      <c r="L13" s="21" t="inlineStr">
        <is>
          <t>27</t>
        </is>
      </c>
    </row>
    <row r="14">
      <c r="A14" s="21" t="inlineStr">
        <is>
          <t>R09</t>
        </is>
      </c>
      <c r="B14" s="16" t="inlineStr">
        <is>
          <t>고객 공급자 변경 승인 지연</t>
        </is>
      </c>
      <c r="C14" s="21" t="inlineStr">
        <is>
          <t>중간</t>
        </is>
      </c>
      <c r="D14" s="26" t="inlineStr">
        <is>
          <t>정보 없음</t>
        </is>
      </c>
      <c r="E14" s="21" t="inlineStr">
        <is>
          <t>고객</t>
        </is>
      </c>
      <c r="F14" s="21" t="inlineStr">
        <is>
          <t>해외영업</t>
        </is>
      </c>
      <c r="G14" s="21" t="inlineStr">
        <is>
          <t>2</t>
        </is>
      </c>
      <c r="H14" s="16" t="inlineStr">
        <is>
          <t>고객별 승인 절차 사전 협의</t>
        </is>
      </c>
      <c r="I14" s="21" t="inlineStr">
        <is>
          <t>2026-11-15</t>
        </is>
      </c>
      <c r="J14" s="21" t="inlineStr">
        <is>
          <t>문의 예정</t>
        </is>
      </c>
      <c r="K14" s="21" t="inlineStr">
        <is>
          <t>-</t>
        </is>
      </c>
      <c r="L14" s="21" t="inlineStr">
        <is>
          <t>27</t>
        </is>
      </c>
    </row>
    <row r="15">
      <c r="A15" s="21" t="inlineStr">
        <is>
          <t>R10</t>
        </is>
      </c>
      <c r="B15" s="16" t="inlineStr">
        <is>
          <t>중국 내 시험 지연 (공시생물 생태독성)</t>
        </is>
      </c>
      <c r="C15" s="21" t="inlineStr">
        <is>
          <t>중간</t>
        </is>
      </c>
      <c r="D15" s="21" t="inlineStr">
        <is>
          <t>EVD-006</t>
        </is>
      </c>
      <c r="E15" s="21" t="inlineStr">
        <is>
          <t>시험기관</t>
        </is>
      </c>
      <c r="F15" s="21" t="inlineStr">
        <is>
          <t>한호진 PL</t>
        </is>
      </c>
      <c r="G15" s="21" t="inlineStr">
        <is>
          <t>2</t>
        </is>
      </c>
      <c r="H15" s="16" t="inlineStr">
        <is>
          <t>시험기관 견적·일정 확보</t>
        </is>
      </c>
      <c r="I15" s="21" t="inlineStr">
        <is>
          <t>2026-10-31</t>
        </is>
      </c>
      <c r="J15" s="21" t="inlineStr">
        <is>
          <t>문의 예정</t>
        </is>
      </c>
      <c r="K15" s="21" t="inlineStr">
        <is>
          <t>-</t>
        </is>
      </c>
      <c r="L15" s="21" t="inlineStr">
        <is>
          <t>27</t>
        </is>
      </c>
    </row>
    <row r="16">
      <c r="A16" s="21" t="inlineStr">
        <is>
          <t>R11</t>
        </is>
      </c>
      <c r="B16" s="16" t="inlineStr">
        <is>
          <t>외자 자금 운용·회수 제약 오해</t>
        </is>
      </c>
      <c r="C16" s="21" t="inlineStr">
        <is>
          <t>낮음</t>
        </is>
      </c>
      <c r="D16" s="21" t="inlineStr">
        <is>
          <t>EVD-022, EVD-035</t>
        </is>
      </c>
      <c r="E16" s="21" t="inlineStr">
        <is>
          <t>재무·은행</t>
        </is>
      </c>
      <c r="F16" s="21" t="inlineStr">
        <is>
          <t>기획</t>
        </is>
      </c>
      <c r="G16" s="21" t="inlineStr">
        <is>
          <t>3</t>
        </is>
      </c>
      <c r="H16" s="16" t="inlineStr">
        <is>
          <t>자본금 규모·회수 경로 설계</t>
        </is>
      </c>
      <c r="I16" s="21" t="inlineStr">
        <is>
          <t>2026-11-15</t>
        </is>
      </c>
      <c r="J16" s="21" t="inlineStr">
        <is>
          <t>문의 예정</t>
        </is>
      </c>
      <c r="K16" s="21" t="inlineStr">
        <is>
          <t>-</t>
        </is>
      </c>
      <c r="L16" s="21" t="inlineStr">
        <is>
          <t>27</t>
        </is>
      </c>
    </row>
    <row r="17">
      <c r="A17" s="21" t="inlineStr">
        <is>
          <t>R12</t>
        </is>
      </c>
      <c r="B17" s="16" t="inlineStr">
        <is>
          <t>전담 안전관리자 등 필수 인력 부족</t>
        </is>
      </c>
      <c r="C17" s="21" t="inlineStr">
        <is>
          <t>중간</t>
        </is>
      </c>
      <c r="D17" s="21" t="inlineStr">
        <is>
          <t>EVD-012</t>
        </is>
      </c>
      <c r="E17" s="21" t="inlineStr">
        <is>
          <t>인사</t>
        </is>
      </c>
      <c r="F17" s="21" t="inlineStr">
        <is>
          <t>인사</t>
        </is>
      </c>
      <c r="G17" s="21" t="inlineStr">
        <is>
          <t>2</t>
        </is>
      </c>
      <c r="H17" s="16" t="inlineStr">
        <is>
          <t>자격 보유자 채용 착수</t>
        </is>
      </c>
      <c r="I17" s="21" t="inlineStr">
        <is>
          <t>2026-11-15</t>
        </is>
      </c>
      <c r="J17" s="21" t="inlineStr">
        <is>
          <t>문의 예정</t>
        </is>
      </c>
      <c r="K17" s="21" t="inlineStr">
        <is>
          <t>-</t>
        </is>
      </c>
      <c r="L17" s="21" t="inlineStr">
        <is>
          <t>27</t>
        </is>
      </c>
    </row>
    <row r="18">
      <c r="A18" s="21" t="inlineStr">
        <is>
          <t>R13</t>
        </is>
      </c>
      <c r="B18" s="16" t="inlineStr">
        <is>
          <t>MP 정보 부족으로 비교 불가</t>
        </is>
      </c>
      <c r="C18" s="21" t="inlineStr">
        <is>
          <t>중간</t>
        </is>
      </c>
      <c r="D18" s="21" t="inlineStr">
        <is>
          <t>MP 표 대부분 정보 없음</t>
        </is>
      </c>
      <c r="E18" s="21" t="inlineStr">
        <is>
          <t>MP</t>
        </is>
      </c>
      <c r="F18" s="21" t="inlineStr">
        <is>
          <t>기획</t>
        </is>
      </c>
      <c r="G18" s="21" t="inlineStr">
        <is>
          <t>1</t>
        </is>
      </c>
      <c r="H18" s="16" t="inlineStr">
        <is>
          <t>MP 실사 질문지 회신</t>
        </is>
      </c>
      <c r="I18" s="21" t="inlineStr">
        <is>
          <t>2026-10-16</t>
        </is>
      </c>
      <c r="J18" s="21" t="inlineStr">
        <is>
          <t>문의 예정</t>
        </is>
      </c>
      <c r="K18" s="21" t="inlineStr">
        <is>
          <t>-</t>
        </is>
      </c>
      <c r="L18" s="21" t="inlineStr">
        <is>
          <t>27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tabColor rgb="007F7F7F"/>
    <outlinePr summaryBelow="1" summaryRight="1"/>
    <pageSetUpPr/>
  </sheetPr>
  <dimension ref="A1:J1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8" customWidth="1" min="2" max="2"/>
    <col width="36" customWidth="1" min="3" max="3"/>
    <col width="18" customWidth="1" min="4" max="4"/>
    <col width="30" customWidth="1" min="5" max="5"/>
    <col width="24" customWidth="1" min="6" max="6"/>
    <col width="26" customWidth="1" min="7" max="7"/>
    <col width="12" customWidth="1" min="8" max="8"/>
    <col width="16" customWidth="1" min="9" max="9"/>
    <col width="16" customWidth="1" min="10" max="10"/>
  </cols>
  <sheetData>
    <row r="1">
      <c r="A1" s="1" t="inlineStr">
        <is>
          <t>18_PPTTraceability | PPT ↔ 근거 추적</t>
        </is>
      </c>
    </row>
    <row r="2">
      <c r="A2" s="2" t="inlineStr">
        <is>
          <t>PPT 주요 주장과 숫자의 근거 시트·ID</t>
        </is>
      </c>
    </row>
    <row r="3">
      <c r="A3" s="3" t="inlineStr">
        <is>
          <t>조사 기준일 2026-10-06 · 단위·상태는 각 열 머리글 참조</t>
        </is>
      </c>
    </row>
    <row r="5">
      <c r="A5" s="20" t="inlineStr">
        <is>
          <t>PPT 페이지</t>
        </is>
      </c>
      <c r="B5" s="20" t="inlineStr">
        <is>
          <t>슬라이드</t>
        </is>
      </c>
      <c r="C5" s="20" t="inlineStr">
        <is>
          <t>핵심 주장</t>
        </is>
      </c>
      <c r="D5" s="20" t="inlineStr">
        <is>
          <t>숫자·비교 결과</t>
        </is>
      </c>
      <c r="E5" s="20" t="inlineStr">
        <is>
          <t>원자료 시트</t>
        </is>
      </c>
      <c r="F5" s="20" t="inlineStr">
        <is>
          <t>근거 ID</t>
        </is>
      </c>
      <c r="G5" s="20" t="inlineStr">
        <is>
          <t>출처 ID</t>
        </is>
      </c>
      <c r="H5" s="20" t="inlineStr">
        <is>
          <t>가정 ID</t>
        </is>
      </c>
      <c r="I5" s="20" t="inlineStr">
        <is>
          <t>조건·한계</t>
        </is>
      </c>
      <c r="J5" s="20" t="inlineStr">
        <is>
          <t>검증 상태</t>
        </is>
      </c>
    </row>
    <row r="6">
      <c r="A6" s="21" t="inlineStr">
        <is>
          <t>02</t>
        </is>
      </c>
      <c r="B6" s="21" t="inlineStr">
        <is>
          <t>경영진 요약</t>
        </is>
      </c>
      <c r="C6" s="16" t="inlineStr">
        <is>
          <t>B안·무석 조건부 추천 / 연말 기한 / 등록 주체</t>
        </is>
      </c>
      <c r="D6" s="21" t="inlineStr">
        <is>
          <t>B안 비용(확인 가능분)</t>
        </is>
      </c>
      <c r="E6" s="16" t="inlineStr">
        <is>
          <t>02_ExecutiveSummary, 15_CostModel</t>
        </is>
      </c>
      <c r="F6" s="16" t="inlineStr">
        <is>
          <t>EVD-002, EVD-003, EVD-014</t>
        </is>
      </c>
      <c r="G6" s="16" t="inlineStr">
        <is>
          <t>SRC-004, SRC-005, SRC-011</t>
        </is>
      </c>
      <c r="H6" s="21" t="inlineStr">
        <is>
          <t>ASM-001~011</t>
        </is>
      </c>
      <c r="I6" s="21" t="inlineStr">
        <is>
          <t>조건부</t>
        </is>
      </c>
      <c r="J6" s="21" t="inlineStr">
        <is>
          <t>근거 기반·기관 확인 전</t>
        </is>
      </c>
    </row>
    <row r="7">
      <c r="A7" s="21" t="inlineStr">
        <is>
          <t>05</t>
        </is>
      </c>
      <c r="B7" s="21" t="inlineStr">
        <is>
          <t>회의 가설 검증</t>
        </is>
      </c>
      <c r="C7" s="16" t="inlineStr">
        <is>
          <t>5개 주장 검증 결과</t>
        </is>
      </c>
      <c r="D7" s="21" t="inlineStr">
        <is>
          <t>-</t>
        </is>
      </c>
      <c r="E7" s="16" t="inlineStr">
        <is>
          <t>06_LegalMatrix</t>
        </is>
      </c>
      <c r="F7" s="16" t="inlineStr">
        <is>
          <t>EVD-001~011</t>
        </is>
      </c>
      <c r="G7" s="16" t="inlineStr">
        <is>
          <t>SRC-001, SRC-005, SRC-009</t>
        </is>
      </c>
      <c r="H7" s="21" t="inlineStr">
        <is>
          <t>-</t>
        </is>
      </c>
      <c r="I7" s="21" t="inlineStr">
        <is>
          <t>개정안 확정 여부</t>
        </is>
      </c>
      <c r="J7" s="21" t="inlineStr">
        <is>
          <t>요약 확인</t>
        </is>
      </c>
    </row>
    <row r="8">
      <c r="A8" s="21" t="inlineStr">
        <is>
          <t>10</t>
        </is>
      </c>
      <c r="B8" s="21" t="inlineStr">
        <is>
          <t>화학물질 등록·IP</t>
        </is>
      </c>
      <c r="C8" s="16" t="inlineStr">
        <is>
          <t>신청 주체·시험자료·정보보호</t>
        </is>
      </c>
      <c r="D8" s="21" t="inlineStr">
        <is>
          <t>-</t>
        </is>
      </c>
      <c r="E8" s="16" t="inlineStr">
        <is>
          <t>06_LegalMatrix</t>
        </is>
      </c>
      <c r="F8" s="16" t="inlineStr">
        <is>
          <t>EVD-001~007</t>
        </is>
      </c>
      <c r="G8" s="16" t="inlineStr">
        <is>
          <t>SRC-001~008, SRC-036, SRC-040</t>
        </is>
      </c>
      <c r="H8" s="21" t="inlineStr">
        <is>
          <t>-</t>
        </is>
      </c>
      <c r="I8" s="21" t="inlineStr">
        <is>
          <t>-</t>
        </is>
      </c>
      <c r="J8" s="21" t="inlineStr">
        <is>
          <t>요약 확인</t>
        </is>
      </c>
    </row>
    <row r="9">
      <c r="A9" s="21" t="inlineStr">
        <is>
          <t>11</t>
        </is>
      </c>
      <c r="B9" s="21" t="inlineStr">
        <is>
          <t>위험화학품 허가 경로</t>
        </is>
      </c>
      <c r="C9" s="16" t="inlineStr">
        <is>
          <t>무저장·임차저장·저장 / 처리기한</t>
        </is>
      </c>
      <c r="D9" s="21" t="inlineStr">
        <is>
          <t>20 영업일(사례)</t>
        </is>
      </c>
      <c r="E9" s="16" t="inlineStr">
        <is>
          <t>07_PermitPaths</t>
        </is>
      </c>
      <c r="F9" s="16" t="inlineStr">
        <is>
          <t>EVD-008~018</t>
        </is>
      </c>
      <c r="G9" s="16" t="inlineStr">
        <is>
          <t>SRC-009~011, SRC-035</t>
        </is>
      </c>
      <c r="H9" s="21" t="inlineStr">
        <is>
          <t>-</t>
        </is>
      </c>
      <c r="I9" s="21" t="inlineStr">
        <is>
          <t>무석 기한 확인</t>
        </is>
      </c>
      <c r="J9" s="21" t="inlineStr">
        <is>
          <t>요약 확인</t>
        </is>
      </c>
    </row>
    <row r="10">
      <c r="A10" s="21" t="inlineStr">
        <is>
          <t>13~18</t>
        </is>
      </c>
      <c r="B10" s="21" t="inlineStr">
        <is>
          <t>강소성 후보</t>
        </is>
      </c>
      <c r="C10" s="16" t="inlineStr">
        <is>
          <t>원구 23곳·무석·쑤저우·창저우</t>
        </is>
      </c>
      <c r="D10" s="21" t="inlineStr">
        <is>
          <t>점수 76/69/63</t>
        </is>
      </c>
      <c r="E10" s="16" t="inlineStr">
        <is>
          <t>08_CityComparison, 09_SitesWarehouses</t>
        </is>
      </c>
      <c r="F10" s="16" t="inlineStr">
        <is>
          <t>EVD-020, EVD-021</t>
        </is>
      </c>
      <c r="G10" s="16" t="inlineStr">
        <is>
          <t>SRC-013, SRC-030</t>
        </is>
      </c>
      <c r="H10" s="21" t="inlineStr">
        <is>
          <t>점수 가정</t>
        </is>
      </c>
      <c r="I10" s="21" t="inlineStr">
        <is>
          <t>점수=분석 가정</t>
        </is>
      </c>
      <c r="J10" s="21" t="inlineStr">
        <is>
          <t>근거 기반</t>
        </is>
      </c>
    </row>
    <row r="11">
      <c r="A11" s="21" t="inlineStr">
        <is>
          <t>20~22</t>
        </is>
      </c>
      <c r="B11" s="21" t="inlineStr">
        <is>
          <t>인근 대안·민감도</t>
        </is>
      </c>
      <c r="C11" s="16" t="inlineStr">
        <is>
          <t>상하이·허페이 / 가중치 3세트</t>
        </is>
      </c>
      <c r="D11" s="21" t="inlineStr">
        <is>
          <t>점수 68 등</t>
        </is>
      </c>
      <c r="E11" s="16" t="inlineStr">
        <is>
          <t>08_CityComparison</t>
        </is>
      </c>
      <c r="F11" s="16" t="inlineStr">
        <is>
          <t>SRC-031~034</t>
        </is>
      </c>
      <c r="G11" s="16" t="inlineStr">
        <is>
          <t>-</t>
        </is>
      </c>
      <c r="H11" s="21" t="inlineStr">
        <is>
          <t>가중치</t>
        </is>
      </c>
      <c r="I11" s="21" t="inlineStr">
        <is>
          <t>-</t>
        </is>
      </c>
      <c r="J11" s="21" t="inlineStr">
        <is>
          <t>근거 부족</t>
        </is>
      </c>
    </row>
    <row r="12">
      <c r="A12" s="21" t="inlineStr">
        <is>
          <t>23</t>
        </is>
      </c>
      <c r="B12" s="21" t="inlineStr">
        <is>
          <t>MP vs TC</t>
        </is>
      </c>
      <c r="C12" s="16" t="inlineStr">
        <is>
          <t>시나리오 1·2</t>
        </is>
      </c>
      <c r="D12" s="21" t="inlineStr">
        <is>
          <t>-</t>
        </is>
      </c>
      <c r="E12" s="16" t="inlineStr">
        <is>
          <t>11_MPComparison</t>
        </is>
      </c>
      <c r="F12" s="16" t="inlineStr">
        <is>
          <t>EVD-002, EVD-005</t>
        </is>
      </c>
      <c r="G12" s="16" t="inlineStr">
        <is>
          <t>-</t>
        </is>
      </c>
      <c r="H12" s="21" t="inlineStr">
        <is>
          <t>-</t>
        </is>
      </c>
      <c r="I12" s="21" t="inlineStr">
        <is>
          <t>MP 정보 없음</t>
        </is>
      </c>
      <c r="J12" s="21" t="inlineStr">
        <is>
          <t>내부 확인 필요</t>
        </is>
      </c>
    </row>
    <row r="13">
      <c r="A13" s="21" t="inlineStr">
        <is>
          <t>25</t>
        </is>
      </c>
      <c r="B13" s="21" t="inlineStr">
        <is>
          <t>비용</t>
        </is>
      </c>
      <c r="C13" s="16" t="inlineStr">
        <is>
          <t>초기·연간·인건비·등록자본</t>
        </is>
      </c>
      <c r="D13" s="21" t="inlineStr">
        <is>
          <t>15 시트 값</t>
        </is>
      </c>
      <c r="E13" s="16" t="inlineStr">
        <is>
          <t>15_CostModel, 14_CostsRaw, 13_FXAssumptions</t>
        </is>
      </c>
      <c r="F13" s="16" t="inlineStr">
        <is>
          <t>EVD-027, EVD-034, EVD-036</t>
        </is>
      </c>
      <c r="G13" s="16" t="inlineStr">
        <is>
          <t>SRC-024~026</t>
        </is>
      </c>
      <c r="H13" s="21" t="inlineStr">
        <is>
          <t>ASM-001~011</t>
        </is>
      </c>
      <c r="I13" s="21" t="inlineStr">
        <is>
          <t>견적 필요 다수</t>
        </is>
      </c>
      <c r="J13" s="21" t="inlineStr">
        <is>
          <t>미완성</t>
        </is>
      </c>
    </row>
    <row r="14">
      <c r="A14" s="21" t="inlineStr">
        <is>
          <t>26</t>
        </is>
      </c>
      <c r="B14" s="21" t="inlineStr">
        <is>
          <t>일정</t>
        </is>
      </c>
      <c r="C14" s="16" t="inlineStr">
        <is>
          <t>기준 시나리오·연말 대응</t>
        </is>
      </c>
      <c r="D14" s="21" t="inlineStr">
        <is>
          <t>16 시트 값</t>
        </is>
      </c>
      <c r="E14" s="16" t="inlineStr">
        <is>
          <t>16_Timeline</t>
        </is>
      </c>
      <c r="F14" s="16" t="inlineStr">
        <is>
          <t>EVD-003, EVD-016</t>
        </is>
      </c>
      <c r="G14" s="16" t="inlineStr">
        <is>
          <t>SRC-005, SRC-035</t>
        </is>
      </c>
      <c r="H14" s="21" t="inlineStr">
        <is>
          <t>기간 가정</t>
        </is>
      </c>
      <c r="I14" s="21" t="inlineStr">
        <is>
          <t>공휴일 미반영</t>
        </is>
      </c>
      <c r="J14" s="34" t="inlineStr">
        <is>
          <t>분석 가정</t>
        </is>
      </c>
    </row>
    <row r="15">
      <c r="A15" s="21" t="inlineStr">
        <is>
          <t>27</t>
        </is>
      </c>
      <c r="B15" s="21" t="inlineStr">
        <is>
          <t>리스크·2주 과제</t>
        </is>
      </c>
      <c r="C15" s="16" t="inlineStr">
        <is>
          <t>R01~R13</t>
        </is>
      </c>
      <c r="D15" s="21" t="inlineStr">
        <is>
          <t>-</t>
        </is>
      </c>
      <c r="E15" s="16" t="inlineStr">
        <is>
          <t>17_RisksActions</t>
        </is>
      </c>
      <c r="F15" s="16" t="inlineStr">
        <is>
          <t>-</t>
        </is>
      </c>
      <c r="G15" s="16" t="inlineStr">
        <is>
          <t>-</t>
        </is>
      </c>
      <c r="H15" s="21" t="inlineStr">
        <is>
          <t>-</t>
        </is>
      </c>
      <c r="I15" s="21" t="inlineStr">
        <is>
          <t>-</t>
        </is>
      </c>
      <c r="J15" s="21" t="inlineStr">
        <is>
          <t>문의 예정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tabColor rgb="00BFBFBF"/>
    <outlinePr summaryBelow="1" summaryRight="1"/>
    <pageSetUpPr/>
  </sheetPr>
  <dimension ref="A1:C52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60" customWidth="1" min="2" max="2"/>
    <col width="46" customWidth="1" min="3" max="3"/>
  </cols>
  <sheetData>
    <row r="1">
      <c r="A1" s="1" t="inlineStr">
        <is>
          <t>19_Glossary_Q | 용어 해설·질문지</t>
        </is>
      </c>
    </row>
    <row r="2">
      <c r="A2" s="2" t="inlineStr">
        <is>
          <t>부록 용어표·기관 질문지 원본</t>
        </is>
      </c>
    </row>
    <row r="3">
      <c r="A3" s="3" t="inlineStr">
        <is>
          <t>조사 기준일 2026-10-06 · 단위·상태는 각 열 머리글 참조</t>
        </is>
      </c>
    </row>
    <row r="5">
      <c r="A5" s="20" t="inlineStr">
        <is>
          <t>용어</t>
        </is>
      </c>
      <c r="B5" s="20" t="inlineStr">
        <is>
          <t>쉬운 뜻</t>
        </is>
      </c>
      <c r="C5" s="20" t="inlineStr">
        <is>
          <t>이번 사업과의 관계</t>
        </is>
      </c>
    </row>
    <row r="6">
      <c r="A6" s="16" t="inlineStr">
        <is>
          <t>신규화학물질 등록 (新化学物质环境管理登记)</t>
        </is>
      </c>
      <c r="B6" s="16" t="inlineStr">
        <is>
          <t>중국 기존화학물질 목록(IECSC)에 없는 물질을 만들거나 수입하기 전에 생태환경부에 받는 등록</t>
        </is>
      </c>
      <c r="C6" s="16" t="inlineStr">
        <is>
          <t>Y·Sc·La 전구체가 목록에 없으면 수입 전 필요</t>
        </is>
      </c>
    </row>
    <row r="7">
      <c r="A7" s="16" t="inlineStr">
        <is>
          <t>备案 (소량 신고)</t>
        </is>
      </c>
      <c r="B7" s="16" t="inlineStr">
        <is>
          <t>종전 1톤 미만 등 소량 신규물질에 쓰던 간단한 신고. 2026-08-15 접수 중단</t>
        </is>
      </c>
      <c r="C7" s="16" t="inlineStr">
        <is>
          <t>기존 备案은 2026-12-31까지 등록증으로 전환</t>
        </is>
      </c>
    </row>
    <row r="8">
      <c r="A8" s="16" t="inlineStr">
        <is>
          <t>간이등록 (简易登记)</t>
        </is>
      </c>
      <c r="B8" s="16" t="inlineStr">
        <is>
          <t>연 1~10톤 신규물질 등록. 시험자료 일부 필요</t>
        </is>
      </c>
      <c r="C8" s="16" t="inlineStr">
        <is>
          <t>备案 전환도 이 절차를 준용</t>
        </is>
      </c>
    </row>
    <row r="9">
      <c r="A9" s="16" t="inlineStr">
        <is>
          <t>위험화학품 (危险化学品)</t>
        </is>
      </c>
      <c r="B9" s="16" t="inlineStr">
        <is>
          <t>중국 위험화학품 목록 등에 해당해 별도 안전관리를 받는 화학품</t>
        </is>
      </c>
      <c r="C9" s="16" t="inlineStr">
        <is>
          <t>해당 시 판매 허가·창고·운송 규제</t>
        </is>
      </c>
    </row>
    <row r="10">
      <c r="A10" s="16" t="inlineStr">
        <is>
          <t>위험화학품 경영허가 (经营许可)</t>
        </is>
      </c>
      <c r="B10" s="16" t="inlineStr">
        <is>
          <t>위험화학품을 사고파는 회사가 받는 판매 허가</t>
        </is>
      </c>
      <c r="C10" s="16" t="inlineStr">
        <is>
          <t>TC 중국법인이 판매자면 필요</t>
        </is>
      </c>
    </row>
    <row r="11">
      <c r="A11" s="16" t="inlineStr">
        <is>
          <t>무저장 경영 (无储存经营)</t>
        </is>
      </c>
      <c r="B11" s="16" t="inlineStr">
        <is>
          <t>자체 창고 없이 계약·세금계산서로만 거래하는 경영 방식</t>
        </is>
      </c>
      <c r="C11" s="16" t="inlineStr">
        <is>
          <t>최소 투자안(B안)의 기본</t>
        </is>
      </c>
    </row>
    <row r="12">
      <c r="A12" s="16" t="inlineStr">
        <is>
          <t>임차저장 경영 (租赁储存经营)</t>
        </is>
      </c>
      <c r="B12" s="16" t="inlineStr">
        <is>
          <t>허가 창고를 빌려 저장하며 경영하는 방식 (무석 세칙 구분)</t>
        </is>
      </c>
      <c r="C12" s="16" t="inlineStr">
        <is>
          <t>C안</t>
        </is>
      </c>
    </row>
    <row r="13">
      <c r="A13" s="16" t="inlineStr">
        <is>
          <t>수입자 (进口者/收货人)</t>
        </is>
      </c>
      <c r="B13" s="16" t="inlineStr">
        <is>
          <t>통관 서류상 물품을 들여오는 회사. 위험화학품 등록·중문 SDS 책임</t>
        </is>
      </c>
      <c r="C13" s="16" t="inlineStr">
        <is>
          <t>수입 명의가 곧 책임 주체</t>
        </is>
      </c>
    </row>
    <row r="14">
      <c r="A14" s="16" t="inlineStr">
        <is>
          <t>등록 신청 주체</t>
        </is>
      </c>
      <c r="B14" s="16" t="inlineStr">
        <is>
          <t>신규화학물질 등록증의 명의자. 의무·책임과 자료 통제권을 가짐</t>
        </is>
      </c>
      <c r="C14" s="16" t="inlineStr">
        <is>
          <t>개정안 확정 시 중국 수입기업만 가능</t>
        </is>
      </c>
    </row>
    <row r="15">
      <c r="A15" s="16" t="inlineStr">
        <is>
          <t>외부 창고 (3PL)</t>
        </is>
      </c>
      <c r="B15" s="16" t="inlineStr">
        <is>
          <t>위험품 보관 허가를 가진 물류회사 창고를 계약해 쓰는 것</t>
        </is>
      </c>
      <c r="C15" s="16" t="inlineStr">
        <is>
          <t>허가 범위는 창고 운영사에 귀속</t>
        </is>
      </c>
    </row>
    <row r="16">
      <c r="A16" s="16" t="inlineStr">
        <is>
          <t>화공원구 (化工园区)</t>
        </is>
      </c>
      <c r="B16" s="16" t="inlineStr">
        <is>
          <t>성 정부가 인정한 화학산업 단지. 위험화학품 생산·저장 시설이 모이는 곳</t>
        </is>
      </c>
      <c r="C16" s="16" t="inlineStr">
        <is>
          <t>강소성 신규 저장은 원구 내가 현실적</t>
        </is>
      </c>
    </row>
    <row r="17">
      <c r="A17" s="16" t="inlineStr">
        <is>
          <t>법인장 / 법정대표인</t>
        </is>
      </c>
      <c r="B17" s="16" t="inlineStr">
        <is>
          <t>법인장 = 내부 경영 책임자 / 법정대표인 = 등기상 회사를 대표하는 사람(이사 또는 경리)</t>
        </is>
      </c>
      <c r="C17" s="16" t="inlineStr">
        <is>
          <t>같은 사람일 수도, 다를 수도 있음</t>
        </is>
      </c>
    </row>
    <row r="18">
      <c r="A18" s="16" t="inlineStr">
        <is>
          <t>영업집조 (营业执照)</t>
        </is>
      </c>
      <c r="B18" s="16" t="inlineStr">
        <is>
          <t>중국 법인 등기증(사업자등록증)</t>
        </is>
      </c>
      <c r="C18" s="16" t="inlineStr">
        <is>
          <t>법인 설립 완료 시점</t>
        </is>
      </c>
    </row>
    <row r="19">
      <c r="A19" s="16" t="inlineStr">
        <is>
          <t>아포스티유</t>
        </is>
      </c>
      <c r="B19" s="16" t="inlineStr">
        <is>
          <t>외국 공문서 인증 간소화 확인서. 중국 2023-11-07 발효</t>
        </is>
      </c>
      <c r="C19" s="16" t="inlineStr">
        <is>
          <t>한국 본사 서류 준비 기간 단축</t>
        </is>
      </c>
    </row>
    <row r="22">
      <c r="A22" s="6" t="inlineStr">
        <is>
          <t>질문지 (진행 상태: 모두 문의 예정)</t>
        </is>
      </c>
    </row>
    <row r="23">
      <c r="A23" s="4" t="inlineStr">
        <is>
          <t>A. 중국 법률·등록 전문가</t>
        </is>
      </c>
    </row>
    <row r="24">
      <c r="B24" s="8" t="inlineStr">
        <is>
          <t>12호령 개정안(2026-06 초안)은 최종 공포됐는가? 신청 주체를 중국 내 생산·수입 기업으로 한정하는 조항이 확정됐는가?</t>
        </is>
      </c>
      <c r="C24" t="inlineStr">
        <is>
          <t>문의 예정</t>
        </is>
      </c>
    </row>
    <row r="25">
      <c r="B25" s="8" t="inlineStr">
        <is>
          <t>환판고체함〔2026〕301호의 '2026-12-31까지 등록증 취득' 의무는 누구(备案 신청인)에게 적용되며, 미취득 시 수입·사용 제한·처벌 근거는?</t>
        </is>
      </c>
      <c r="C25" t="inlineStr">
        <is>
          <t>문의 예정</t>
        </is>
      </c>
    </row>
    <row r="26">
      <c r="B26" s="8" t="inlineStr">
        <is>
          <t>현행 규정에서 TC 본사(해외 생산자)+대리인으로 등록 후 TC 중국법인으로 명의를 바꿀 수 있는가? 재신청이 필요한가?</t>
        </is>
      </c>
      <c r="C26" t="inlineStr">
        <is>
          <t>문의 예정</t>
        </is>
      </c>
    </row>
    <row r="27">
      <c r="B27" s="8" t="inlineStr">
        <is>
          <t>한국에서 수행한 시험자료 중 인정 가능한 항목과 중국 내 보완 시험(공시생물) 목록은?</t>
        </is>
      </c>
      <c r="C27" t="inlineStr">
        <is>
          <t>문의 예정</t>
        </is>
      </c>
    </row>
    <row r="28">
      <c r="B28" s="8" t="inlineStr">
        <is>
          <t>수입·판매·외부 창고 보관만 할 때 생산허가·생산설비 요구 근거가 있는가? 충진·소분은 어디부터 생산/분장 경영인가?</t>
        </is>
      </c>
      <c r="C28" t="inlineStr">
        <is>
          <t>문의 예정</t>
        </is>
      </c>
    </row>
    <row r="29">
      <c r="B29" s="8" t="inlineStr">
        <is>
          <t>위험화학품안전법 시행(2026-05-01) 후 경영허가 하위 규정(55호령) 개정·경과조치는?</t>
        </is>
      </c>
      <c r="C29" t="inlineStr">
        <is>
          <t>문의 예정</t>
        </is>
      </c>
    </row>
    <row r="30">
      <c r="A30" s="4" t="inlineStr">
        <is>
          <t>B. 도시·산업단지 (무석 신오구 등)</t>
        </is>
      </c>
    </row>
    <row r="31">
      <c r="B31" s="8" t="inlineStr">
        <is>
          <t>외국인 독자 화학품 무역법인(무저장 경영) 설립·허가 관할 부서와 처리기한은?</t>
        </is>
      </c>
      <c r="C31" t="inlineStr">
        <is>
          <t>문의 예정</t>
        </is>
      </c>
    </row>
    <row r="32">
      <c r="B32" s="8" t="inlineStr">
        <is>
          <t>무저장 경영 사무 장소 요건(용도·면적·소방)과 전담 안전관리자 요건은?</t>
        </is>
      </c>
      <c r="C32" t="inlineStr">
        <is>
          <t>문의 예정</t>
        </is>
      </c>
    </row>
    <row r="33">
      <c r="B33" s="8" t="inlineStr">
        <is>
          <t>임차저장 경영 시 임차 창고가 무석 관할 밖(장자강·상하이)이어도 되는가?</t>
        </is>
      </c>
      <c r="C33" t="inlineStr">
        <is>
          <t>문의 예정</t>
        </is>
      </c>
    </row>
    <row r="34">
      <c r="B34" s="8" t="inlineStr">
        <is>
          <t>인정 화공원구(江阴临港·锡山·宜兴) 내 위험품 창고 임차·입주 조건, 외자 소규모 무역법인 수용 여부는?</t>
        </is>
      </c>
      <c r="C34" t="inlineStr">
        <is>
          <t>문의 예정</t>
        </is>
      </c>
    </row>
    <row r="35">
      <c r="B35" s="8" t="inlineStr">
        <is>
          <t>자연발화·수분반응 물질(4.2·4.3류 가능성) 보관 가능한 창고가 관내에 있는가?</t>
        </is>
      </c>
      <c r="C35" t="inlineStr">
        <is>
          <t>문의 예정</t>
        </is>
      </c>
    </row>
    <row r="36">
      <c r="A36" s="4" t="inlineStr">
        <is>
          <t>C. 창고·운송사</t>
        </is>
      </c>
    </row>
    <row r="37">
      <c r="B37" s="8" t="inlineStr">
        <is>
          <t>위험화학품 경영(저장/창고) 허가증 사본과 허가 품목 범위는?</t>
        </is>
      </c>
      <c r="C37" t="inlineStr">
        <is>
          <t>문의 예정</t>
        </is>
      </c>
    </row>
    <row r="38">
      <c r="B38" s="8" t="inlineStr">
        <is>
          <t>자연발화·수분반응 물질, 불활성가스 봉입 용기 보관 가능 여부와 수량 제한은?</t>
        </is>
      </c>
      <c r="C38" t="inlineStr">
        <is>
          <t>문의 예정</t>
        </is>
      </c>
    </row>
    <row r="39">
      <c r="B39" s="8" t="inlineStr">
        <is>
          <t>보험·책임 범위, 재고 관리 시스템, 온습도 관리, 출입 통제는?</t>
        </is>
      </c>
      <c r="C39" t="inlineStr">
        <is>
          <t>문의 예정</t>
        </is>
      </c>
    </row>
    <row r="40">
      <c r="B40" s="8" t="inlineStr">
        <is>
          <t>항만(상하이·장자강) 수입 → 창고 → 고객(무석·허페이) 위험물 운송 가능 여부와 리드타임·견적은?</t>
        </is>
      </c>
      <c r="C40" t="inlineStr">
        <is>
          <t>문의 예정</t>
        </is>
      </c>
    </row>
    <row r="41">
      <c r="B41" s="8" t="inlineStr">
        <is>
          <t>공병 회수·잔류물 처리·국제 반송 대응 가능 여부는?</t>
        </is>
      </c>
      <c r="C41" t="inlineStr">
        <is>
          <t>문의 예정</t>
        </is>
      </c>
    </row>
    <row r="42">
      <c r="A42" s="4" t="inlineStr">
        <is>
          <t>D. MP</t>
        </is>
      </c>
    </row>
    <row r="43">
      <c r="B43" s="8" t="inlineStr">
        <is>
          <t>정식 법인명·주소·지분·사업범위(营业执照) 및 위험화학품 경영허가 보유 여부·품목·저장 방식은?</t>
        </is>
      </c>
      <c r="C43" t="inlineStr">
        <is>
          <t>문의 예정</t>
        </is>
      </c>
    </row>
    <row r="44">
      <c r="B44" s="8" t="inlineStr">
        <is>
          <t>수입기업 위험화학품 등록·신규화학물질 등록(또는 备案) 수행 실적은?</t>
        </is>
      </c>
      <c r="C44" t="inlineStr">
        <is>
          <t>문의 예정</t>
        </is>
      </c>
    </row>
    <row r="45">
      <c r="B45" s="8" t="inlineStr">
        <is>
          <t>창고 보유 여부·허가 범위, TC 제품 취급에 필요한 추가 투자·기간은?</t>
        </is>
      </c>
      <c r="C45" t="inlineStr">
        <is>
          <t>문의 예정</t>
        </is>
      </c>
    </row>
    <row r="46">
      <c r="B46" s="8" t="inlineStr">
        <is>
          <t>TC 업무 지원 가능 인원·일정, 서비스 대가·책임 분담·자료 접근 통제 방안은?</t>
        </is>
      </c>
      <c r="C46" t="inlineStr">
        <is>
          <t>문의 예정</t>
        </is>
      </c>
    </row>
    <row r="47">
      <c r="A47" s="4" t="inlineStr">
        <is>
          <t>E. SKTC 내부</t>
        </is>
      </c>
    </row>
    <row r="48">
      <c r="B48" s="8" t="inlineStr">
        <is>
          <t>Y·Sc·La 전구체 각각의 제품명·화학명·CAS·조성·SDS·연간 중국 수입량(샘플/양산 구분)은?</t>
        </is>
      </c>
      <c r="C48" t="inlineStr">
        <is>
          <t>문의 예정</t>
        </is>
      </c>
    </row>
    <row r="49">
      <c r="B49" s="8" t="inlineStr">
        <is>
          <t>현재 중국 수입자·备案/등록 보유자(번호)는 누구인가? 연말 전환 대상인가?</t>
        </is>
      </c>
      <c r="C49" t="inlineStr">
        <is>
          <t>문의 예정</t>
        </is>
      </c>
    </row>
    <row r="50">
      <c r="B50" s="8" t="inlineStr">
        <is>
          <t>보유 시험자료 목록·시험기관·GLP 여부·소유권(공동시험 포함)은?</t>
        </is>
      </c>
      <c r="C50" t="inlineStr">
        <is>
          <t>문의 예정</t>
        </is>
      </c>
    </row>
    <row r="51">
      <c r="B51" s="8" t="inlineStr">
        <is>
          <t>고객별 공급 구조(직판/유통사), 고객 승인 공급자 변경 절차는?</t>
        </is>
      </c>
      <c r="C51" t="inlineStr">
        <is>
          <t>문의 예정</t>
        </is>
      </c>
    </row>
    <row r="52">
      <c r="B52" s="8" t="inlineStr">
        <is>
          <t>향후 충진·소분·세정 계획, 투자 예산 범위, 기존 연락사무소 현황은?</t>
        </is>
      </c>
      <c r="C52" t="inlineStr">
        <is>
          <t>문의 예정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2026-10-06T09:17:08Z</dcterms:created>
  <dcterms:modified xmlns:dcterms="http://purl.org/dc/terms/" xmlns:xsi="http://www.w3.org/2001/XMLSchema-instance" xsi:type="dcterms:W3CDTF">2026-10-06T09:17:08Z</dcterms:modified>
</cp:coreProperties>
</file>