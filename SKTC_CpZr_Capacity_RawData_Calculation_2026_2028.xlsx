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Inputs" sheetId="1" state="visible" r:id="rId1"/>
    <sheet xmlns:r="http://schemas.openxmlformats.org/officeDocument/2006/relationships" name="02_Batch_Raw" sheetId="2" state="visible" r:id="rId2"/>
    <sheet xmlns:r="http://schemas.openxmlformats.org/officeDocument/2006/relationships" name="03_Capacity_Model" sheetId="3" state="visible" r:id="rId3"/>
    <sheet xmlns:r="http://schemas.openxmlformats.org/officeDocument/2006/relationships" name="04_Monthly_2026_2028" sheetId="4" state="visible" r:id="rId4"/>
    <sheet xmlns:r="http://schemas.openxmlformats.org/officeDocument/2006/relationships" name="05_Reflux_Scenarios" sheetId="5" state="visible" r:id="rId5"/>
    <sheet xmlns:r="http://schemas.openxmlformats.org/officeDocument/2006/relationships" name="06_Report_Summary" sheetId="6" state="visible" r:id="rId6"/>
    <sheet xmlns:r="http://schemas.openxmlformats.org/officeDocument/2006/relationships" name="P1_공정시간" sheetId="7" state="visible" r:id="rId7"/>
    <sheet xmlns:r="http://schemas.openxmlformats.org/officeDocument/2006/relationships" name="P2_일정_Gantt" sheetId="8" state="visible" r:id="rId8"/>
    <sheet xmlns:r="http://schemas.openxmlformats.org/officeDocument/2006/relationships" name="P3_과거Batch_2026" sheetId="9" state="visible" r:id="rId9"/>
    <sheet xmlns:r="http://schemas.openxmlformats.org/officeDocument/2006/relationships" name="P4_2027_월별" sheetId="10" state="visible" r:id="rId10"/>
    <sheet xmlns:r="http://schemas.openxmlformats.org/officeDocument/2006/relationships" name="P5_2028_월별" sheetId="11" state="visible" r:id="rId11"/>
  </sheets>
  <definedNames>
    <definedName name="_xlnm._FilterDatabase" localSheetId="0" hidden="1">'01_Inputs'!$A$5:$G$110</definedName>
    <definedName name="_xlnm._FilterDatabase" localSheetId="1" hidden="1">'02_Batch_Raw'!$A$5:$Z$99</definedName>
    <definedName name="_xlnm._FilterDatabase" localSheetId="3" hidden="1">'04_Monthly_2026_2028'!$A$5:$BE$41</definedName>
    <definedName name="_xlnm.Print_Area" localSheetId="6">'P1_공정시간'!$B$4:$K$18</definedName>
    <definedName name="_xlnm.Print_Area" localSheetId="7">'P2_일정_Gantt'!$B$9:$FZ$25</definedName>
    <definedName name="_xlnm.Print_Area" localSheetId="8">'P3_과거Batch_2026'!$B$4:$AJ$18</definedName>
    <definedName name="_xlnm.Print_Area" localSheetId="9">'P4_2027_월별'!$B$4:$O$23</definedName>
    <definedName name="_xlnm.Print_Area" localSheetId="10">'P5_2028_월별'!$B$4:$O$22</definedName>
  </definedNames>
  <calcPr calcId="124519" fullCalcOnLoad="1"/>
</workbook>
</file>

<file path=xl/styles.xml><?xml version="1.0" encoding="utf-8"?>
<styleSheet xmlns="http://schemas.openxmlformats.org/spreadsheetml/2006/main">
  <numFmts count="18">
    <numFmt numFmtId="164" formatCode="0.0;[Red]-0.0"/>
    <numFmt numFmtId="165" formatCode="#,##0;[Red]-#,##0;&quot;0&quot;"/>
    <numFmt numFmtId="166" formatCode="yyyy-mm-dd"/>
    <numFmt numFmtId="167" formatCode="0.0%"/>
    <numFmt numFmtId="168" formatCode="#,##0.0;[Red]-#,##0.0;&quot;0&quot;"/>
    <numFmt numFmtId="169" formatCode="m&quot;/&quot;d"/>
    <numFmt numFmtId="170" formatCode="0.000"/>
    <numFmt numFmtId="171" formatCode="0.0"/>
    <numFmt numFmtId="172" formatCode="yyyy-mm"/>
    <numFmt numFmtId="173" formatCode="#,##0.0"/>
    <numFmt numFmtId="174" formatCode="0.0&quot; 톤/년&quot;"/>
    <numFmt numFmtId="175" formatCode="#,##0;-#,##0;&quot;0&quot;"/>
    <numFmt numFmtId="176" formatCode="0&quot;월&quot;"/>
    <numFmt numFmtId="177" formatCode="yy&quot;.&quot;m"/>
    <numFmt numFmtId="178" formatCode=";;;"/>
    <numFmt numFmtId="179" formatCode="[Color10]+#,##0;[Red]-#,##0;&quot;0&quot;"/>
    <numFmt numFmtId="180" formatCode="+0.00;-0.00;&quot;0&quot;"/>
    <numFmt numFmtId="181" formatCode="#,##0.0;[Color10]-#,##0.0;&quot;0&quot;"/>
  </numFmts>
  <fonts count="36">
    <font>
      <name val="Calibri"/>
      <family val="2"/>
      <color theme="1"/>
      <sz val="11"/>
      <scheme val="minor"/>
    </font>
    <font>
      <name val="Arial"/>
      <b val="1"/>
      <color rgb="00EB002C"/>
      <sz val="14"/>
    </font>
    <font>
      <name val="Arial"/>
      <i val="1"/>
      <color rgb="007F7F7F"/>
      <sz val="9"/>
    </font>
    <font>
      <name val="Arial"/>
      <color rgb="000000FF"/>
      <sz val="9"/>
    </font>
    <font>
      <name val="Arial"/>
      <color rgb="007F7F7F"/>
      <sz val="8"/>
    </font>
    <font>
      <name val="Arial"/>
      <color rgb="00000000"/>
      <sz val="9"/>
    </font>
    <font>
      <name val="Arial"/>
      <b val="1"/>
      <color rgb="00000000"/>
      <sz val="9"/>
    </font>
    <font>
      <name val="Arial"/>
      <b val="1"/>
      <color rgb="00FFFFFF"/>
      <sz val="9"/>
    </font>
    <font>
      <name val="Arial"/>
      <color rgb="00008000"/>
      <sz val="9"/>
    </font>
    <font>
      <name val="Arial"/>
      <b val="1"/>
      <i val="1"/>
      <color rgb="00EB002C"/>
      <sz val="9"/>
    </font>
    <font>
      <name val="Arial"/>
      <b val="1"/>
      <color rgb="00EB002C"/>
      <sz val="11"/>
    </font>
    <font>
      <name val="Arial"/>
      <color rgb="007F7F7F"/>
      <sz val="7"/>
    </font>
    <font>
      <name val="Arial"/>
      <color rgb="00FFFFFF"/>
      <sz val="6"/>
    </font>
    <font>
      <name val="Noto Sans KR"/>
      <b val="1"/>
      <color rgb="00EB002C"/>
      <sz val="11"/>
    </font>
    <font>
      <name val="Noto Sans KR"/>
      <color rgb="007F7F7F"/>
      <sz val="7"/>
    </font>
    <font>
      <name val="Noto Sans KR"/>
      <b val="1"/>
      <color rgb="001A1A1A"/>
      <sz val="8.5"/>
    </font>
    <font>
      <name val="Noto Sans KR"/>
      <color rgb="007F7F7F"/>
      <sz val="6.5"/>
    </font>
    <font>
      <name val="Noto Sans KR"/>
      <b val="1"/>
      <color rgb="00FFFFFF"/>
      <sz val="7"/>
    </font>
    <font>
      <name val="Noto Sans KR"/>
      <b val="1"/>
      <color rgb="001A1A1A"/>
      <sz val="7"/>
    </font>
    <font>
      <name val="Noto Sans KR"/>
      <b val="1"/>
      <color rgb="000000CC"/>
      <sz val="7"/>
    </font>
    <font>
      <name val="Noto Sans KR"/>
      <color rgb="001A1A1A"/>
      <sz val="7"/>
    </font>
    <font>
      <name val="Noto Sans KR"/>
      <b val="1"/>
      <color rgb="00EB002C"/>
      <sz val="7"/>
    </font>
    <font>
      <name val="Noto Sans KR"/>
      <color rgb="007F7F7F"/>
      <sz val="6"/>
    </font>
    <font>
      <name val="Noto Sans KR"/>
      <b val="1"/>
      <color rgb="00FFFFFF"/>
      <sz val="6"/>
    </font>
    <font>
      <name val="Noto Sans KR"/>
      <b val="1"/>
      <color rgb="000000CC"/>
      <sz val="6.5"/>
    </font>
    <font>
      <name val="Noto Sans KR"/>
      <b val="1"/>
      <color rgb="001A1A1A"/>
      <sz val="6.5"/>
    </font>
    <font>
      <name val="Noto Sans KR"/>
      <color rgb="001A1A1A"/>
      <sz val="6"/>
    </font>
    <font>
      <name val="Noto Sans KR"/>
      <b val="1"/>
      <color rgb="002E75B6"/>
      <sz val="6"/>
    </font>
    <font>
      <name val="Noto Sans KR"/>
      <color rgb="002E75B6"/>
      <sz val="5.5"/>
    </font>
    <font>
      <name val="Noto Sans KR"/>
      <b val="1"/>
      <color rgb="00FFFFFF"/>
      <sz val="5.5"/>
    </font>
    <font>
      <name val="Noto Sans KR"/>
      <b val="1"/>
      <color rgb="000000CC"/>
      <sz val="5.5"/>
    </font>
    <font>
      <name val="Noto Sans KR"/>
      <b val="1"/>
      <color rgb="00FF7900"/>
      <sz val="7"/>
    </font>
    <font>
      <name val="Noto Sans KR"/>
      <color rgb="000000CC"/>
      <sz val="7"/>
    </font>
    <font>
      <name val="Noto Sans KR"/>
      <b val="1"/>
      <color rgb="002E75B6"/>
      <sz val="7"/>
    </font>
    <font>
      <name val="Noto Sans KR"/>
      <b val="1"/>
      <color rgb="007030A0"/>
      <sz val="7"/>
    </font>
    <font>
      <name val="Noto Sans KR"/>
      <color rgb="001A1A1A"/>
      <sz val="6.5"/>
    </font>
  </fonts>
  <fills count="12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E4DFEC"/>
      </patternFill>
    </fill>
    <fill>
      <patternFill patternType="solid">
        <fgColor rgb="00FDE9E7"/>
      </patternFill>
    </fill>
    <fill>
      <patternFill patternType="solid">
        <fgColor rgb="00404040"/>
      </patternFill>
    </fill>
    <fill>
      <patternFill patternType="solid">
        <fgColor rgb="00F2F2F2"/>
      </patternFill>
    </fill>
    <fill>
      <patternFill patternType="solid">
        <fgColor rgb="00C55A11"/>
      </patternFill>
    </fill>
    <fill>
      <patternFill patternType="solid">
        <fgColor rgb="007F7F7F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bottom style="thin">
        <color rgb="00D9D9D9"/>
      </bottom>
    </border>
    <border/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0" pivotButton="0" quotePrefix="0" xfId="0"/>
    <xf numFmtId="0" fontId="3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0" fontId="3" fillId="6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6" fillId="7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9" borderId="1" pivotButton="0" quotePrefix="0" xfId="0"/>
    <xf numFmtId="1" fontId="3" fillId="2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 wrapText="1"/>
    </xf>
    <xf numFmtId="1" fontId="5" fillId="0" borderId="1" applyAlignment="1" pivotButton="0" quotePrefix="0" xfId="0">
      <alignment vertical="center" wrapText="1"/>
    </xf>
    <xf numFmtId="164" fontId="8" fillId="0" borderId="1" applyAlignment="1" pivotButton="0" quotePrefix="0" xfId="0">
      <alignment vertical="center" wrapText="1"/>
    </xf>
    <xf numFmtId="164" fontId="3" fillId="2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1" fontId="8" fillId="0" borderId="1" applyAlignment="1" pivotButton="0" quotePrefix="0" xfId="0">
      <alignment vertical="center" wrapText="1"/>
    </xf>
    <xf numFmtId="0" fontId="8" fillId="0" borderId="1" applyAlignment="1" pivotButton="0" quotePrefix="0" xfId="0">
      <alignment vertical="center" wrapText="1"/>
    </xf>
    <xf numFmtId="164" fontId="3" fillId="4" borderId="1" applyAlignment="1" pivotButton="0" quotePrefix="0" xfId="0">
      <alignment vertical="center" wrapText="1"/>
    </xf>
    <xf numFmtId="165" fontId="8" fillId="0" borderId="1" applyAlignment="1" pivotButton="0" quotePrefix="0" xfId="0">
      <alignment vertical="center" wrapText="1"/>
    </xf>
    <xf numFmtId="166" fontId="3" fillId="2" borderId="1" applyAlignment="1" pivotButton="0" quotePrefix="0" xfId="0">
      <alignment vertical="center" wrapText="1"/>
    </xf>
    <xf numFmtId="166" fontId="8" fillId="0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center" wrapText="1"/>
    </xf>
    <xf numFmtId="165" fontId="3" fillId="5" borderId="1" applyAlignment="1" pivotButton="0" quotePrefix="0" xfId="0">
      <alignment vertical="center" wrapText="1"/>
    </xf>
    <xf numFmtId="167" fontId="3" fillId="5" borderId="1" applyAlignment="1" pivotButton="0" quotePrefix="0" xfId="0">
      <alignment vertical="center" wrapText="1"/>
    </xf>
    <xf numFmtId="2" fontId="8" fillId="0" borderId="1" applyAlignment="1" pivotButton="0" quotePrefix="0" xfId="0">
      <alignment vertical="center" wrapText="1"/>
    </xf>
    <xf numFmtId="2" fontId="3" fillId="2" borderId="1" applyAlignment="1" pivotButton="0" quotePrefix="0" xfId="0">
      <alignment vertical="center" wrapText="1"/>
    </xf>
    <xf numFmtId="2" fontId="5" fillId="0" borderId="1" applyAlignment="1" pivotButton="0" quotePrefix="0" xfId="0">
      <alignment vertical="center" wrapText="1"/>
    </xf>
    <xf numFmtId="168" fontId="8" fillId="0" borderId="1" applyAlignment="1" pivotButton="0" quotePrefix="0" xfId="0">
      <alignment vertical="center" wrapText="1"/>
    </xf>
    <xf numFmtId="168" fontId="5" fillId="0" borderId="1" applyAlignment="1" pivotButton="0" quotePrefix="0" xfId="0">
      <alignment vertical="center" wrapText="1"/>
    </xf>
    <xf numFmtId="1" fontId="3" fillId="6" borderId="1" applyAlignment="1" pivotButton="0" quotePrefix="0" xfId="0">
      <alignment vertical="center" wrapText="1"/>
    </xf>
    <xf numFmtId="1" fontId="3" fillId="4" borderId="1" applyAlignment="1" pivotButton="0" quotePrefix="0" xfId="0">
      <alignment vertical="center" wrapText="1"/>
    </xf>
    <xf numFmtId="0" fontId="9" fillId="0" borderId="0" pivotButton="0" quotePrefix="0" xfId="0"/>
    <xf numFmtId="168" fontId="6" fillId="7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10" borderId="1" applyAlignment="1" pivotButton="0" quotePrefix="0" xfId="0">
      <alignment horizontal="center" vertical="center" wrapText="1"/>
    </xf>
    <xf numFmtId="169" fontId="5" fillId="0" borderId="1" applyAlignment="1" pivotButton="0" quotePrefix="0" xfId="0">
      <alignment vertical="center" wrapText="1"/>
    </xf>
    <xf numFmtId="165" fontId="6" fillId="7" borderId="1" applyAlignment="1" pivotButton="0" quotePrefix="0" xfId="0">
      <alignment vertical="center" wrapText="1"/>
    </xf>
    <xf numFmtId="169" fontId="6" fillId="7" borderId="1" applyAlignment="1" pivotButton="0" quotePrefix="0" xfId="0">
      <alignment vertical="center" wrapText="1"/>
    </xf>
    <xf numFmtId="2" fontId="6" fillId="7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1" fontId="6" fillId="7" borderId="1" applyAlignment="1" pivotButton="0" quotePrefix="0" xfId="0">
      <alignment vertical="center" wrapText="1"/>
    </xf>
    <xf numFmtId="0" fontId="10" fillId="0" borderId="0" pivotButton="0" quotePrefix="0" xfId="0"/>
    <xf numFmtId="0" fontId="2" fillId="0" borderId="1" applyAlignment="1" pivotButton="0" quotePrefix="0" xfId="0">
      <alignment vertical="center" wrapText="1"/>
    </xf>
    <xf numFmtId="164" fontId="6" fillId="7" borderId="1" applyAlignment="1" pivotButton="0" quotePrefix="0" xfId="0">
      <alignment vertical="center" wrapText="1"/>
    </xf>
    <xf numFmtId="167" fontId="8" fillId="0" borderId="1" applyAlignment="1" pivotButton="0" quotePrefix="0" xfId="0">
      <alignment vertical="center" wrapText="1"/>
    </xf>
    <xf numFmtId="170" fontId="5" fillId="0" borderId="1" applyAlignment="1" pivotButton="0" quotePrefix="0" xfId="0">
      <alignment vertical="center" wrapText="1"/>
    </xf>
    <xf numFmtId="167" fontId="5" fillId="0" borderId="1" applyAlignment="1" pivotButton="0" quotePrefix="0" xfId="0">
      <alignment vertical="center" wrapText="1"/>
    </xf>
    <xf numFmtId="171" fontId="5" fillId="0" borderId="1" applyAlignment="1" pivotButton="0" quotePrefix="0" xfId="0">
      <alignment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0" borderId="0" pivotButton="0" quotePrefix="0" xfId="0"/>
    <xf numFmtId="172" fontId="3" fillId="2" borderId="1" applyAlignment="1" pivotButton="0" quotePrefix="0" xfId="0">
      <alignment vertical="center" wrapText="1"/>
    </xf>
    <xf numFmtId="164" fontId="3" fillId="3" borderId="1" applyAlignment="1" pivotButton="0" quotePrefix="0" xfId="0">
      <alignment vertical="center" wrapText="1"/>
    </xf>
    <xf numFmtId="1" fontId="3" fillId="3" borderId="1" applyAlignment="1" pivotButton="0" quotePrefix="0" xfId="0">
      <alignment vertical="center" wrapText="1"/>
    </xf>
    <xf numFmtId="171" fontId="6" fillId="7" borderId="1" applyAlignment="1" pivotButton="0" quotePrefix="0" xfId="0">
      <alignment vertical="center" wrapText="1"/>
    </xf>
    <xf numFmtId="171" fontId="8" fillId="0" borderId="1" applyAlignment="1" pivotButton="0" quotePrefix="0" xfId="0">
      <alignment vertical="center" wrapText="1"/>
    </xf>
    <xf numFmtId="172" fontId="6" fillId="7" borderId="1" applyAlignment="1" pivotButton="0" quotePrefix="0" xfId="0">
      <alignment vertical="center" wrapText="1"/>
    </xf>
    <xf numFmtId="170" fontId="8" fillId="0" borderId="1" applyAlignment="1" pivotButton="0" quotePrefix="0" xfId="0">
      <alignment vertical="center" wrapText="1"/>
    </xf>
    <xf numFmtId="173" fontId="8" fillId="0" borderId="1" applyAlignment="1" pivotButton="0" quotePrefix="0" xfId="0">
      <alignment vertical="center" wrapText="1"/>
    </xf>
    <xf numFmtId="172" fontId="8" fillId="0" borderId="1" applyAlignment="1" pivotButton="0" quotePrefix="0" xfId="0">
      <alignment vertical="center" wrapText="1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8" borderId="6" applyAlignment="1" pivotButton="0" quotePrefix="0" xfId="0">
      <alignment horizontal="left" vertical="center" shrinkToFit="1"/>
    </xf>
    <xf numFmtId="0" fontId="17" fillId="8" borderId="6" applyAlignment="1" pivotButton="0" quotePrefix="0" xfId="0">
      <alignment horizontal="center" vertical="center" shrinkToFit="1"/>
    </xf>
    <xf numFmtId="0" fontId="18" fillId="0" borderId="6" applyAlignment="1" pivotButton="0" quotePrefix="0" xfId="0">
      <alignment horizontal="left" vertical="center" shrinkToFit="1"/>
    </xf>
    <xf numFmtId="171" fontId="19" fillId="0" borderId="6" applyAlignment="1" pivotButton="0" quotePrefix="0" xfId="0">
      <alignment horizontal="center" vertical="center" shrinkToFit="1"/>
    </xf>
    <xf numFmtId="171" fontId="18" fillId="9" borderId="6" applyAlignment="1" pivotButton="0" quotePrefix="0" xfId="0">
      <alignment horizontal="center" vertical="center" shrinkToFit="1"/>
    </xf>
    <xf numFmtId="171" fontId="20" fillId="0" borderId="6" applyAlignment="1" pivotButton="0" quotePrefix="0" xfId="0">
      <alignment horizontal="center" vertical="center" shrinkToFit="1"/>
    </xf>
    <xf numFmtId="171" fontId="21" fillId="0" borderId="6" applyAlignment="1" pivotButton="0" quotePrefix="0" xfId="0">
      <alignment horizontal="center" vertical="center" shrinkToFit="1"/>
    </xf>
    <xf numFmtId="0" fontId="22" fillId="0" borderId="7" applyAlignment="1" pivotButton="0" quotePrefix="0" xfId="0">
      <alignment horizontal="left" vertical="center" shrinkToFit="1"/>
    </xf>
    <xf numFmtId="1" fontId="19" fillId="0" borderId="6" applyAlignment="1" pivotButton="0" quotePrefix="0" xfId="0">
      <alignment horizontal="center" vertical="center" shrinkToFit="1"/>
    </xf>
    <xf numFmtId="0" fontId="0" fillId="0" borderId="8" pivotButton="0" quotePrefix="0" xfId="0"/>
    <xf numFmtId="0" fontId="18" fillId="0" borderId="6" applyAlignment="1" pivotButton="0" quotePrefix="0" xfId="0">
      <alignment horizontal="center" vertical="center" shrinkToFit="1"/>
    </xf>
    <xf numFmtId="171" fontId="18" fillId="0" borderId="6" applyAlignment="1" pivotButton="0" quotePrefix="0" xfId="0">
      <alignment horizontal="center" vertical="center" shrinkToFit="1"/>
    </xf>
    <xf numFmtId="174" fontId="19" fillId="0" borderId="6" applyAlignment="1" pivotButton="0" quotePrefix="0" xfId="0">
      <alignment horizontal="center" vertical="center" shrinkToFit="1"/>
    </xf>
    <xf numFmtId="175" fontId="18" fillId="0" borderId="6" applyAlignment="1" pivotButton="0" quotePrefix="0" xfId="0">
      <alignment horizontal="center" vertical="center" shrinkToFit="1"/>
    </xf>
    <xf numFmtId="0" fontId="23" fillId="8" borderId="6" applyAlignment="1" pivotButton="0" quotePrefix="0" xfId="0">
      <alignment horizontal="center" vertical="center" shrinkToFit="1"/>
    </xf>
    <xf numFmtId="176" fontId="24" fillId="0" borderId="6" applyAlignment="1" pivotButton="0" quotePrefix="0" xfId="0">
      <alignment horizontal="center" vertical="center" shrinkToFit="1"/>
    </xf>
    <xf numFmtId="3" fontId="25" fillId="0" borderId="6" applyAlignment="1" pivotButton="0" quotePrefix="0" xfId="0">
      <alignment horizontal="center" vertical="center" shrinkToFit="1"/>
    </xf>
    <xf numFmtId="166" fontId="24" fillId="0" borderId="6" applyAlignment="1" pivotButton="0" quotePrefix="0" xfId="0">
      <alignment horizontal="center" vertical="center" shrinkToFit="1"/>
    </xf>
    <xf numFmtId="171" fontId="24" fillId="0" borderId="6" applyAlignment="1" pivotButton="0" quotePrefix="0" xfId="0">
      <alignment horizontal="center" vertical="center" shrinkToFit="1"/>
    </xf>
    <xf numFmtId="177" fontId="23" fillId="8" borderId="6" applyAlignment="1" pivotButton="0" quotePrefix="0" xfId="0">
      <alignment horizontal="center" vertical="center" shrinkToFit="1"/>
    </xf>
    <xf numFmtId="177" fontId="23" fillId="11" borderId="6" applyAlignment="1" pivotButton="0" quotePrefix="0" xfId="0">
      <alignment horizontal="center" vertical="center" shrinkToFit="1"/>
    </xf>
    <xf numFmtId="0" fontId="26" fillId="0" borderId="6" applyAlignment="1" pivotButton="0" quotePrefix="0" xfId="0">
      <alignment horizontal="center" vertical="center" shrinkToFit="1"/>
    </xf>
    <xf numFmtId="3" fontId="27" fillId="0" borderId="6" applyAlignment="1" pivotButton="0" quotePrefix="0" xfId="0">
      <alignment horizontal="center" vertical="center" shrinkToFit="1"/>
    </xf>
    <xf numFmtId="1" fontId="23" fillId="8" borderId="6" applyAlignment="1" pivotButton="0" quotePrefix="0" xfId="0">
      <alignment horizontal="center" vertical="center" shrinkToFit="1"/>
    </xf>
    <xf numFmtId="0" fontId="25" fillId="0" borderId="6" applyAlignment="1" pivotButton="0" quotePrefix="0" xfId="0">
      <alignment horizontal="left" vertical="center" shrinkToFit="1"/>
    </xf>
    <xf numFmtId="178" fontId="0" fillId="0" borderId="0" pivotButton="0" quotePrefix="0" xfId="0"/>
    <xf numFmtId="3" fontId="28" fillId="0" borderId="6" applyAlignment="1" pivotButton="0" quotePrefix="0" xfId="0">
      <alignment horizontal="center" vertical="center" shrinkToFit="1"/>
    </xf>
    <xf numFmtId="1" fontId="29" fillId="8" borderId="6" applyAlignment="1" pivotButton="0" quotePrefix="0" xfId="0">
      <alignment horizontal="center" vertical="center" shrinkToFit="1"/>
    </xf>
    <xf numFmtId="1" fontId="30" fillId="0" borderId="6" applyAlignment="1" pivotButton="0" quotePrefix="0" xfId="0">
      <alignment horizontal="center" vertical="center" shrinkToFit="1"/>
    </xf>
    <xf numFmtId="1" fontId="18" fillId="0" borderId="6" applyAlignment="1" pivotButton="0" quotePrefix="0" xfId="0">
      <alignment horizontal="center" vertical="center" shrinkToFit="1"/>
    </xf>
    <xf numFmtId="179" fontId="18" fillId="0" borderId="6" applyAlignment="1" pivotButton="0" quotePrefix="0" xfId="0">
      <alignment horizontal="center" vertical="center" shrinkToFit="1"/>
    </xf>
    <xf numFmtId="2" fontId="18" fillId="0" borderId="6" applyAlignment="1" pivotButton="0" quotePrefix="0" xfId="0">
      <alignment horizontal="center" vertical="center" shrinkToFit="1"/>
    </xf>
    <xf numFmtId="180" fontId="18" fillId="0" borderId="6" applyAlignment="1" pivotButton="0" quotePrefix="0" xfId="0">
      <alignment horizontal="center" vertical="center" shrinkToFit="1"/>
    </xf>
    <xf numFmtId="0" fontId="22" fillId="0" borderId="6" applyAlignment="1" pivotButton="0" quotePrefix="0" xfId="0">
      <alignment horizontal="left" vertical="center" shrinkToFit="1"/>
    </xf>
    <xf numFmtId="175" fontId="21" fillId="0" borderId="6" applyAlignment="1" pivotButton="0" quotePrefix="0" xfId="0">
      <alignment horizontal="center" vertical="center" shrinkToFit="1"/>
    </xf>
    <xf numFmtId="2" fontId="21" fillId="0" borderId="6" applyAlignment="1" pivotButton="0" quotePrefix="0" xfId="0">
      <alignment horizontal="center" vertical="center" shrinkToFit="1"/>
    </xf>
    <xf numFmtId="180" fontId="21" fillId="0" borderId="6" applyAlignment="1" pivotButton="0" quotePrefix="0" xfId="0">
      <alignment horizontal="center" vertical="center" shrinkToFit="1"/>
    </xf>
    <xf numFmtId="0" fontId="21" fillId="0" borderId="6" applyAlignment="1" pivotButton="0" quotePrefix="0" xfId="0">
      <alignment horizontal="left" vertical="center" shrinkToFit="1"/>
    </xf>
    <xf numFmtId="175" fontId="32" fillId="0" borderId="6" applyAlignment="1" pivotButton="0" quotePrefix="0" xfId="0">
      <alignment horizontal="center" vertical="center" shrinkToFit="1"/>
    </xf>
    <xf numFmtId="175" fontId="18" fillId="9" borderId="6" applyAlignment="1" pivotButton="0" quotePrefix="0" xfId="0">
      <alignment horizontal="center" vertical="center" shrinkToFit="1"/>
    </xf>
    <xf numFmtId="0" fontId="31" fillId="0" borderId="6" applyAlignment="1" pivotButton="0" quotePrefix="0" xfId="0">
      <alignment horizontal="left" vertical="center" shrinkToFit="1"/>
    </xf>
    <xf numFmtId="0" fontId="33" fillId="0" borderId="6" applyAlignment="1" pivotButton="0" quotePrefix="0" xfId="0">
      <alignment horizontal="left" vertical="center" shrinkToFit="1"/>
    </xf>
    <xf numFmtId="0" fontId="34" fillId="0" borderId="6" applyAlignment="1" pivotButton="0" quotePrefix="0" xfId="0">
      <alignment horizontal="left" vertical="center" shrinkToFit="1"/>
    </xf>
    <xf numFmtId="0" fontId="31" fillId="0" borderId="6" applyAlignment="1" pivotButton="0" quotePrefix="0" xfId="0">
      <alignment horizontal="center" vertical="center" shrinkToFit="1"/>
    </xf>
    <xf numFmtId="175" fontId="20" fillId="0" borderId="6" applyAlignment="1" pivotButton="0" quotePrefix="0" xfId="0">
      <alignment horizontal="center" vertical="center" shrinkToFit="1"/>
    </xf>
    <xf numFmtId="179" fontId="18" fillId="9" borderId="6" applyAlignment="1" pivotButton="0" quotePrefix="0" xfId="0">
      <alignment horizontal="center" vertical="center" shrinkToFit="1"/>
    </xf>
    <xf numFmtId="0" fontId="35" fillId="0" borderId="6" applyAlignment="1" pivotButton="0" quotePrefix="0" xfId="0">
      <alignment horizontal="center" vertical="center" shrinkToFit="1"/>
    </xf>
    <xf numFmtId="0" fontId="18" fillId="9" borderId="6" applyAlignment="1" pivotButton="0" quotePrefix="0" xfId="0">
      <alignment horizontal="center" vertical="center" shrinkToFit="1"/>
    </xf>
    <xf numFmtId="175" fontId="19" fillId="0" borderId="6" applyAlignment="1" pivotButton="0" quotePrefix="0" xfId="0">
      <alignment horizontal="center" vertical="center" shrinkToFit="1"/>
    </xf>
    <xf numFmtId="181" fontId="33" fillId="0" borderId="6" applyAlignment="1" pivotButton="0" quotePrefix="0" xfId="0">
      <alignment horizontal="center" vertical="center" shrinkToFit="1"/>
    </xf>
    <xf numFmtId="173" fontId="18" fillId="9" borderId="6" applyAlignment="1" pivotButton="0" quotePrefix="0" xfId="0">
      <alignment horizontal="center" vertical="center" shrinkToFit="1"/>
    </xf>
    <xf numFmtId="181" fontId="32" fillId="0" borderId="6" applyAlignment="1" pivotButton="0" quotePrefix="0" xfId="0">
      <alignment horizontal="center" vertical="center" shrinkToFit="1"/>
    </xf>
    <xf numFmtId="181" fontId="18" fillId="0" borderId="6" applyAlignment="1" pivotButton="0" quotePrefix="0" xfId="0">
      <alignment horizontal="center" vertical="center" shrinkToFit="1"/>
    </xf>
    <xf numFmtId="1" fontId="20" fillId="0" borderId="6" applyAlignment="1" pivotButton="0" quotePrefix="0" xfId="0">
      <alignment horizontal="center" vertical="center" shrinkToFit="1"/>
    </xf>
    <xf numFmtId="1" fontId="18" fillId="9" borderId="6" applyAlignment="1" pivotButton="0" quotePrefix="0" xfId="0">
      <alignment horizontal="center" vertical="center" shrinkToFit="1"/>
    </xf>
    <xf numFmtId="171" fontId="35" fillId="0" borderId="6" applyAlignment="1" pivotButton="0" quotePrefix="0" xfId="0">
      <alignment horizontal="center" vertical="center" shrinkToFit="1"/>
    </xf>
    <xf numFmtId="181" fontId="20" fillId="0" borderId="6" applyAlignment="1" pivotButton="0" quotePrefix="0" xfId="0">
      <alignment horizontal="center" vertical="center" shrinkToFit="1"/>
    </xf>
  </cellXfs>
  <cellStyles count="1">
    <cellStyle name="Normal" xfId="0" builtinId="0" hidden="0"/>
  </cellStyles>
  <dxfs count="22"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color rgb="00FF7900"/>
      </font>
      <fill>
        <patternFill patternType="solid">
          <fgColor rgb="00FF7900"/>
        </patternFill>
      </fill>
    </dxf>
    <dxf>
      <font>
        <color rgb="00F4B183"/>
      </font>
      <fill>
        <patternFill patternType="solid">
          <fgColor rgb="00F4B183"/>
        </patternFill>
      </fill>
    </dxf>
    <dxf>
      <font>
        <color rgb="002E75B6"/>
      </font>
      <fill>
        <patternFill patternType="solid">
          <fgColor rgb="002E75B6"/>
        </patternFill>
      </fill>
    </dxf>
    <dxf>
      <font>
        <color rgb="00548235"/>
      </font>
      <fill>
        <patternFill patternType="solid">
          <fgColor rgb="00548235"/>
        </patternFill>
      </fill>
    </dxf>
    <dxf>
      <font>
        <i val="1"/>
        <color rgb="00C55A11"/>
      </font>
      <fill>
        <patternFill patternType="solid">
          <fgColor rgb="00EDEDED"/>
        </patternFill>
      </fill>
    </dxf>
    <dxf>
      <font>
        <name val="Noto Sans KR"/>
        <b val="1"/>
        <color rgb="00C00000"/>
      </font>
      <fill>
        <patternFill patternType="solid">
          <fgColor rgb="00F2F2F2"/>
        </patternFill>
      </fill>
    </dxf>
    <dxf>
      <font>
        <name val="Noto Sans KR"/>
        <b val="1"/>
        <color rgb="00C00000"/>
      </font>
      <fill>
        <patternFill patternType="solid">
          <fgColor rgb="00D9D9D9"/>
        </patternFill>
      </fill>
    </dxf>
    <dxf>
      <font>
        <name val="Noto Sans KR"/>
        <b val="1"/>
        <color rgb="00C00000"/>
      </font>
      <fill>
        <patternFill patternType="solid">
          <fgColor rgb="00FDE9E7"/>
        </patternFill>
      </fill>
    </dxf>
    <dxf>
      <font>
        <name val="Noto Sans KR"/>
        <b val="1"/>
        <color rgb="00C00000"/>
      </font>
      <fill>
        <patternFill patternType="solid">
          <fgColor rgb="00E4DFEC"/>
        </patternFill>
      </fill>
    </dxf>
    <dxf>
      <fill>
        <patternFill patternType="solid">
          <fgColor rgb="00FF7900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2E75B6"/>
        </patternFill>
      </fill>
    </dxf>
    <dxf>
      <fill>
        <patternFill patternType="solid">
          <fgColor rgb="00548235"/>
        </patternFill>
      </fill>
    </dxf>
    <dxf>
      <fill>
        <patternFill patternType="solid">
          <fgColor rgb="00BFBFBF"/>
        </patternFill>
      </fill>
    </dxf>
    <dxf>
      <font>
        <name val="Noto Sans KR"/>
        <b val="1"/>
        <color rgb="00FFFFFF"/>
      </font>
      <fill>
        <patternFill patternType="solid">
          <fgColor rgb="007F7F7F"/>
        </patternFill>
      </fill>
    </dxf>
    <dxf>
      <font>
        <name val="Noto Sans KR"/>
        <b val="1"/>
        <color rgb="00FFFFFF"/>
      </font>
      <fill>
        <patternFill patternType="solid">
          <fgColor rgb="00FF7900"/>
        </patternFill>
      </fill>
    </dxf>
    <dxf>
      <font>
        <name val="Noto Sans KR"/>
        <b val="1"/>
        <color rgb="00C00000"/>
      </font>
    </dxf>
    <dxf>
      <fill>
        <patternFill patternType="solid">
          <fgColor rgb="00FDE9E7"/>
        </patternFill>
      </fill>
    </dxf>
    <dxf>
      <fill>
        <patternFill patternType="solid">
          <fgColor rgb="00EDEDED"/>
        </patternFill>
      </fill>
    </dxf>
    <dxf>
      <font>
        <name val="Noto Sans KR"/>
        <color rgb="00C55A11"/>
        <sz val="6.5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연 환산 비교 (t)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'06_Report_Summary'!E118</f>
            </strRef>
          </tx>
          <spPr>
            <a:ln xmlns:a="http://schemas.openxmlformats.org/drawingml/2006/main">
              <a:prstDash val="solid"/>
            </a:ln>
          </spPr>
          <cat>
            <numRef>
              <f>'06_Report_Summary'!$A$119:$A$122</f>
            </numRef>
          </cat>
          <val>
            <numRef>
              <f>'06_Report_Summary'!$E$119:$E$122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출하 합계 vs Capa. 기준 월 (kg)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'06_Report_Summary'!G130</f>
            </strRef>
          </tx>
          <spPr>
            <a:ln xmlns:a="http://schemas.openxmlformats.org/drawingml/2006/main">
              <a:prstDash val="solid"/>
            </a:ln>
          </spPr>
          <cat>
            <numRef>
              <f>'06_Report_Summary'!$A$131:$A$166</f>
            </numRef>
          </cat>
          <val>
            <numRef>
              <f>'06_Report_Summary'!$G$131:$G$166</f>
            </numRef>
          </val>
        </ser>
        <ser>
          <idx val="1"/>
          <order val="1"/>
          <tx>
            <strRef>
              <f>'06_Report_Summary'!H130</f>
            </strRef>
          </tx>
          <spPr>
            <a:ln xmlns:a="http://schemas.openxmlformats.org/drawingml/2006/main">
              <a:prstDash val="solid"/>
            </a:ln>
          </spPr>
          <cat>
            <numRef>
              <f>'06_Report_Summary'!$A$131:$A$166</f>
            </numRef>
          </cat>
          <val>
            <numRef>
              <f>'06_Report_Summary'!$H$131:$H$166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117</row>
      <rowOff>0</rowOff>
    </from>
    <ext cx="504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130</row>
      <rowOff>0</rowOff>
    </from>
    <ext cx="100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A1:R131"/>
  <sheetViews>
    <sheetView zoomScale="9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1" customWidth="1" min="3" max="3"/>
    <col width="32" customWidth="1" min="4" max="4"/>
    <col width="9" customWidth="1" min="5" max="5"/>
    <col width="26" customWidth="1" min="6" max="6"/>
    <col width="36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  <col width="18" customWidth="1" min="16" max="16"/>
    <col width="22" customWidth="1" min="17" max="17"/>
    <col width="30" customWidth="1" min="18" max="18"/>
  </cols>
  <sheetData>
    <row r="1">
      <c r="A1" s="1" t="inlineStr">
        <is>
          <t>01_Inputs | CpZr 생산능력 계산 입력값 (v2)</t>
        </is>
      </c>
    </row>
    <row r="2">
      <c r="A2" s="2" t="inlineStr">
        <is>
          <t>정제 45 h / 충진 전까지 57 h · '27.1~3 정제기 1대 확정 계획 → '27.4 대정비 → '27.5~ 2대 시차 운전 · 매년 4월 대정비 · 2028 105℃ 50.2톤 · 4개 고객.</t>
        </is>
      </c>
    </row>
    <row r="3">
      <c r="A3" s="3" t="inlineStr">
        <is>
          <t xml:space="preserve">  </t>
        </is>
      </c>
      <c r="B3" s="4" t="inlineStr">
        <is>
          <t>입력 (제공·확정·계획)</t>
        </is>
      </c>
      <c r="C3" s="5" t="inlineStr">
        <is>
          <t xml:space="preserve">  </t>
        </is>
      </c>
      <c r="D3" s="4" t="inlineStr">
        <is>
          <t>미확인 입력란 (공란 유지)</t>
        </is>
      </c>
      <c r="E3" s="6" t="inlineStr">
        <is>
          <t xml:space="preserve">  </t>
        </is>
      </c>
      <c r="F3" s="4" t="inlineStr">
        <is>
          <t>추정·가정 입력</t>
        </is>
      </c>
      <c r="G3" s="7" t="inlineStr">
        <is>
          <t xml:space="preserve">  </t>
        </is>
      </c>
      <c r="H3" s="4" t="inlineStr">
        <is>
          <t>구두 언급 (미검증)</t>
        </is>
      </c>
      <c r="I3" s="8" t="inlineStr">
        <is>
          <t xml:space="preserve">  </t>
        </is>
      </c>
      <c r="J3" s="4" t="inlineStr">
        <is>
          <t>검토안 (미확정)</t>
        </is>
      </c>
      <c r="K3" s="9" t="inlineStr">
        <is>
          <t xml:space="preserve">  </t>
        </is>
      </c>
      <c r="L3" s="4" t="inlineStr">
        <is>
          <t>수식 / 시트 참조(초록)</t>
        </is>
      </c>
      <c r="M3" s="10" t="inlineStr">
        <is>
          <t xml:space="preserve">  </t>
        </is>
      </c>
      <c r="N3" s="4" t="inlineStr">
        <is>
          <t>핵심 결과</t>
        </is>
      </c>
    </row>
    <row r="5" ht="30" customHeight="1">
      <c r="A5" s="11" t="inlineStr">
        <is>
          <t>항목</t>
        </is>
      </c>
      <c r="B5" s="11" t="inlineStr">
        <is>
          <t>값</t>
        </is>
      </c>
      <c r="C5" s="11" t="inlineStr">
        <is>
          <t>단위</t>
        </is>
      </c>
      <c r="D5" s="11" t="inlineStr">
        <is>
          <t>적용 범위</t>
        </is>
      </c>
      <c r="E5" s="11" t="inlineStr">
        <is>
          <t>구분</t>
        </is>
      </c>
      <c r="F5" s="11" t="inlineStr">
        <is>
          <t>출처</t>
        </is>
      </c>
      <c r="G5" s="11" t="inlineStr">
        <is>
          <t>비고</t>
        </is>
      </c>
    </row>
    <row r="6">
      <c r="A6" s="12" t="inlineStr">
        <is>
          <t>A. 설비 · 가동시간</t>
        </is>
      </c>
      <c r="B6" s="12" t="n"/>
      <c r="C6" s="12" t="n"/>
      <c r="D6" s="12" t="n"/>
      <c r="E6" s="12" t="n"/>
      <c r="F6" s="12" t="n"/>
      <c r="G6" s="12" t="n"/>
    </row>
    <row r="7">
      <c r="A7" s="9" t="inlineStr">
        <is>
          <t>정제기 수 (As-is)</t>
        </is>
      </c>
      <c r="B7" s="13" t="n">
        <v>1</v>
      </c>
      <c r="C7" s="9" t="inlineStr">
        <is>
          <t>대</t>
        </is>
      </c>
      <c r="D7" s="9" t="inlineStr">
        <is>
          <t>~'27.3 · 4개 고객 공동</t>
        </is>
      </c>
      <c r="E7" s="9" t="inlineStr">
        <is>
          <t>제공</t>
        </is>
      </c>
      <c r="F7" s="9" t="inlineStr">
        <is>
          <t>사용자 제공 조건 (2026-10-01 지시)</t>
        </is>
      </c>
      <c r="G7" s="9" t="inlineStr">
        <is>
          <t>단일 설비 순차 생산</t>
        </is>
      </c>
    </row>
    <row r="8">
      <c r="A8" s="9" t="inlineStr">
        <is>
          <t>정제기 수 (To-be)</t>
        </is>
      </c>
      <c r="B8" s="13" t="n">
        <v>2</v>
      </c>
      <c r="C8" s="9" t="inlineStr">
        <is>
          <t>대</t>
        </is>
      </c>
      <c r="D8" s="9" t="inlineStr">
        <is>
          <t>'27.5~ · 시간차 병행 운전</t>
        </is>
      </c>
      <c r="E8" s="9" t="inlineStr">
        <is>
          <t>제공</t>
        </is>
      </c>
      <c r="F8" s="9" t="inlineStr">
        <is>
          <t>사용자 제공 조건 (2026-10-01 지시)</t>
        </is>
      </c>
      <c r="G8" s="9" t="inlineStr">
        <is>
          <t>고객별 전용 설비 아님 — 전체 자원 안에서 배정</t>
        </is>
      </c>
    </row>
    <row r="9">
      <c r="A9" s="9" t="inlineStr">
        <is>
          <t>현재 정제온도</t>
        </is>
      </c>
      <c r="B9" s="13" t="n">
        <v>103</v>
      </c>
      <c r="C9" s="9" t="inlineStr">
        <is>
          <t>℃</t>
        </is>
      </c>
      <c r="D9" s="9" t="inlineStr"/>
      <c r="E9" s="9" t="inlineStr">
        <is>
          <t>제공</t>
        </is>
      </c>
      <c r="F9" s="9" t="inlineStr">
        <is>
          <t>사용자 제공 조건 (2026-10-01 지시)</t>
        </is>
      </c>
      <c r="G9" s="9" t="inlineStr"/>
    </row>
    <row r="10">
      <c r="A10" s="9" t="inlineStr">
        <is>
          <t>월 비교 기준 일수</t>
        </is>
      </c>
      <c r="B10" s="13" t="n">
        <v>30</v>
      </c>
      <c r="C10" s="9" t="inlineStr">
        <is>
          <t>일/월</t>
        </is>
      </c>
      <c r="D10" s="9" t="inlineStr">
        <is>
          <t>정제기 비교</t>
        </is>
      </c>
      <c r="E10" s="9" t="inlineStr">
        <is>
          <t>제공</t>
        </is>
      </c>
      <c r="F10" s="9" t="inlineStr">
        <is>
          <t>사용자 제공 조건 (2026-10-01 지시)</t>
        </is>
      </c>
      <c r="G10" s="9" t="inlineStr"/>
    </row>
    <row r="11">
      <c r="A11" s="9" t="inlineStr">
        <is>
          <t>월 비교 기준 시간 (정제기 1대)</t>
        </is>
      </c>
      <c r="B11" s="14">
        <f>B10*24</f>
        <v>720</v>
      </c>
      <c r="C11" s="9" t="inlineStr">
        <is>
          <t>h/월</t>
        </is>
      </c>
      <c r="D11" s="9" t="inlineStr">
        <is>
          <t>정제기 전용 — 검사·충진 인력에 자동 적용 안 함</t>
        </is>
      </c>
      <c r="E11" s="9" t="inlineStr">
        <is>
          <t>수식</t>
        </is>
      </c>
      <c r="F11" s="9" t="inlineStr">
        <is>
          <t>수식</t>
        </is>
      </c>
      <c r="G11" s="9" t="inlineStr"/>
    </row>
    <row r="12">
      <c r="A12" s="9" t="inlineStr">
        <is>
          <t>연간 달력시간</t>
        </is>
      </c>
      <c r="B12" s="15">
        <f>365*24</f>
        <v>8760</v>
      </c>
      <c r="C12" s="9" t="inlineStr">
        <is>
          <t>h/년</t>
        </is>
      </c>
      <c r="D12" s="9" t="inlineStr">
        <is>
          <t>연간 연속 환산</t>
        </is>
      </c>
      <c r="E12" s="9" t="inlineStr">
        <is>
          <t>수식</t>
        </is>
      </c>
      <c r="F12" s="9" t="inlineStr">
        <is>
          <t>수식</t>
        </is>
      </c>
      <c r="G12" s="9" t="inlineStr">
        <is>
          <t>정지·보수 미반영 상한</t>
        </is>
      </c>
    </row>
    <row r="13">
      <c r="A13" s="12" t="inlineStr">
        <is>
          <t>B. 공정시간 (충진 전까지 57 h 구성)</t>
        </is>
      </c>
      <c r="B13" s="12" t="n"/>
      <c r="C13" s="12" t="n"/>
      <c r="D13" s="12" t="n"/>
      <c r="E13" s="12" t="n"/>
      <c r="F13" s="12" t="n"/>
      <c r="G13" s="12" t="n"/>
    </row>
    <row r="14">
      <c r="A14" s="9" t="inlineStr">
        <is>
          <t>수입검사 IQC</t>
        </is>
      </c>
      <c r="B14" s="16">
        <f>IF(ISBLANK('P1_공정시간'!$C$6),"",'P1_공정시간'!$C$6)</f>
        <v>2</v>
      </c>
      <c r="C14" s="9" t="inlineStr">
        <is>
          <t>h</t>
        </is>
      </c>
      <c r="D14" s="9" t="inlineStr">
        <is>
          <t>57 h에 포함 · 원료 Lot 단위 (Batch 공통 시 중복 배정 금지)</t>
        </is>
      </c>
      <c r="E14" s="9" t="inlineStr">
        <is>
          <t>연결</t>
        </is>
      </c>
      <c r="F14" s="9" t="inlineStr">
        <is>
          <t>P1_공정시간 C6 입력</t>
        </is>
      </c>
      <c r="G14" s="9" t="inlineStr">
        <is>
          <t>수정은 P1_공정시간 C6에서 · NMR·ICP·IC</t>
        </is>
      </c>
    </row>
    <row r="15">
      <c r="A15" s="9" t="inlineStr">
        <is>
          <t>준비·투입</t>
        </is>
      </c>
      <c r="B15" s="16">
        <f>IF(ISBLANK('P1_공정시간'!$D$6),"",'P1_공정시간'!$D$6)</f>
        <v>2</v>
      </c>
      <c r="C15" s="9" t="inlineStr">
        <is>
          <t>h/Batch</t>
        </is>
      </c>
      <c r="D15" s="9" t="inlineStr">
        <is>
          <t>57 h에 포함 · 정제기 점유</t>
        </is>
      </c>
      <c r="E15" s="9" t="inlineStr">
        <is>
          <t>연결</t>
        </is>
      </c>
      <c r="F15" s="9" t="inlineStr">
        <is>
          <t>P1_공정시간 D6 입력</t>
        </is>
      </c>
      <c r="G15" s="9" t="inlineStr">
        <is>
          <t>수정은 P1_공정시간 D6에서</t>
        </is>
      </c>
    </row>
    <row r="16">
      <c r="A16" s="9" t="inlineStr">
        <is>
          <t>정제</t>
        </is>
      </c>
      <c r="B16" s="16">
        <f>IF(ISBLANK('P1_공정시간'!$E$6),"",'P1_공정시간'!$E$6)</f>
        <v>45</v>
      </c>
      <c r="C16" s="9" t="inlineStr">
        <is>
          <t>h/Batch</t>
        </is>
      </c>
      <c r="D16" s="9" t="inlineStr">
        <is>
          <t>57 h에 포함 · 이번 자료 정제시간 기준</t>
        </is>
      </c>
      <c r="E16" s="9" t="inlineStr">
        <is>
          <t>연결</t>
        </is>
      </c>
      <c r="F16" s="9" t="inlineStr">
        <is>
          <t>P1_공정시간 E6 입력</t>
        </is>
      </c>
      <c r="G16" s="9" t="inlineStr">
        <is>
          <t>수정은 P1_공정시간 E6에서 · 57 − 2 − 2 − 6 − 2 = 45</t>
        </is>
      </c>
    </row>
    <row r="17">
      <c r="A17" s="9" t="inlineStr">
        <is>
          <t>공정검사 PQC + 제품 이송 (합계)</t>
        </is>
      </c>
      <c r="B17" s="16">
        <f>IF(ISBLANK('P1_공정시간'!$F$6),"",'P1_공정시간'!$F$6)</f>
        <v>6</v>
      </c>
      <c r="C17" s="9" t="inlineStr">
        <is>
          <t>h/Batch</t>
        </is>
      </c>
      <c r="D17" s="9" t="inlineStr">
        <is>
          <t>두 공정 합계 — 각각 6 h 적용 금지</t>
        </is>
      </c>
      <c r="E17" s="9" t="inlineStr">
        <is>
          <t>연결</t>
        </is>
      </c>
      <c r="F17" s="9" t="inlineStr">
        <is>
          <t>P1_공정시간 F6 입력</t>
        </is>
      </c>
      <c r="G17" s="9" t="inlineStr">
        <is>
          <t>수정은 P1_공정시간 F6에서 · 그림에서는 구분</t>
        </is>
      </c>
    </row>
    <row r="18">
      <c r="A18" s="9" t="inlineStr">
        <is>
          <t>제품검사 FQC</t>
        </is>
      </c>
      <c r="B18" s="16">
        <f>IF(ISBLANK('P1_공정시간'!$G$6),"",'P1_공정시간'!$G$6)</f>
        <v>2</v>
      </c>
      <c r="C18" s="9" t="inlineStr">
        <is>
          <t>h/Batch</t>
        </is>
      </c>
      <c r="D18" s="9" t="inlineStr">
        <is>
          <t>57 h에 포함</t>
        </is>
      </c>
      <c r="E18" s="9" t="inlineStr">
        <is>
          <t>연결</t>
        </is>
      </c>
      <c r="F18" s="9" t="inlineStr">
        <is>
          <t>P1_공정시간 G6 입력</t>
        </is>
      </c>
      <c r="G18" s="9" t="inlineStr">
        <is>
          <t>수정은 P1_공정시간 G6에서</t>
        </is>
      </c>
    </row>
    <row r="19">
      <c r="A19" s="9" t="inlineStr">
        <is>
          <t>충진 전까지 합계 (제공)</t>
        </is>
      </c>
      <c r="B19" s="17" t="n">
        <v>57</v>
      </c>
      <c r="C19" s="9" t="inlineStr">
        <is>
          <t>h/Batch</t>
        </is>
      </c>
      <c r="D19" s="9" t="inlineStr">
        <is>
          <t>2+2+45+6+2</t>
        </is>
      </c>
      <c r="E19" s="9" t="inlineStr">
        <is>
          <t>제공</t>
        </is>
      </c>
      <c r="F19" s="9" t="inlineStr">
        <is>
          <t>사용자 제공 조건 (2026-10-01 지시)</t>
        </is>
      </c>
      <c r="G19" s="9" t="inlineStr"/>
    </row>
    <row r="20">
      <c r="A20" s="9" t="inlineStr">
        <is>
          <t>충진 전까지 합계 (검증 수식)</t>
        </is>
      </c>
      <c r="B20" s="14">
        <f>'01_Inputs'!$B$14+'01_Inputs'!$B$15+'01_Inputs'!$B$16+'01_Inputs'!$B$17+'01_Inputs'!$B$18</f>
        <v>57</v>
      </c>
      <c r="C20" s="9" t="inlineStr">
        <is>
          <t>h/Batch</t>
        </is>
      </c>
      <c r="D20" s="9" t="inlineStr">
        <is>
          <t>제공값 57과 일치해야 함</t>
        </is>
      </c>
      <c r="E20" s="9" t="inlineStr">
        <is>
          <t>수식</t>
        </is>
      </c>
      <c r="F20" s="9" t="inlineStr">
        <is>
          <t>수식</t>
        </is>
      </c>
      <c r="G20" s="9" t="inlineStr"/>
    </row>
    <row r="21">
      <c r="A21" s="9" t="inlineStr">
        <is>
          <t>참고: 생산팀 대화 중 정제 49 h 언급</t>
        </is>
      </c>
      <c r="B21" s="18" t="n">
        <v>49</v>
      </c>
      <c r="C21" s="9" t="inlineStr">
        <is>
          <t>h</t>
        </is>
      </c>
      <c r="D21" s="9" t="inlineStr">
        <is>
          <t>이번 자료 미적용</t>
        </is>
      </c>
      <c r="E21" s="9" t="inlineStr">
        <is>
          <t>구두 언급</t>
        </is>
      </c>
      <c r="F21" s="9" t="inlineStr">
        <is>
          <t>생산팀 면담 구두 언급 (미검증)</t>
        </is>
      </c>
      <c r="G21" s="9" t="inlineStr">
        <is>
          <t>45 h 기준 적용 (사용자 결정)</t>
        </is>
      </c>
    </row>
    <row r="22">
      <c r="A22" s="9" t="inlineStr">
        <is>
          <t>제품 이송 중 정제기 점유시간</t>
        </is>
      </c>
      <c r="B22" s="5" t="n"/>
      <c r="C22" s="9" t="inlineStr">
        <is>
          <t>h/Batch</t>
        </is>
      </c>
      <c r="D22" s="9" t="inlineStr">
        <is>
          <t>PQC·이송 6 h 중 정제기 점유분</t>
        </is>
      </c>
      <c r="E22" s="9" t="inlineStr">
        <is>
          <t>미확인</t>
        </is>
      </c>
      <c r="F22" s="9" t="inlineStr">
        <is>
          <t>-</t>
        </is>
      </c>
      <c r="G22" s="9" t="inlineStr">
        <is>
          <t>미입력 시 점유 = 준비 2 + 정제 45 (하한)</t>
        </is>
      </c>
    </row>
    <row r="23">
      <c r="A23" s="9" t="inlineStr">
        <is>
          <t>검사 대기시간 (FQC 등)</t>
        </is>
      </c>
      <c r="B23" s="5" t="n"/>
      <c r="C23" s="9" t="inlineStr">
        <is>
          <t>h/Batch</t>
        </is>
      </c>
      <c r="D23" s="9" t="inlineStr">
        <is>
          <t>작업시간과 구분</t>
        </is>
      </c>
      <c r="E23" s="9" t="inlineStr">
        <is>
          <t>미확인</t>
        </is>
      </c>
      <c r="F23" s="9" t="inlineStr">
        <is>
          <t>-</t>
        </is>
      </c>
      <c r="G23" s="9" t="inlineStr"/>
    </row>
    <row r="24">
      <c r="A24" s="9" t="inlineStr">
        <is>
          <t>세척·전환</t>
        </is>
      </c>
      <c r="B24" s="5" t="n"/>
      <c r="C24" s="9" t="inlineStr">
        <is>
          <t>h/회</t>
        </is>
      </c>
      <c r="D24" s="9" t="inlineStr"/>
      <c r="E24" s="9" t="inlineStr">
        <is>
          <t>미확인</t>
        </is>
      </c>
      <c r="F24" s="9" t="inlineStr">
        <is>
          <t>-</t>
        </is>
      </c>
      <c r="G24" s="9" t="inlineStr"/>
    </row>
    <row r="25">
      <c r="A25" s="9" t="inlineStr">
        <is>
          <t>보수·정지 (정제기)</t>
        </is>
      </c>
      <c r="B25" s="5" t="n"/>
      <c r="C25" s="9" t="inlineStr">
        <is>
          <t>h/월</t>
        </is>
      </c>
      <c r="D25" s="9" t="inlineStr">
        <is>
          <t>월별 입력은 04 시트 F열</t>
        </is>
      </c>
      <c r="E25" s="9" t="inlineStr">
        <is>
          <t>미확인</t>
        </is>
      </c>
      <c r="F25" s="9" t="inlineStr">
        <is>
          <t>-</t>
        </is>
      </c>
      <c r="G25" s="9" t="inlineStr"/>
    </row>
    <row r="26">
      <c r="A26" s="9" t="inlineStr">
        <is>
          <t>Mix·리사이클 준비 (설비시간 사용)</t>
        </is>
      </c>
      <c r="B26" s="5" t="n"/>
      <c r="C26" s="9" t="inlineStr">
        <is>
          <t>h/Batch</t>
        </is>
      </c>
      <c r="D26" s="9" t="inlineStr">
        <is>
          <t>To-be 2대 운전 시 보조 작업</t>
        </is>
      </c>
      <c r="E26" s="9" t="inlineStr">
        <is>
          <t>미확인</t>
        </is>
      </c>
      <c r="F26" s="9" t="inlineStr">
        <is>
          <t>-</t>
        </is>
      </c>
      <c r="G26" s="9" t="inlineStr">
        <is>
          <t>52.4톤과 47.2톤 차이 요인 후보 — 확정 손실 아님</t>
        </is>
      </c>
    </row>
    <row r="27">
      <c r="A27" s="12" t="inlineStr">
        <is>
          <t>C. 충진 · OQC (필터는 충진에 포함)</t>
        </is>
      </c>
      <c r="B27" s="12" t="n"/>
      <c r="C27" s="12" t="n"/>
      <c r="D27" s="12" t="n"/>
      <c r="E27" s="12" t="n"/>
      <c r="F27" s="12" t="n"/>
      <c r="G27" s="12" t="n"/>
    </row>
    <row r="28">
      <c r="A28" s="9" t="inlineStr">
        <is>
          <t>5 Gal 충진 (글로브 박스)</t>
        </is>
      </c>
      <c r="B28" s="16">
        <f>IF(ISBLANK('P1_공정시간'!$C$13),"",'P1_공정시간'!$C$13)</f>
        <v>2</v>
      </c>
      <c r="C28" s="9" t="inlineStr">
        <is>
          <t>h/병</t>
        </is>
      </c>
      <c r="D28" s="9" t="inlineStr">
        <is>
          <t>하이닉스·CXMT 20 kg/병</t>
        </is>
      </c>
      <c r="E28" s="9" t="inlineStr">
        <is>
          <t>연결</t>
        </is>
      </c>
      <c r="F28" s="9" t="inlineStr">
        <is>
          <t>P1_공정시간 C13 입력</t>
        </is>
      </c>
      <c r="G28" s="9" t="inlineStr">
        <is>
          <t>수정은 P1_공정시간 C13에서 · 근거 없이 1 h로 변경 금지</t>
        </is>
      </c>
    </row>
    <row r="29">
      <c r="A29" s="9" t="inlineStr">
        <is>
          <t>한 Batch 5 Gal 충진 병수 (참고)</t>
        </is>
      </c>
      <c r="B29" s="19">
        <f>IF(ISBLANK('P1_공정시간'!$D$13),"",'P1_공정시간'!$D$13)</f>
        <v>9</v>
      </c>
      <c r="C29" s="9" t="inlineStr">
        <is>
          <t>병/Batch</t>
        </is>
      </c>
      <c r="D29" s="9" t="inlineStr">
        <is>
          <t>약 9병</t>
        </is>
      </c>
      <c r="E29" s="9" t="inlineStr">
        <is>
          <t>연결</t>
        </is>
      </c>
      <c r="F29" s="9" t="inlineStr">
        <is>
          <t>P1_공정시간 D13 입력</t>
        </is>
      </c>
      <c r="G29" s="9" t="inlineStr">
        <is>
          <t>수정은 P1_공정시간 D13에서 · 9 × 20 = 180 kg</t>
        </is>
      </c>
    </row>
    <row r="30">
      <c r="A30" s="9" t="inlineStr">
        <is>
          <t>한 Batch 5 Gal 충진시간</t>
        </is>
      </c>
      <c r="B30" s="14">
        <f>'01_Inputs'!$B$28*'01_Inputs'!$B$29</f>
        <v>18</v>
      </c>
      <c r="C30" s="9" t="inlineStr">
        <is>
          <t>h/Batch</t>
        </is>
      </c>
      <c r="D30" s="9" t="inlineStr">
        <is>
          <t>병당 h × 병수 (약 9병 18 h)</t>
        </is>
      </c>
      <c r="E30" s="9" t="inlineStr">
        <is>
          <t>수식</t>
        </is>
      </c>
      <c r="F30" s="9" t="inlineStr">
        <is>
          <t>수식</t>
        </is>
      </c>
      <c r="G30" s="9" t="inlineStr"/>
    </row>
    <row r="31">
      <c r="A31" s="9" t="inlineStr">
        <is>
          <t>5 Gal 정합 확인 (병수×병당)</t>
        </is>
      </c>
      <c r="B31" s="14">
        <f>'01_Inputs'!$B$29*'01_Inputs'!$B$28</f>
        <v>18</v>
      </c>
      <c r="C31" s="9" t="inlineStr">
        <is>
          <t>h/Batch</t>
        </is>
      </c>
      <c r="D31" s="9" t="inlineStr">
        <is>
          <t>18 h와 일치</t>
        </is>
      </c>
      <c r="E31" s="9" t="inlineStr">
        <is>
          <t>수식</t>
        </is>
      </c>
      <c r="F31" s="9" t="inlineStr">
        <is>
          <t>수식</t>
        </is>
      </c>
      <c r="G31" s="9" t="inlineStr"/>
    </row>
    <row r="32">
      <c r="A32" s="9" t="inlineStr">
        <is>
          <t>5 Gal OQC·출하 작업</t>
        </is>
      </c>
      <c r="B32" s="16">
        <f>IF(ISBLANK('P1_공정시간'!$J$6),"",'P1_공정시간'!$J$6)</f>
        <v>2</v>
      </c>
      <c r="C32" s="9" t="inlineStr">
        <is>
          <t>h/9병</t>
        </is>
      </c>
      <c r="D32" s="9" t="inlineStr">
        <is>
          <t>9병 합계 2 h</t>
        </is>
      </c>
      <c r="E32" s="9" t="inlineStr">
        <is>
          <t>연결</t>
        </is>
      </c>
      <c r="F32" s="9" t="inlineStr">
        <is>
          <t>P1_공정시간 J6 입력</t>
        </is>
      </c>
      <c r="G32" s="9" t="inlineStr">
        <is>
          <t>수정은 P1_공정시간 J6에서 · 물류 운송시간 별도</t>
        </is>
      </c>
    </row>
    <row r="33">
      <c r="A33" s="9" t="inlineStr">
        <is>
          <t>200 L OQC·출하 작업</t>
        </is>
      </c>
      <c r="B33" s="16">
        <f>IF(ISBLANK('P1_공정시간'!$J$7),"",'P1_공정시간'!$J$7)</f>
        <v>2</v>
      </c>
      <c r="C33" s="9" t="inlineStr">
        <is>
          <t>h/용기</t>
        </is>
      </c>
      <c r="D33" s="9" t="inlineStr">
        <is>
          <t>1용기 2 h</t>
        </is>
      </c>
      <c r="E33" s="9" t="inlineStr">
        <is>
          <t>연결</t>
        </is>
      </c>
      <c r="F33" s="9" t="inlineStr">
        <is>
          <t>P1_공정시간 J7 입력</t>
        </is>
      </c>
      <c r="G33" s="9" t="inlineStr">
        <is>
          <t>수정은 P1_공정시간 J7에서 · 물류 운송시간 별도</t>
        </is>
      </c>
    </row>
    <row r="34">
      <c r="A34" s="9" t="inlineStr">
        <is>
          <t>이지켐 200 L 수동 충진</t>
        </is>
      </c>
      <c r="B34" s="16">
        <f>IF(ISBLANK('P1_공정시간'!$I$7),"",'P1_공정시간'!$I$7)</f>
        <v>8</v>
      </c>
      <c r="C34" s="9" t="inlineStr">
        <is>
          <t>h/용기</t>
        </is>
      </c>
      <c r="D34" s="9" t="inlineStr">
        <is>
          <t>현재 수동</t>
        </is>
      </c>
      <c r="E34" s="9" t="inlineStr">
        <is>
          <t>연결</t>
        </is>
      </c>
      <c r="F34" s="9" t="inlineStr">
        <is>
          <t>P1_공정시간 I7 입력</t>
        </is>
      </c>
      <c r="G34" s="9" t="inlineStr">
        <is>
          <t>수정은 P1_공정시간 I7에서</t>
        </is>
      </c>
    </row>
    <row r="35">
      <c r="A35" s="9" t="inlineStr">
        <is>
          <t>한솔 200 L 수동 충진</t>
        </is>
      </c>
      <c r="B35" s="20">
        <f>IF(ISBLANK('P1_공정시간'!$I$8),"",'P1_공정시간'!$I$8)</f>
      </c>
      <c r="C35" s="9" t="inlineStr">
        <is>
          <t>h/용기</t>
        </is>
      </c>
      <c r="D35" s="9" t="inlineStr">
        <is>
          <t>'27.1~6</t>
        </is>
      </c>
      <c r="E35" s="9" t="inlineStr">
        <is>
          <t>연결</t>
        </is>
      </c>
      <c r="F35" s="9" t="inlineStr">
        <is>
          <t>P1_공정시간 I8 입력</t>
        </is>
      </c>
      <c r="G35" s="9" t="inlineStr">
        <is>
          <t>수정은 P1_공정시간 I8에서 · 이지켐 8 h를 확정값으로 복제하지 않음</t>
        </is>
      </c>
    </row>
    <row r="36">
      <c r="A36" s="9" t="inlineStr">
        <is>
          <t>이지켐 ARS 충진</t>
        </is>
      </c>
      <c r="B36" s="20">
        <f>IF(ISBLANK('P1_공정시간'!$H$13),"",'P1_공정시간'!$H$13)</f>
      </c>
      <c r="C36" s="9" t="inlineStr">
        <is>
          <t>h/용기</t>
        </is>
      </c>
      <c r="D36" s="9" t="inlineStr">
        <is>
          <t>ARS 전환 후</t>
        </is>
      </c>
      <c r="E36" s="9" t="inlineStr">
        <is>
          <t>연결</t>
        </is>
      </c>
      <c r="F36" s="9" t="inlineStr">
        <is>
          <t>P1_공정시간 H13 입력</t>
        </is>
      </c>
      <c r="G36" s="9" t="inlineStr">
        <is>
          <t>수정은 P1_공정시간 H13에서</t>
        </is>
      </c>
    </row>
    <row r="37">
      <c r="A37" s="9" t="inlineStr">
        <is>
          <t>한솔 ARS 충진</t>
        </is>
      </c>
      <c r="B37" s="20">
        <f>IF(ISBLANK('P1_공정시간'!$I$13),"",'P1_공정시간'!$I$13)</f>
      </c>
      <c r="C37" s="9" t="inlineStr">
        <is>
          <t>h/용기</t>
        </is>
      </c>
      <c r="D37" s="9" t="inlineStr">
        <is>
          <t>'27.7~</t>
        </is>
      </c>
      <c r="E37" s="9" t="inlineStr">
        <is>
          <t>연결</t>
        </is>
      </c>
      <c r="F37" s="9" t="inlineStr">
        <is>
          <t>P1_공정시간 I13 입력</t>
        </is>
      </c>
      <c r="G37" s="9" t="inlineStr">
        <is>
          <t>수정은 P1_공정시간 I13에서</t>
        </is>
      </c>
    </row>
    <row r="38">
      <c r="A38" s="9" t="inlineStr">
        <is>
          <t>공통 시간 적용 가정 (200 L 비교용)</t>
        </is>
      </c>
      <c r="B38" s="21" t="n">
        <v>8</v>
      </c>
      <c r="C38" s="9" t="inlineStr">
        <is>
          <t>h/용기</t>
        </is>
      </c>
      <c r="D38" s="9" t="inlineStr">
        <is>
          <t>미확인 고객에 이지켐 수동 8 h 공통 적용 시 비교</t>
        </is>
      </c>
      <c r="E38" s="9" t="inlineStr">
        <is>
          <t>가정</t>
        </is>
      </c>
      <c r="F38" s="9" t="inlineStr">
        <is>
          <t>비교용 가정</t>
        </is>
      </c>
      <c r="G38" s="9" t="inlineStr">
        <is>
          <t>확정값 아님 — 별도 열에만 사용</t>
        </is>
      </c>
    </row>
    <row r="39">
      <c r="A39" s="9" t="inlineStr">
        <is>
          <t>근무일 환산 기준 (일 근무시간)</t>
        </is>
      </c>
      <c r="B39" s="16">
        <f>IF(ISBLANK('P1_공정시간'!$K$13),"",'P1_공정시간'!$K$13)</f>
        <v>8</v>
      </c>
      <c r="C39" s="9" t="inlineStr">
        <is>
          <t>h/일</t>
        </is>
      </c>
      <c r="D39" s="9" t="inlineStr">
        <is>
          <t>18 h ÷ 8 h = 2.25 근무일</t>
        </is>
      </c>
      <c r="E39" s="9" t="inlineStr">
        <is>
          <t>연결</t>
        </is>
      </c>
      <c r="F39" s="9" t="inlineStr">
        <is>
          <t>P1_공정시간 K13 입력</t>
        </is>
      </c>
      <c r="G39" s="9" t="inlineStr">
        <is>
          <t>수정은 P1_공정시간 K13에서 · 현장: 5 Gal 충진 약 2일 소요 설명</t>
        </is>
      </c>
    </row>
    <row r="40">
      <c r="A40" s="9" t="inlineStr">
        <is>
          <t>충진·포장 목표 (개선 필요사항)</t>
        </is>
      </c>
      <c r="B40" s="3" t="inlineStr">
        <is>
          <t>1~1.5일</t>
        </is>
      </c>
      <c r="C40" s="9" t="inlineStr">
        <is>
          <t>일</t>
        </is>
      </c>
      <c r="D40" s="9" t="inlineStr">
        <is>
          <t>미달성 — 개선 과제</t>
        </is>
      </c>
      <c r="E40" s="9" t="inlineStr">
        <is>
          <t>계획</t>
        </is>
      </c>
      <c r="F40" s="9" t="inlineStr">
        <is>
          <t>사용자 제공 조건 (2026-10-01 지시)</t>
        </is>
      </c>
      <c r="G40" s="9" t="inlineStr">
        <is>
          <t>병당 2 h 변경·달성 실적으로 표시하지 않음</t>
        </is>
      </c>
    </row>
    <row r="41">
      <c r="A41" s="12" t="inlineStr">
        <is>
          <t>D. 고객 · 용기 · 충진 방식</t>
        </is>
      </c>
      <c r="B41" s="12" t="n"/>
      <c r="C41" s="12" t="n"/>
      <c r="D41" s="12" t="n"/>
      <c r="E41" s="12" t="n"/>
      <c r="F41" s="12" t="n"/>
      <c r="G41" s="12" t="n"/>
    </row>
    <row r="42">
      <c r="A42" s="9" t="inlineStr">
        <is>
          <t>5 Gal 충진량 (하이닉스·CXMT)</t>
        </is>
      </c>
      <c r="B42" s="22">
        <f>IF(ISBLANK('P1_공정시간'!$E$13),"",'P1_공정시간'!$E$13)</f>
        <v>20</v>
      </c>
      <c r="C42" s="9" t="inlineStr">
        <is>
          <t>kg/병</t>
        </is>
      </c>
      <c r="D42" s="9" t="inlineStr">
        <is>
          <t>5 Gal 약 19 L · 글로브 박스 유지</t>
        </is>
      </c>
      <c r="E42" s="9" t="inlineStr">
        <is>
          <t>연결</t>
        </is>
      </c>
      <c r="F42" s="9" t="inlineStr">
        <is>
          <t>P1_공정시간 E13 입력</t>
        </is>
      </c>
      <c r="G42" s="9" t="inlineStr">
        <is>
          <t>수정은 P1_공정시간 E13에서</t>
        </is>
      </c>
    </row>
    <row r="43">
      <c r="A43" s="9" t="inlineStr">
        <is>
          <t>이지켐 200 L 충진량</t>
        </is>
      </c>
      <c r="B43" s="22">
        <f>IF(ISBLANK('P1_공정시간'!$F$13),"",'P1_공정시간'!$F$13)</f>
        <v>140</v>
      </c>
      <c r="C43" s="9" t="inlineStr">
        <is>
          <t>kg/용기</t>
        </is>
      </c>
      <c r="D43" s="9" t="inlineStr">
        <is>
          <t>현재 수동 → 향후 ARS</t>
        </is>
      </c>
      <c r="E43" s="9" t="inlineStr">
        <is>
          <t>연결</t>
        </is>
      </c>
      <c r="F43" s="9" t="inlineStr">
        <is>
          <t>P1_공정시간 F13 입력</t>
        </is>
      </c>
      <c r="G43" s="9" t="inlineStr">
        <is>
          <t>수정은 P1_공정시간 F13에서</t>
        </is>
      </c>
    </row>
    <row r="44">
      <c r="A44" s="9" t="inlineStr">
        <is>
          <t>한솔 200 L 충진량</t>
        </is>
      </c>
      <c r="B44" s="22">
        <f>IF(ISBLANK('P1_공정시간'!$G$13),"",'P1_공정시간'!$G$13)</f>
        <v>150</v>
      </c>
      <c r="C44" s="9" t="inlineStr">
        <is>
          <t>kg/용기</t>
        </is>
      </c>
      <c r="D44" s="9" t="inlineStr">
        <is>
          <t>'27.1~6 수동 / '27.7~ ARS</t>
        </is>
      </c>
      <c r="E44" s="9" t="inlineStr">
        <is>
          <t>연결</t>
        </is>
      </c>
      <c r="F44" s="9" t="inlineStr">
        <is>
          <t>P1_공정시간 G13 입력</t>
        </is>
      </c>
      <c r="G44" s="9" t="inlineStr">
        <is>
          <t>수정은 P1_공정시간 G13에서</t>
        </is>
      </c>
    </row>
    <row r="45">
      <c r="A45" s="9" t="inlineStr">
        <is>
          <t>ARS 설치 (기존 계획)</t>
        </is>
      </c>
      <c r="B45" s="23" t="n">
        <v>46387</v>
      </c>
      <c r="C45" s="9" t="inlineStr">
        <is>
          <t>날짜</t>
        </is>
      </c>
      <c r="D45" s="9" t="inlineStr">
        <is>
          <t>200 L 전용 · 5 Gal 미적용</t>
        </is>
      </c>
      <c r="E45" s="9" t="inlineStr">
        <is>
          <t>계획</t>
        </is>
      </c>
      <c r="F45" s="9" t="inlineStr">
        <is>
          <t>기존 자료 ('26 설치 → '27 운영)</t>
        </is>
      </c>
      <c r="G45" s="9" t="inlineStr">
        <is>
          <t>설치일 미확정 — 2026년 내</t>
        </is>
      </c>
    </row>
    <row r="46">
      <c r="A46" s="9" t="inlineStr">
        <is>
          <t>한솔 ARS 적용 시작</t>
        </is>
      </c>
      <c r="B46" s="24">
        <f>IF(ISBLANK('P2_일정_Gantt'!$CY$6),"",'P2_일정_Gantt'!$CY$6)</f>
        <v>46569.0</v>
      </c>
      <c r="C46" s="9" t="inlineStr">
        <is>
          <t>날짜</t>
        </is>
      </c>
      <c r="D46" s="9" t="inlineStr">
        <is>
          <t>한솔</t>
        </is>
      </c>
      <c r="E46" s="9" t="inlineStr">
        <is>
          <t>연결</t>
        </is>
      </c>
      <c r="F46" s="9" t="inlineStr">
        <is>
          <t>P2_일정_Gantt CY6 입력</t>
        </is>
      </c>
      <c r="G46" s="9" t="inlineStr">
        <is>
          <t>수정은 P2_일정_Gantt CY6에서 · ARS 운영 시점 2027년 7월 · 2028년 전월 ARS</t>
        </is>
      </c>
    </row>
    <row r="47">
      <c r="A47" s="9" t="inlineStr">
        <is>
          <t>이지켐 ARS 전환 월</t>
        </is>
      </c>
      <c r="B47" s="24">
        <f>IF(ISBLANK('P2_일정_Gantt'!$CE$6),"",'P2_일정_Gantt'!$CE$6)</f>
        <v>46569.0</v>
      </c>
      <c r="C47" s="9" t="inlineStr">
        <is>
          <t>날짜</t>
        </is>
      </c>
      <c r="D47" s="9" t="inlineStr">
        <is>
          <t>이지켐</t>
        </is>
      </c>
      <c r="E47" s="9" t="inlineStr">
        <is>
          <t>연결</t>
        </is>
      </c>
      <c r="F47" s="9" t="inlineStr">
        <is>
          <t>P2_일정_Gantt CE6 입력</t>
        </is>
      </c>
      <c r="G47" s="9" t="inlineStr">
        <is>
          <t>수정은 P2_일정_Gantt CE6에서 · 이지켐·한솔 동일 '27.7~ ARS · '27.1~6 수동</t>
        </is>
      </c>
    </row>
    <row r="48">
      <c r="A48" s="12" t="inlineStr">
        <is>
          <t>E. 생산량 · 수율 · 잔량</t>
        </is>
      </c>
      <c r="B48" s="12" t="n"/>
      <c r="C48" s="12" t="n"/>
      <c r="D48" s="12" t="n"/>
      <c r="E48" s="12" t="n"/>
      <c r="F48" s="12" t="n"/>
      <c r="G48" s="12" t="n"/>
    </row>
    <row r="49">
      <c r="A49" s="9" t="inlineStr">
        <is>
          <t>Batch당 생산량 (환산 기준)</t>
        </is>
      </c>
      <c r="B49" s="22">
        <f>IF(ISBLANK('P1_공정시간'!$J$13),"",'P1_공정시간'!$J$13)</f>
        <v>190</v>
      </c>
      <c r="C49" s="9" t="inlineStr">
        <is>
          <t>kg/Batch</t>
        </is>
      </c>
      <c r="D49" s="9" t="inlineStr">
        <is>
          <t>기본 환산 기준</t>
        </is>
      </c>
      <c r="E49" s="9" t="inlineStr">
        <is>
          <t>연결</t>
        </is>
      </c>
      <c r="F49" s="9" t="inlineStr">
        <is>
          <t>P1_공정시간 J13 입력</t>
        </is>
      </c>
      <c r="G49" s="9" t="inlineStr">
        <is>
          <t>수정은 P1_공정시간 J13에서 · 구두 수치로 임의 변경 금지</t>
        </is>
      </c>
    </row>
    <row r="50">
      <c r="A50" s="9" t="inlineStr">
        <is>
          <t>9병 충진량</t>
        </is>
      </c>
      <c r="B50" s="25">
        <f>'01_Inputs'!$B$29*'01_Inputs'!$B$42</f>
        <v>180</v>
      </c>
      <c r="C50" s="9" t="inlineStr">
        <is>
          <t>kg</t>
        </is>
      </c>
      <c r="D50" s="9" t="inlineStr">
        <is>
          <t>9 × 20</t>
        </is>
      </c>
      <c r="E50" s="9" t="inlineStr">
        <is>
          <t>수식</t>
        </is>
      </c>
      <c r="F50" s="9" t="inlineStr">
        <is>
          <t>수식</t>
        </is>
      </c>
      <c r="G50" s="9" t="inlineStr"/>
    </row>
    <row r="51">
      <c r="A51" s="9" t="inlineStr">
        <is>
          <t>190 kg − 9병 차이 (잔량 후보)</t>
        </is>
      </c>
      <c r="B51" s="25">
        <f>'01_Inputs'!$B$49-B50</f>
        <v>10</v>
      </c>
      <c r="C51" s="9" t="inlineStr">
        <is>
          <t>kg/Batch</t>
        </is>
      </c>
      <c r="D51" s="9" t="inlineStr">
        <is>
          <t>잔량·추가 충진·재고 처리 확인</t>
        </is>
      </c>
      <c r="E51" s="9" t="inlineStr">
        <is>
          <t>수식</t>
        </is>
      </c>
      <c r="F51" s="9" t="inlineStr">
        <is>
          <t>수식</t>
        </is>
      </c>
      <c r="G51" s="9" t="inlineStr">
        <is>
          <t>자동 손실 처리 금지</t>
        </is>
      </c>
    </row>
    <row r="52">
      <c r="A52" s="9" t="inlineStr">
        <is>
          <t>구두: Crude 투입량</t>
        </is>
      </c>
      <c r="B52" s="26" t="n">
        <v>200</v>
      </c>
      <c r="C52" s="9" t="inlineStr">
        <is>
          <t>kg/Batch</t>
        </is>
      </c>
      <c r="D52" s="9" t="inlineStr">
        <is>
          <t>약</t>
        </is>
      </c>
      <c r="E52" s="9" t="inlineStr">
        <is>
          <t>구두 언급</t>
        </is>
      </c>
      <c r="F52" s="9" t="inlineStr">
        <is>
          <t>생산팀 면담 구두 언급 (미검증)</t>
        </is>
      </c>
      <c r="G52" s="9" t="inlineStr"/>
    </row>
    <row r="53">
      <c r="A53" s="9" t="inlineStr">
        <is>
          <t>구두: 순수 회수율 하한</t>
        </is>
      </c>
      <c r="B53" s="27" t="n">
        <v>0.75</v>
      </c>
      <c r="C53" s="9" t="inlineStr">
        <is>
          <t>%</t>
        </is>
      </c>
      <c r="D53" s="9" t="inlineStr">
        <is>
          <t>약 75~80%</t>
        </is>
      </c>
      <c r="E53" s="9" t="inlineStr">
        <is>
          <t>구두 언급</t>
        </is>
      </c>
      <c r="F53" s="9" t="inlineStr">
        <is>
          <t>생산팀 면담 구두 언급 (미검증)</t>
        </is>
      </c>
      <c r="G53" s="9" t="inlineStr"/>
    </row>
    <row r="54">
      <c r="A54" s="9" t="inlineStr">
        <is>
          <t>구두: 순수 회수율 상한</t>
        </is>
      </c>
      <c r="B54" s="27" t="n">
        <v>0.8</v>
      </c>
      <c r="C54" s="9" t="inlineStr">
        <is>
          <t>%</t>
        </is>
      </c>
      <c r="D54" s="9" t="inlineStr"/>
      <c r="E54" s="9" t="inlineStr">
        <is>
          <t>구두 언급</t>
        </is>
      </c>
      <c r="F54" s="9" t="inlineStr">
        <is>
          <t>생산팀 면담 구두 언급 (미검증)</t>
        </is>
      </c>
      <c r="G54" s="9" t="inlineStr"/>
    </row>
    <row r="55">
      <c r="A55" s="9" t="inlineStr">
        <is>
          <t>구두: 조건별 Batch량 언급</t>
        </is>
      </c>
      <c r="B55" s="7" t="inlineStr">
        <is>
          <t>160~170 / 약 220 / 평균 195~200 (197)</t>
        </is>
      </c>
      <c r="C55" s="9" t="inlineStr">
        <is>
          <t>kg</t>
        </is>
      </c>
      <c r="D55" s="9" t="inlineStr">
        <is>
          <t>리사이클·추가 투입으로 보충</t>
        </is>
      </c>
      <c r="E55" s="9" t="inlineStr">
        <is>
          <t>구두 언급</t>
        </is>
      </c>
      <c r="F55" s="9" t="inlineStr">
        <is>
          <t>생산팀 면담 구두 언급 (미검증)</t>
        </is>
      </c>
      <c r="G55" s="9" t="inlineStr">
        <is>
          <t>하나의 확정값으로 통합 안 함</t>
        </is>
      </c>
    </row>
    <row r="56">
      <c r="A56" s="9" t="inlineStr">
        <is>
          <t>구두: 135 kg · 120 kg 사례</t>
        </is>
      </c>
      <c r="B56" s="7" t="inlineStr">
        <is>
          <t>135 / 120</t>
        </is>
      </c>
      <c r="C56" s="9" t="inlineStr">
        <is>
          <t>kg</t>
        </is>
      </c>
      <c r="D56" s="9" t="inlineStr">
        <is>
          <t>집계 범위 다름</t>
        </is>
      </c>
      <c r="E56" s="9" t="inlineStr">
        <is>
          <t>구두 언급</t>
        </is>
      </c>
      <c r="F56" s="9" t="inlineStr">
        <is>
          <t>생산팀 면담 구두 언급 (미검증)</t>
        </is>
      </c>
      <c r="G56" s="9" t="inlineStr"/>
    </row>
    <row r="57">
      <c r="A57" s="9" t="inlineStr">
        <is>
          <t>구두: 이지켐향 추가 투입 제한</t>
        </is>
      </c>
      <c r="B57" s="7" t="inlineStr">
        <is>
          <t>색도 관리로 추가 투입 제한</t>
        </is>
      </c>
      <c r="C57" s="9" t="inlineStr">
        <is>
          <t>-</t>
        </is>
      </c>
      <c r="D57" s="9" t="inlineStr">
        <is>
          <t>이지켐</t>
        </is>
      </c>
      <c r="E57" s="9" t="inlineStr">
        <is>
          <t>구두 언급</t>
        </is>
      </c>
      <c r="F57" s="9" t="inlineStr">
        <is>
          <t>생산팀 면담 구두 언급 (미검증)</t>
        </is>
      </c>
      <c r="G57" s="9" t="inlineStr">
        <is>
          <t>'순도 기준 없음'·'전체 적합'으로 확정 안 함</t>
        </is>
      </c>
    </row>
    <row r="58">
      <c r="A58" s="9" t="inlineStr">
        <is>
          <t>Batch 신규 Crude 투입량 (실측)</t>
        </is>
      </c>
      <c r="B58" s="5" t="n"/>
      <c r="C58" s="9" t="inlineStr">
        <is>
          <t>kg/Batch</t>
        </is>
      </c>
      <c r="D58" s="9" t="inlineStr">
        <is>
          <t>수율 계산</t>
        </is>
      </c>
      <c r="E58" s="9" t="inlineStr">
        <is>
          <t>미확인</t>
        </is>
      </c>
      <c r="F58" s="9" t="inlineStr">
        <is>
          <t>-</t>
        </is>
      </c>
      <c r="G58" s="9" t="inlineStr"/>
    </row>
    <row r="59">
      <c r="A59" s="9" t="inlineStr">
        <is>
          <t>Batch 재순환 투입량 (실측)</t>
        </is>
      </c>
      <c r="B59" s="5" t="n"/>
      <c r="C59" s="9" t="inlineStr">
        <is>
          <t>kg/Batch</t>
        </is>
      </c>
      <c r="D59" s="9" t="inlineStr"/>
      <c r="E59" s="9" t="inlineStr">
        <is>
          <t>미확인</t>
        </is>
      </c>
      <c r="F59" s="9" t="inlineStr">
        <is>
          <t>-</t>
        </is>
      </c>
      <c r="G59" s="9" t="inlineStr"/>
    </row>
    <row r="60">
      <c r="A60" s="9" t="inlineStr">
        <is>
          <t>Batch 양품량 (실측)</t>
        </is>
      </c>
      <c r="B60" s="5" t="n"/>
      <c r="C60" s="9" t="inlineStr">
        <is>
          <t>kg/Batch</t>
        </is>
      </c>
      <c r="D60" s="9" t="inlineStr"/>
      <c r="E60" s="9" t="inlineStr">
        <is>
          <t>미확인</t>
        </is>
      </c>
      <c r="F60" s="9" t="inlineStr">
        <is>
          <t>-</t>
        </is>
      </c>
      <c r="G60" s="9" t="inlineStr">
        <is>
          <t>불량·재작업 손실 중복 차감 금지</t>
        </is>
      </c>
    </row>
    <row r="61">
      <c r="A61" s="9" t="inlineStr">
        <is>
          <t>개선 후 Batch당 생산량</t>
        </is>
      </c>
      <c r="B61" s="5" t="n"/>
      <c r="C61" s="9" t="inlineStr">
        <is>
          <t>kg/Batch</t>
        </is>
      </c>
      <c r="D61" s="9" t="inlineStr">
        <is>
          <t>'27.7~</t>
        </is>
      </c>
      <c r="E61" s="9" t="inlineStr">
        <is>
          <t>미확인</t>
        </is>
      </c>
      <c r="F61" s="9" t="inlineStr">
        <is>
          <t>-</t>
        </is>
      </c>
      <c r="G61" s="9" t="inlineStr">
        <is>
          <t>미입력 시 190 kg 유지로 계산·표시</t>
        </is>
      </c>
    </row>
    <row r="62">
      <c r="A62" s="12" t="inlineStr">
        <is>
          <t>F. Capa. (연간 환산 기준)</t>
        </is>
      </c>
      <c r="B62" s="12" t="n"/>
      <c r="C62" s="12" t="n"/>
      <c r="D62" s="12" t="n"/>
      <c r="E62" s="12" t="n"/>
      <c r="F62" s="12" t="n"/>
      <c r="G62" s="12" t="n"/>
    </row>
    <row r="63">
      <c r="A63" s="9" t="inlineStr">
        <is>
          <t>현재 연간 Capa.</t>
        </is>
      </c>
      <c r="B63" s="28">
        <f>IF(ISBLANK('P1_공정시간'!$I$17),"",'P1_공정시간'!$I$17)</f>
        <v>26.2</v>
      </c>
      <c r="C63" s="9" t="inlineStr">
        <is>
          <t>t/년</t>
        </is>
      </c>
      <c r="D63" s="9" t="inlineStr">
        <is>
          <t>기준값 유지</t>
        </is>
      </c>
      <c r="E63" s="9" t="inlineStr">
        <is>
          <t>연결</t>
        </is>
      </c>
      <c r="F63" s="9" t="inlineStr">
        <is>
          <t>P1_공정시간 I17 입력</t>
        </is>
      </c>
      <c r="G63" s="9" t="inlineStr">
        <is>
          <t>수정은 P1_공정시간 I17에서 · 시간·가동률·수율 조정해 맞추지 않음</t>
        </is>
      </c>
    </row>
    <row r="64">
      <c r="A64" s="9" t="inlineStr">
        <is>
          <t>개선 증가분</t>
        </is>
      </c>
      <c r="B64" s="29" t="n">
        <v>21</v>
      </c>
      <c r="C64" s="9" t="inlineStr">
        <is>
          <t>t/년</t>
        </is>
      </c>
      <c r="D64" s="9" t="inlineStr">
        <is>
          <t>'27.5~'28.4 최초 12개월 (대정비 1개월 포함)</t>
        </is>
      </c>
      <c r="E64" s="9" t="inlineStr">
        <is>
          <t>제공</t>
        </is>
      </c>
      <c r="F64" s="9" t="inlineStr">
        <is>
          <t>사용자 제공 조건 (2026-10-01 지시)</t>
        </is>
      </c>
      <c r="G64" s="9" t="inlineStr">
        <is>
          <t>정제기 2대 활용</t>
        </is>
      </c>
    </row>
    <row r="65">
      <c r="A65" s="9" t="inlineStr">
        <is>
          <t>개선 후 연간 환산 Capa.</t>
        </is>
      </c>
      <c r="B65" s="30">
        <f>'01_Inputs'!$B$63+'01_Inputs'!$B$64</f>
        <v>47.2</v>
      </c>
      <c r="C65" s="9" t="inlineStr">
        <is>
          <t>t/년</t>
        </is>
      </c>
      <c r="D65" s="9" t="inlineStr">
        <is>
          <t>≠ 2027 실제 생산량</t>
        </is>
      </c>
      <c r="E65" s="9" t="inlineStr">
        <is>
          <t>수식</t>
        </is>
      </c>
      <c r="F65" s="9" t="inlineStr">
        <is>
          <t>수식</t>
        </is>
      </c>
      <c r="G65" s="9" t="inlineStr">
        <is>
          <t>ARS 효과 미가산</t>
        </is>
      </c>
    </row>
    <row r="66">
      <c r="A66" s="9" t="inlineStr">
        <is>
          <t>참고: 현재 Capa. 단순 2배</t>
        </is>
      </c>
      <c r="B66" s="30">
        <f>'01_Inputs'!$B$63*2</f>
        <v>52.4</v>
      </c>
      <c r="C66" s="9" t="inlineStr">
        <is>
          <t>t/년</t>
        </is>
      </c>
      <c r="D66" s="9" t="inlineStr">
        <is>
          <t>적용 안 함 — Mix·리사이클 보조 작업 등</t>
        </is>
      </c>
      <c r="E66" s="9" t="inlineStr">
        <is>
          <t>수식</t>
        </is>
      </c>
      <c r="F66" s="9" t="inlineStr">
        <is>
          <t>수식</t>
        </is>
      </c>
      <c r="G66" s="9" t="inlineStr">
        <is>
          <t>52.4 − 47.2 차이를 확정 손실로 표시 안 함</t>
        </is>
      </c>
    </row>
    <row r="67">
      <c r="A67" s="9" t="inlineStr">
        <is>
          <t>105℃ 증가분</t>
        </is>
      </c>
      <c r="B67" s="29" t="n">
        <v>3</v>
      </c>
      <c r="C67" s="9" t="inlineStr">
        <is>
          <t>t/년</t>
        </is>
      </c>
      <c r="D67" s="9" t="inlineStr">
        <is>
          <t>2028 적용 (50.2톤 기준)</t>
        </is>
      </c>
      <c r="E67" s="9" t="inlineStr">
        <is>
          <t>계획</t>
        </is>
      </c>
      <c r="F67" s="9" t="inlineStr">
        <is>
          <t>사용자 지시 ('28년 50.2톤 기준)</t>
        </is>
      </c>
      <c r="G67" s="9" t="inlineStr">
        <is>
          <t>품질 검증·고객 승인 필요</t>
        </is>
      </c>
    </row>
    <row r="68">
      <c r="A68" s="9" t="inlineStr">
        <is>
          <t>105℃ 적용 Capa. (2028 기준)</t>
        </is>
      </c>
      <c r="B68" s="30">
        <f>'01_Inputs'!$B$65+'01_Inputs'!$B$67</f>
        <v>50.2</v>
      </c>
      <c r="C68" s="9" t="inlineStr">
        <is>
          <t>t/년</t>
        </is>
      </c>
      <c r="D68" s="9" t="inlineStr">
        <is>
          <t>2028 생산 계획 기준</t>
        </is>
      </c>
      <c r="E68" s="9" t="inlineStr">
        <is>
          <t>수식</t>
        </is>
      </c>
      <c r="F68" s="9" t="inlineStr">
        <is>
          <t>수식</t>
        </is>
      </c>
      <c r="G68" s="9" t="inlineStr"/>
    </row>
    <row r="69">
      <c r="A69" s="9" t="inlineStr">
        <is>
          <t>대정비 월 (매년)</t>
        </is>
      </c>
      <c r="B69" s="19">
        <f>IF(ISBLANK('P2_일정_Gantt'!$C$6),"",'P2_일정_Gantt'!$C$6)</f>
        <v>4</v>
      </c>
      <c r="C69" s="9" t="inlineStr">
        <is>
          <t>월</t>
        </is>
      </c>
      <c r="D69" s="9" t="inlineStr">
        <is>
          <t>2027·2028 4월</t>
        </is>
      </c>
      <c r="E69" s="9" t="inlineStr">
        <is>
          <t>연결</t>
        </is>
      </c>
      <c r="F69" s="9" t="inlineStr">
        <is>
          <t>P2_일정_Gantt C6 입력</t>
        </is>
      </c>
      <c r="G69" s="9" t="inlineStr">
        <is>
          <t>수정은 P2_일정_Gantt C6에서 · 대정비 월 생산 = 아래 생산량 (Capa. 기준 차감)</t>
        </is>
      </c>
    </row>
    <row r="70">
      <c r="A70" s="9" t="inlineStr">
        <is>
          <t>대정비 월 생산량</t>
        </is>
      </c>
      <c r="B70" s="31">
        <f>IF(ISBLANK('P4_2027_월별'!$F$6),"",'P4_2027_월별'!$F$6)</f>
        <v>1188</v>
      </c>
      <c r="C70" s="9" t="inlineStr">
        <is>
          <t>kg/월</t>
        </is>
      </c>
      <c r="D70" s="9" t="inlineStr">
        <is>
          <t>2027.4 확정 · 2028.4 동일 가정</t>
        </is>
      </c>
      <c r="E70" s="9" t="inlineStr">
        <is>
          <t>연결</t>
        </is>
      </c>
      <c r="F70" s="9" t="inlineStr">
        <is>
          <t>P4_2027_월별 F6 입력</t>
        </is>
      </c>
      <c r="G70" s="9" t="inlineStr">
        <is>
          <t>수정은 P4_2027_월별 F6에서</t>
        </is>
      </c>
    </row>
    <row r="71">
      <c r="A71" s="9" t="inlineStr">
        <is>
          <t>개선 후 월 Capa. (대정비 반영)</t>
        </is>
      </c>
      <c r="B71" s="32">
        <f>('01_Inputs'!$B$65*1000-'01_Inputs'!$B$70)/11</f>
        <v>4182.90909090909</v>
      </c>
      <c r="C71" s="9" t="inlineStr">
        <is>
          <t>kg/월</t>
        </is>
      </c>
      <c r="D71" s="9" t="inlineStr">
        <is>
          <t>'27.5~ 대정비 월 제외 11개월</t>
        </is>
      </c>
      <c r="E71" s="9" t="inlineStr">
        <is>
          <t>수식</t>
        </is>
      </c>
      <c r="F71" s="9" t="inlineStr">
        <is>
          <t>수식</t>
        </is>
      </c>
      <c r="G71" s="9" t="inlineStr">
        <is>
          <t>(47,200 − 1,188) ÷ 11 = 4,182.9 kg — 12개월 합계 47.2톤 유지</t>
        </is>
      </c>
    </row>
    <row r="72">
      <c r="A72" s="9" t="inlineStr">
        <is>
          <t>105℃ 적용 월 Capa. (대정비 반영)</t>
        </is>
      </c>
      <c r="B72" s="32">
        <f>('01_Inputs'!$B$68*1000-'01_Inputs'!$B$70)/11</f>
        <v>4455.63636363636</v>
      </c>
      <c r="C72" s="9" t="inlineStr">
        <is>
          <t>kg/월</t>
        </is>
      </c>
      <c r="D72" s="9" t="inlineStr">
        <is>
          <t>2028 (105℃ 적용 시작부터)</t>
        </is>
      </c>
      <c r="E72" s="9" t="inlineStr">
        <is>
          <t>수식</t>
        </is>
      </c>
      <c r="F72" s="9" t="inlineStr">
        <is>
          <t>수식</t>
        </is>
      </c>
      <c r="G72" s="9" t="inlineStr">
        <is>
          <t>(50,200 − 1,188) ÷ 11 = 4,455.6 kg — 12개월 합계 50.2톤</t>
        </is>
      </c>
    </row>
    <row r="73">
      <c r="A73" s="9" t="inlineStr">
        <is>
          <t>목표 Capa.</t>
        </is>
      </c>
      <c r="B73" s="29" t="n">
        <v>50</v>
      </c>
      <c r="C73" s="9" t="inlineStr">
        <is>
          <t>t/년</t>
        </is>
      </c>
      <c r="D73" s="9" t="inlineStr">
        <is>
          <t>2028년 이후 50톤 수준</t>
        </is>
      </c>
      <c r="E73" s="9" t="inlineStr">
        <is>
          <t>계획</t>
        </is>
      </c>
      <c r="F73" s="9" t="inlineStr">
        <is>
          <t>사용자 제공 조건 (2026-10-01 지시)</t>
        </is>
      </c>
      <c r="G73" s="9" t="inlineStr"/>
    </row>
    <row r="74">
      <c r="A74" s="9" t="inlineStr">
        <is>
          <t>과거 월 최대 생산 Batch</t>
        </is>
      </c>
      <c r="B74" s="19">
        <f>IF(ISBLANK('P1_공정시간'!$C$17),"",'P1_공정시간'!$C$17)</f>
        <v>11</v>
      </c>
      <c r="C74" s="9" t="inlineStr">
        <is>
          <t>Batch/월</t>
        </is>
      </c>
      <c r="D74" s="9" t="inlineStr">
        <is>
          <t>히스토리 최대</t>
        </is>
      </c>
      <c r="E74" s="9" t="inlineStr">
        <is>
          <t>연결</t>
        </is>
      </c>
      <c r="F74" s="9" t="inlineStr">
        <is>
          <t>P1_공정시간 C17 입력</t>
        </is>
      </c>
      <c r="G74" s="9" t="inlineStr">
        <is>
          <t>수정은 P1_공정시간 C17에서</t>
        </is>
      </c>
    </row>
    <row r="75">
      <c r="A75" s="9" t="inlineStr">
        <is>
          <t>검토 정제온도</t>
        </is>
      </c>
      <c r="B75" s="33" t="n">
        <v>105</v>
      </c>
      <c r="C75" s="9" t="inlineStr">
        <is>
          <t>℃</t>
        </is>
      </c>
      <c r="D75" s="9" t="inlineStr">
        <is>
          <t>2028 검토안</t>
        </is>
      </c>
      <c r="E75" s="9" t="inlineStr">
        <is>
          <t>검토안</t>
        </is>
      </c>
      <c r="F75" s="9" t="inlineStr">
        <is>
          <t>사용자 제공 조건 (2026-10-01 지시)</t>
        </is>
      </c>
      <c r="G75" s="9" t="inlineStr">
        <is>
          <t>열 안정성·Dimer·Unknown impurity·Yield</t>
        </is>
      </c>
    </row>
    <row r="76">
      <c r="A76" s="9" t="inlineStr">
        <is>
          <t>105℃ 50.2톤 적용 시작</t>
        </is>
      </c>
      <c r="B76" s="24">
        <f>IF(ISBLANK('P2_일정_Gantt'!$DS$6),"",'P2_일정_Gantt'!$DS$6)</f>
        <v>46753.0</v>
      </c>
      <c r="C76" s="9" t="inlineStr">
        <is>
          <t>날짜</t>
        </is>
      </c>
      <c r="D76" s="9" t="inlineStr">
        <is>
          <t>04 시트 월별 반영</t>
        </is>
      </c>
      <c r="E76" s="9" t="inlineStr">
        <is>
          <t>연결</t>
        </is>
      </c>
      <c r="F76" s="9" t="inlineStr">
        <is>
          <t>P2_일정_Gantt DS6 입력</t>
        </is>
      </c>
      <c r="G76" s="9" t="inlineStr">
        <is>
          <t>수정은 P2_일정_Gantt DS6에서 · 2028년 50.2톤 기준</t>
        </is>
      </c>
    </row>
    <row r="77">
      <c r="A77" s="9" t="inlineStr">
        <is>
          <t>105℃ 적용 시 설비별 Batch 간격</t>
        </is>
      </c>
      <c r="B77" s="5" t="n"/>
      <c r="C77" s="9" t="inlineStr">
        <is>
          <t>h/Batch</t>
        </is>
      </c>
      <c r="D77" s="9" t="inlineStr"/>
      <c r="E77" s="9" t="inlineStr">
        <is>
          <t>미확인</t>
        </is>
      </c>
      <c r="F77" s="9" t="inlineStr">
        <is>
          <t>-</t>
        </is>
      </c>
      <c r="G77" s="9" t="inlineStr"/>
    </row>
    <row r="78">
      <c r="A78" s="12" t="inlineStr">
        <is>
          <t>G. 일정 · 정제기 2대 시차 운전</t>
        </is>
      </c>
      <c r="B78" s="12" t="n"/>
      <c r="C78" s="12" t="n"/>
      <c r="D78" s="12" t="n"/>
      <c r="E78" s="12" t="n"/>
      <c r="F78" s="12" t="n"/>
      <c r="G78" s="12" t="n"/>
    </row>
    <row r="79">
      <c r="A79" s="9" t="inlineStr">
        <is>
          <t>2027 확정 생산 계획 (1~4월)</t>
        </is>
      </c>
      <c r="B79" s="3" t="inlineStr">
        <is>
          <t>2,178 / 2,178 / 3,168 / 1,188</t>
        </is>
      </c>
      <c r="C79" s="9" t="inlineStr">
        <is>
          <t>kg/월</t>
        </is>
      </c>
      <c r="D79" s="9" t="inlineStr">
        <is>
          <t>P4 생산 계획 행 입력</t>
        </is>
      </c>
      <c r="E79" s="9" t="inlineStr">
        <is>
          <t>확정</t>
        </is>
      </c>
      <c r="F79" s="9" t="inlineStr">
        <is>
          <t>사용자 제공 조건 (2026-10-01 지시)</t>
        </is>
      </c>
      <c r="G79" s="9" t="inlineStr">
        <is>
          <t>4월 = 대정비</t>
        </is>
      </c>
    </row>
    <row r="80">
      <c r="A80" s="9" t="inlineStr">
        <is>
          <t>개선 적용 생산 시작</t>
        </is>
      </c>
      <c r="B80" s="24">
        <f>IF(ISBLANK('P2_일정_Gantt'!$AQ$6),"",'P2_일정_Gantt'!$AQ$6)</f>
        <v>46508.0</v>
      </c>
      <c r="C80" s="9" t="inlineStr">
        <is>
          <t>날짜</t>
        </is>
      </c>
      <c r="D80" s="9" t="inlineStr">
        <is>
          <t>대정비 후 '27.5~</t>
        </is>
      </c>
      <c r="E80" s="9" t="inlineStr">
        <is>
          <t>연결</t>
        </is>
      </c>
      <c r="F80" s="9" t="inlineStr">
        <is>
          <t>P2_일정_Gantt AQ6 입력</t>
        </is>
      </c>
      <c r="G80" s="9" t="inlineStr">
        <is>
          <t>수정은 P2_일정_Gantt AQ6에서</t>
        </is>
      </c>
    </row>
    <row r="81">
      <c r="A81" s="9" t="inlineStr">
        <is>
          <t>최초 12개월 종료</t>
        </is>
      </c>
      <c r="B81" s="24">
        <f>IF(ISBLANK('P2_일정_Gantt'!$BK$6),"",'P2_일정_Gantt'!$BK$6)</f>
        <v>46873.0</v>
      </c>
      <c r="C81" s="9" t="inlineStr">
        <is>
          <t>날짜</t>
        </is>
      </c>
      <c r="D81" s="9" t="inlineStr">
        <is>
          <t>2027.5~2028.4</t>
        </is>
      </c>
      <c r="E81" s="9" t="inlineStr">
        <is>
          <t>연결</t>
        </is>
      </c>
      <c r="F81" s="9" t="inlineStr">
        <is>
          <t>P2_일정_Gantt BK6 입력</t>
        </is>
      </c>
      <c r="G81" s="9" t="inlineStr">
        <is>
          <t>수정은 P2_일정_Gantt BK6에서</t>
        </is>
      </c>
    </row>
    <row r="82">
      <c r="A82" s="9" t="inlineStr">
        <is>
          <t>개선 후 설비별 Batch 투입 간격</t>
        </is>
      </c>
      <c r="B82" s="20">
        <f>IF(ISBLANK('P2_일정_Gantt'!$FG$6),"",'P2_일정_Gantt'!$FG$6)</f>
      </c>
      <c r="C82" s="9" t="inlineStr">
        <is>
          <t>h/Batch</t>
        </is>
      </c>
      <c r="D82" s="9" t="inlineStr">
        <is>
          <t>정제기 1·2 각각</t>
        </is>
      </c>
      <c r="E82" s="9" t="inlineStr">
        <is>
          <t>연결</t>
        </is>
      </c>
      <c r="F82" s="9" t="inlineStr">
        <is>
          <t>P2_일정_Gantt FG6 입력</t>
        </is>
      </c>
      <c r="G82" s="9" t="inlineStr">
        <is>
          <t>수정은 P2_일정_Gantt FG6에서 · 45 h → 22.5 h 단축으로 계산하지 않음 · 공란 시 월 Capa. 역산 참고값</t>
        </is>
      </c>
    </row>
    <row r="83">
      <c r="A83" s="9" t="inlineStr">
        <is>
          <t>정제기 2 기동 시차 (정제기 1 투입 시작 기준)</t>
        </is>
      </c>
      <c r="B83" s="20">
        <f>IF(ISBLANK('P2_일정_Gantt'!$EM$6),"",'P2_일정_Gantt'!$EM$6)</f>
        <v>30</v>
      </c>
      <c r="C83" s="9" t="inlineStr">
        <is>
          <t>h</t>
        </is>
      </c>
      <c r="D83" s="9" t="inlineStr">
        <is>
          <t>Gantt 예시</t>
        </is>
      </c>
      <c r="E83" s="9" t="inlineStr">
        <is>
          <t>연결</t>
        </is>
      </c>
      <c r="F83" s="9" t="inlineStr">
        <is>
          <t>P2_일정_Gantt EM6 입력</t>
        </is>
      </c>
      <c r="G83" s="9" t="inlineStr">
        <is>
          <t>수정은 P2_일정_Gantt EM6에서 · 미확정 — 동시 기동·24 h 고정 아님</t>
        </is>
      </c>
    </row>
    <row r="84">
      <c r="A84" s="12" t="inlineStr">
        <is>
          <t>H. 후공정 자원 (정제기 720 h와 별도)</t>
        </is>
      </c>
      <c r="B84" s="12" t="n"/>
      <c r="C84" s="12" t="n"/>
      <c r="D84" s="12" t="n"/>
      <c r="E84" s="12" t="n"/>
      <c r="F84" s="12" t="n"/>
      <c r="G84" s="12" t="n"/>
    </row>
    <row r="85">
      <c r="A85" s="9" t="inlineStr">
        <is>
          <t>글로브 박스 수</t>
        </is>
      </c>
      <c r="B85" s="5" t="n"/>
      <c r="C85" s="9" t="inlineStr">
        <is>
          <t>대</t>
        </is>
      </c>
      <c r="D85" s="9" t="inlineStr">
        <is>
          <t>5 Gal</t>
        </is>
      </c>
      <c r="E85" s="9" t="inlineStr">
        <is>
          <t>미확인</t>
        </is>
      </c>
      <c r="F85" s="9" t="inlineStr">
        <is>
          <t>-</t>
        </is>
      </c>
      <c r="G85" s="9" t="inlineStr"/>
    </row>
    <row r="86">
      <c r="A86" s="9" t="inlineStr">
        <is>
          <t>글로브 박스 충진 가용 근무시간</t>
        </is>
      </c>
      <c r="B86" s="5" t="n"/>
      <c r="C86" s="9" t="inlineStr">
        <is>
          <t>h/월</t>
        </is>
      </c>
      <c r="D86" s="9" t="inlineStr">
        <is>
          <t>교대·인력</t>
        </is>
      </c>
      <c r="E86" s="9" t="inlineStr">
        <is>
          <t>미확인</t>
        </is>
      </c>
      <c r="F86" s="9" t="inlineStr">
        <is>
          <t>-</t>
        </is>
      </c>
      <c r="G86" s="9" t="inlineStr"/>
    </row>
    <row r="87">
      <c r="A87" s="9" t="inlineStr">
        <is>
          <t>200 L 수동/ARS 가용시간</t>
        </is>
      </c>
      <c r="B87" s="5" t="n"/>
      <c r="C87" s="9" t="inlineStr">
        <is>
          <t>h/월</t>
        </is>
      </c>
      <c r="D87" s="9" t="inlineStr"/>
      <c r="E87" s="9" t="inlineStr">
        <is>
          <t>미확인</t>
        </is>
      </c>
      <c r="F87" s="9" t="inlineStr">
        <is>
          <t>-</t>
        </is>
      </c>
      <c r="G87" s="9" t="inlineStr"/>
    </row>
    <row r="88">
      <c r="A88" s="9" t="inlineStr">
        <is>
          <t>검사(QC) 가용시간</t>
        </is>
      </c>
      <c r="B88" s="5" t="n"/>
      <c r="C88" s="9" t="inlineStr">
        <is>
          <t>h/월</t>
        </is>
      </c>
      <c r="D88" s="9" t="inlineStr"/>
      <c r="E88" s="9" t="inlineStr">
        <is>
          <t>미확인</t>
        </is>
      </c>
      <c r="F88" s="9" t="inlineStr">
        <is>
          <t>-</t>
        </is>
      </c>
      <c r="G88" s="9" t="inlineStr"/>
    </row>
    <row r="89">
      <c r="A89" s="9" t="inlineStr">
        <is>
          <t>Product Tank 수</t>
        </is>
      </c>
      <c r="B89" s="5" t="n"/>
      <c r="C89" s="9" t="inlineStr">
        <is>
          <t>기</t>
        </is>
      </c>
      <c r="D89" s="9" t="inlineStr"/>
      <c r="E89" s="9" t="inlineStr">
        <is>
          <t>미확인</t>
        </is>
      </c>
      <c r="F89" s="9" t="inlineStr">
        <is>
          <t>-</t>
        </is>
      </c>
      <c r="G89" s="9" t="inlineStr"/>
    </row>
    <row r="90">
      <c r="A90" s="9" t="inlineStr">
        <is>
          <t>Product Tank 용량</t>
        </is>
      </c>
      <c r="B90" s="5" t="n"/>
      <c r="C90" s="9" t="inlineStr">
        <is>
          <t>kg</t>
        </is>
      </c>
      <c r="D90" s="9" t="inlineStr"/>
      <c r="E90" s="9" t="inlineStr">
        <is>
          <t>미확인</t>
        </is>
      </c>
      <c r="F90" s="9" t="inlineStr">
        <is>
          <t>-</t>
        </is>
      </c>
      <c r="G90" s="9" t="inlineStr"/>
    </row>
    <row r="91">
      <c r="A91" s="9" t="inlineStr">
        <is>
          <t>참고 시나리오: 월 근무일</t>
        </is>
      </c>
      <c r="B91" s="6" t="n">
        <v>22</v>
      </c>
      <c r="C91" s="9" t="inlineStr">
        <is>
          <t>일/월</t>
        </is>
      </c>
      <c r="D91" s="9" t="inlineStr">
        <is>
          <t>03 시트 비교용</t>
        </is>
      </c>
      <c r="E91" s="9" t="inlineStr">
        <is>
          <t>가정</t>
        </is>
      </c>
      <c r="F91" s="9" t="inlineStr">
        <is>
          <t>참고 가정</t>
        </is>
      </c>
      <c r="G91" s="9" t="inlineStr">
        <is>
          <t>확정값 아님</t>
        </is>
      </c>
    </row>
    <row r="92">
      <c r="A92" s="9" t="inlineStr">
        <is>
          <t>참고 ①: 1교대 일 근무</t>
        </is>
      </c>
      <c r="B92" s="21" t="n">
        <v>8</v>
      </c>
      <c r="C92" s="9" t="inlineStr">
        <is>
          <t>h/일</t>
        </is>
      </c>
      <c r="D92" s="9" t="inlineStr"/>
      <c r="E92" s="9" t="inlineStr">
        <is>
          <t>가정</t>
        </is>
      </c>
      <c r="F92" s="9" t="inlineStr">
        <is>
          <t>참고 가정</t>
        </is>
      </c>
      <c r="G92" s="9" t="inlineStr"/>
    </row>
    <row r="93">
      <c r="A93" s="9" t="inlineStr">
        <is>
          <t>참고 ②: 2교대 일 근무</t>
        </is>
      </c>
      <c r="B93" s="21" t="n">
        <v>16</v>
      </c>
      <c r="C93" s="9" t="inlineStr">
        <is>
          <t>h/일</t>
        </is>
      </c>
      <c r="D93" s="9" t="inlineStr"/>
      <c r="E93" s="9" t="inlineStr">
        <is>
          <t>가정</t>
        </is>
      </c>
      <c r="F93" s="9" t="inlineStr">
        <is>
          <t>참고 가정</t>
        </is>
      </c>
      <c r="G93" s="9" t="inlineStr"/>
    </row>
    <row r="94">
      <c r="A94" s="9" t="inlineStr">
        <is>
          <t>참고 ③: 연속 근무</t>
        </is>
      </c>
      <c r="B94" s="21" t="n">
        <v>24</v>
      </c>
      <c r="C94" s="9" t="inlineStr">
        <is>
          <t>h/일</t>
        </is>
      </c>
      <c r="D94" s="9" t="inlineStr">
        <is>
          <t>30일</t>
        </is>
      </c>
      <c r="E94" s="9" t="inlineStr">
        <is>
          <t>가정</t>
        </is>
      </c>
      <c r="F94" s="9" t="inlineStr">
        <is>
          <t>참고 가정</t>
        </is>
      </c>
      <c r="G94" s="9" t="inlineStr"/>
    </row>
    <row r="95">
      <c r="A95" s="12" t="inlineStr">
        <is>
          <t>I. 과거 일정 분석 설정</t>
        </is>
      </c>
      <c r="B95" s="12" t="n"/>
      <c r="C95" s="12" t="n"/>
      <c r="D95" s="12" t="n"/>
      <c r="E95" s="12" t="n"/>
      <c r="F95" s="12" t="n"/>
      <c r="G95" s="12" t="n"/>
    </row>
    <row r="96">
      <c r="A96" s="9" t="inlineStr">
        <is>
          <t>분석 시작 Batch</t>
        </is>
      </c>
      <c r="B96" s="34" t="n">
        <v>39</v>
      </c>
      <c r="C96" s="9" t="inlineStr">
        <is>
          <t>#</t>
        </is>
      </c>
      <c r="D96" s="9" t="inlineStr">
        <is>
          <t>6/2</t>
        </is>
      </c>
      <c r="E96" s="9" t="inlineStr">
        <is>
          <t>가정</t>
        </is>
      </c>
      <c r="F96" s="9" t="inlineStr">
        <is>
          <t>분석 설정</t>
        </is>
      </c>
      <c r="G96" s="9" t="inlineStr">
        <is>
          <t>5월 일부 제외</t>
        </is>
      </c>
    </row>
    <row r="97">
      <c r="A97" s="9" t="inlineStr">
        <is>
          <t>분석 종료 Batch</t>
        </is>
      </c>
      <c r="B97" s="34" t="n">
        <v>92</v>
      </c>
      <c r="C97" s="9" t="inlineStr">
        <is>
          <t>#</t>
        </is>
      </c>
      <c r="D97" s="9" t="inlineStr">
        <is>
          <t>10/29</t>
        </is>
      </c>
      <c r="E97" s="9" t="inlineStr">
        <is>
          <t>가정</t>
        </is>
      </c>
      <c r="F97" s="9" t="inlineStr">
        <is>
          <t>분석 설정</t>
        </is>
      </c>
      <c r="G97" s="9" t="inlineStr"/>
    </row>
    <row r="98">
      <c r="A98" s="9" t="inlineStr">
        <is>
          <t>롤링 검토 간격 수</t>
        </is>
      </c>
      <c r="B98" s="34" t="n">
        <v>4</v>
      </c>
      <c r="C98" s="9" t="inlineStr">
        <is>
          <t>간격</t>
        </is>
      </c>
      <c r="D98" s="9" t="inlineStr"/>
      <c r="E98" s="9" t="inlineStr">
        <is>
          <t>가정</t>
        </is>
      </c>
      <c r="F98" s="9" t="inlineStr">
        <is>
          <t>분석 설정</t>
        </is>
      </c>
      <c r="G98" s="9" t="inlineStr"/>
    </row>
    <row r="99">
      <c r="A99" s="9" t="inlineStr">
        <is>
          <t>현재 조건 Batch 간격 기준 (1~4)</t>
        </is>
      </c>
      <c r="B99" s="34" t="n">
        <v>3</v>
      </c>
      <c r="C99" s="9" t="inlineStr">
        <is>
          <t>선택</t>
        </is>
      </c>
      <c r="D99" s="9" t="inlineStr">
        <is>
          <t>1=이론 45 h, 2=과거 최대 11, 3=관측 추정, 4=26.2톤 역산</t>
        </is>
      </c>
      <c r="E99" s="9" t="inlineStr">
        <is>
          <t>가정</t>
        </is>
      </c>
      <c r="F99" s="9" t="inlineStr">
        <is>
          <t>분석 설정</t>
        </is>
      </c>
      <c r="G99" s="9" t="inlineStr">
        <is>
          <t>04·05 현재 조건 생산 가능량</t>
        </is>
      </c>
    </row>
    <row r="100">
      <c r="A100" s="9" t="inlineStr">
        <is>
          <t>과거 Batch 일정 연도</t>
        </is>
      </c>
      <c r="B100" s="34" t="n">
        <v>2026</v>
      </c>
      <c r="C100" s="9" t="inlineStr">
        <is>
          <t>년</t>
        </is>
      </c>
      <c r="D100" s="9" t="inlineStr">
        <is>
          <t>원자료 연도 미표기</t>
        </is>
      </c>
      <c r="E100" s="9" t="inlineStr">
        <is>
          <t>가정</t>
        </is>
      </c>
      <c r="F100" s="9" t="inlineStr">
        <is>
          <t>첨부 PPT가 2026 출하와 비교</t>
        </is>
      </c>
      <c r="G100" s="9" t="inlineStr"/>
    </row>
    <row r="101">
      <c r="A101" s="12" t="inlineStr">
        <is>
          <t>J. 재고 · 품질</t>
        </is>
      </c>
      <c r="B101" s="12" t="n"/>
      <c r="C101" s="12" t="n"/>
      <c r="D101" s="12" t="n"/>
      <c r="E101" s="12" t="n"/>
      <c r="F101" s="12" t="n"/>
      <c r="G101" s="12" t="n"/>
    </row>
    <row r="102">
      <c r="A102" s="9" t="inlineStr">
        <is>
          <t>기초재고 (2026-01-01)</t>
        </is>
      </c>
      <c r="B102" s="5" t="n"/>
      <c r="C102" s="9" t="inlineStr">
        <is>
          <t>kg</t>
        </is>
      </c>
      <c r="D102" s="9" t="inlineStr">
        <is>
          <t>36개월 연속 이월</t>
        </is>
      </c>
      <c r="E102" s="9" t="inlineStr">
        <is>
          <t>미확인</t>
        </is>
      </c>
      <c r="F102" s="9" t="inlineStr">
        <is>
          <t>-</t>
        </is>
      </c>
      <c r="G102" s="9" t="inlineStr">
        <is>
          <t>미입력 시 재고 계산 보류 (0 초기화 안 함)</t>
        </is>
      </c>
    </row>
    <row r="103">
      <c r="A103" s="9" t="inlineStr">
        <is>
          <t>하이닉스 목표재고</t>
        </is>
      </c>
      <c r="B103" s="5" t="n"/>
      <c r="C103" s="9" t="inlineStr">
        <is>
          <t>kg</t>
        </is>
      </c>
      <c r="D103" s="9" t="inlineStr">
        <is>
          <t>우선 확보</t>
        </is>
      </c>
      <c r="E103" s="9" t="inlineStr">
        <is>
          <t>미확인</t>
        </is>
      </c>
      <c r="F103" s="9" t="inlineStr">
        <is>
          <t>-</t>
        </is>
      </c>
      <c r="G103" s="9" t="inlineStr">
        <is>
          <t>재고 수준 — 매년 반복 가산 안 함</t>
        </is>
      </c>
    </row>
    <row r="104">
      <c r="A104" s="9" t="inlineStr">
        <is>
          <t>전체 목표 기말재고</t>
        </is>
      </c>
      <c r="B104" s="5" t="n"/>
      <c r="C104" s="9" t="inlineStr">
        <is>
          <t>kg</t>
        </is>
      </c>
      <c r="D104" s="9" t="inlineStr"/>
      <c r="E104" s="9" t="inlineStr">
        <is>
          <t>미확인</t>
        </is>
      </c>
      <c r="F104" s="9" t="inlineStr">
        <is>
          <t>-</t>
        </is>
      </c>
      <c r="G104" s="9" t="inlineStr"/>
    </row>
    <row r="105">
      <c r="A105" s="9" t="inlineStr">
        <is>
          <t>정제 Batch 양품률</t>
        </is>
      </c>
      <c r="B105" s="5" t="n"/>
      <c r="C105" s="9" t="inlineStr">
        <is>
          <t>%</t>
        </is>
      </c>
      <c r="D105" s="9" t="inlineStr"/>
      <c r="E105" s="9" t="inlineStr">
        <is>
          <t>미확인</t>
        </is>
      </c>
      <c r="F105" s="9" t="inlineStr">
        <is>
          <t>-</t>
        </is>
      </c>
      <c r="G105" s="9" t="inlineStr">
        <is>
          <t>미입력 시 100% 상한값으로 표시</t>
        </is>
      </c>
    </row>
    <row r="106">
      <c r="A106" s="9" t="inlineStr">
        <is>
          <t>하이닉스 합격률</t>
        </is>
      </c>
      <c r="B106" s="5" t="n"/>
      <c r="C106" s="9" t="inlineStr">
        <is>
          <t>%</t>
        </is>
      </c>
      <c r="D106" s="9" t="inlineStr"/>
      <c r="E106" s="9" t="inlineStr">
        <is>
          <t>미확인</t>
        </is>
      </c>
      <c r="F106" s="9" t="inlineStr">
        <is>
          <t>-</t>
        </is>
      </c>
      <c r="G106" s="9" t="inlineStr"/>
    </row>
    <row r="107">
      <c r="A107" s="9" t="inlineStr">
        <is>
          <t>CXMT 합격률</t>
        </is>
      </c>
      <c r="B107" s="5" t="n"/>
      <c r="C107" s="9" t="inlineStr">
        <is>
          <t>%</t>
        </is>
      </c>
      <c r="D107" s="9" t="inlineStr"/>
      <c r="E107" s="9" t="inlineStr">
        <is>
          <t>미확인</t>
        </is>
      </c>
      <c r="F107" s="9" t="inlineStr">
        <is>
          <t>-</t>
        </is>
      </c>
      <c r="G107" s="9" t="inlineStr"/>
    </row>
    <row r="108">
      <c r="A108" s="9" t="inlineStr">
        <is>
          <t>이지켐 합격률 (색도 포함)</t>
        </is>
      </c>
      <c r="B108" s="5" t="n"/>
      <c r="C108" s="9" t="inlineStr">
        <is>
          <t>%</t>
        </is>
      </c>
      <c r="D108" s="9" t="inlineStr"/>
      <c r="E108" s="9" t="inlineStr">
        <is>
          <t>미확인</t>
        </is>
      </c>
      <c r="F108" s="9" t="inlineStr">
        <is>
          <t>-</t>
        </is>
      </c>
      <c r="G108" s="9" t="inlineStr">
        <is>
          <t>색도 관리 중요 — 전체 적합 확정 안 함</t>
        </is>
      </c>
    </row>
    <row r="109">
      <c r="A109" s="9" t="inlineStr">
        <is>
          <t>한솔 합격률</t>
        </is>
      </c>
      <c r="B109" s="5" t="n"/>
      <c r="C109" s="9" t="inlineStr">
        <is>
          <t>%</t>
        </is>
      </c>
      <c r="D109" s="9" t="inlineStr"/>
      <c r="E109" s="9" t="inlineStr">
        <is>
          <t>미확인</t>
        </is>
      </c>
      <c r="F109" s="9" t="inlineStr">
        <is>
          <t>-</t>
        </is>
      </c>
      <c r="G109" s="9" t="inlineStr"/>
    </row>
    <row r="110">
      <c r="A110" s="9" t="inlineStr">
        <is>
          <t>하이닉스 외 고객 우선순위</t>
        </is>
      </c>
      <c r="B110" s="5" t="n"/>
      <c r="C110" s="9" t="inlineStr">
        <is>
          <t>-</t>
        </is>
      </c>
      <c r="D110" s="9" t="inlineStr">
        <is>
          <t>CXMT·이지켐·한솔</t>
        </is>
      </c>
      <c r="E110" s="9" t="inlineStr">
        <is>
          <t>미확인</t>
        </is>
      </c>
      <c r="F110" s="9" t="inlineStr">
        <is>
          <t>-</t>
        </is>
      </c>
      <c r="G110" s="9" t="inlineStr">
        <is>
          <t>미입력 시 잔여량을 출하 비율로 배분 (우선순위 가정 없음)</t>
        </is>
      </c>
    </row>
    <row r="112">
      <c r="A112" s="35" t="inlineStr">
        <is>
          <t>고객별 월별 출하계획 (kg) — 2026 제시분 · 2027 계획 · 2028 가정</t>
        </is>
      </c>
    </row>
    <row r="113" ht="30" customHeight="1">
      <c r="A113" s="11" t="inlineStr">
        <is>
          <t>고객</t>
        </is>
      </c>
      <c r="B113" s="11" t="inlineStr">
        <is>
          <t>연도</t>
        </is>
      </c>
      <c r="C113" s="11" t="inlineStr">
        <is>
          <t>1월</t>
        </is>
      </c>
      <c r="D113" s="11" t="inlineStr">
        <is>
          <t>2월</t>
        </is>
      </c>
      <c r="E113" s="11" t="inlineStr">
        <is>
          <t>3월</t>
        </is>
      </c>
      <c r="F113" s="11" t="inlineStr">
        <is>
          <t>4월</t>
        </is>
      </c>
      <c r="G113" s="11" t="inlineStr">
        <is>
          <t>5월</t>
        </is>
      </c>
      <c r="H113" s="11" t="inlineStr">
        <is>
          <t>6월</t>
        </is>
      </c>
      <c r="I113" s="11" t="inlineStr">
        <is>
          <t>7월</t>
        </is>
      </c>
      <c r="J113" s="11" t="inlineStr">
        <is>
          <t>8월</t>
        </is>
      </c>
      <c r="K113" s="11" t="inlineStr">
        <is>
          <t>9월</t>
        </is>
      </c>
      <c r="L113" s="11" t="inlineStr">
        <is>
          <t>10월</t>
        </is>
      </c>
      <c r="M113" s="11" t="inlineStr">
        <is>
          <t>11월</t>
        </is>
      </c>
      <c r="N113" s="11" t="inlineStr">
        <is>
          <t>12월</t>
        </is>
      </c>
      <c r="O113" s="11" t="inlineStr">
        <is>
          <t>연간</t>
        </is>
      </c>
      <c r="P113" s="11" t="inlineStr">
        <is>
          <t>실적/계획 구분</t>
        </is>
      </c>
      <c r="Q113" s="11" t="inlineStr">
        <is>
          <t>출처</t>
        </is>
      </c>
      <c r="R113" s="11" t="inlineStr">
        <is>
          <t>비고</t>
        </is>
      </c>
    </row>
    <row r="114">
      <c r="A114" s="9" t="inlineStr">
        <is>
          <t>하이닉스</t>
        </is>
      </c>
      <c r="B114" s="15" t="n">
        <v>2026</v>
      </c>
      <c r="C114" s="32">
        <f>IF(ISBLANK('P3_과거Batch_2026'!$AM$13),"",'P3_과거Batch_2026'!$AM$13)</f>
        <v>1600</v>
      </c>
      <c r="D114" s="32">
        <f>IF(ISBLANK('P3_과거Batch_2026'!$AN$13),"",'P3_과거Batch_2026'!$AN$13)</f>
        <v>1420</v>
      </c>
      <c r="E114" s="32">
        <f>IF(ISBLANK('P3_과거Batch_2026'!$AO$13),"",'P3_과거Batch_2026'!$AO$13)</f>
        <v>1440</v>
      </c>
      <c r="F114" s="32">
        <f>IF(ISBLANK('P3_과거Batch_2026'!$AP$13),"",'P3_과거Batch_2026'!$AP$13)</f>
        <v>1580</v>
      </c>
      <c r="G114" s="32">
        <f>IF(ISBLANK('P3_과거Batch_2026'!$AQ$13),"",'P3_과거Batch_2026'!$AQ$13)</f>
        <v>1200</v>
      </c>
      <c r="H114" s="32">
        <f>IF(ISBLANK('P3_과거Batch_2026'!$AR$13),"",'P3_과거Batch_2026'!$AR$13)</f>
        <v>1200</v>
      </c>
      <c r="I114" s="32">
        <f>IF(ISBLANK('P3_과거Batch_2026'!$AS$13),"",'P3_과거Batch_2026'!$AS$13)</f>
        <v>1360</v>
      </c>
      <c r="J114" s="32">
        <f>IF(ISBLANK('P3_과거Batch_2026'!$AT$13),"",'P3_과거Batch_2026'!$AT$13)</f>
        <v>1420</v>
      </c>
      <c r="K114" s="32">
        <f>IF(ISBLANK('P3_과거Batch_2026'!$AU$13),"",'P3_과거Batch_2026'!$AU$13)</f>
        <v>1380</v>
      </c>
      <c r="L114" s="32">
        <f>IF(ISBLANK('P3_과거Batch_2026'!$AV$13),"",'P3_과거Batch_2026'!$AV$13)</f>
        <v>1480</v>
      </c>
      <c r="M114" s="32">
        <f>IF(ISBLANK('P3_과거Batch_2026'!$AW$13),"",'P3_과거Batch_2026'!$AW$13)</f>
        <v>1480</v>
      </c>
      <c r="N114" s="32">
        <f>IF(ISBLANK('P3_과거Batch_2026'!$AX$13),"",'P3_과거Batch_2026'!$AX$13)</f>
        <v>1420</v>
      </c>
      <c r="O114" s="36">
        <f>IF(COUNT(C114:N114)=0,"미제시",SUM(C114:N114))</f>
        <v>16980</v>
      </c>
      <c r="P114" s="9" t="inlineStr">
        <is>
          <t>원자료 실적/계획 구분 미확인</t>
        </is>
      </c>
      <c r="Q114" s="9" t="inlineStr">
        <is>
          <t>P3_과거Batch_2026 입력 (연결)</t>
        </is>
      </c>
      <c r="R114" s="9" t="inlineStr"/>
    </row>
    <row r="115">
      <c r="A115" s="9" t="inlineStr">
        <is>
          <t>CXMT</t>
        </is>
      </c>
      <c r="B115" s="15" t="n">
        <v>2026</v>
      </c>
      <c r="C115" s="32">
        <f>IF(ISBLANK('P3_과거Batch_2026'!$AM$15),"",'P3_과거Batch_2026'!$AM$15)</f>
      </c>
      <c r="D115" s="32">
        <f>IF(ISBLANK('P3_과거Batch_2026'!$AN$15),"",'P3_과거Batch_2026'!$AN$15)</f>
      </c>
      <c r="E115" s="32">
        <f>IF(ISBLANK('P3_과거Batch_2026'!$AO$15),"",'P3_과거Batch_2026'!$AO$15)</f>
      </c>
      <c r="F115" s="32">
        <f>IF(ISBLANK('P3_과거Batch_2026'!$AP$15),"",'P3_과거Batch_2026'!$AP$15)</f>
      </c>
      <c r="G115" s="32">
        <f>IF(ISBLANK('P3_과거Batch_2026'!$AQ$15),"",'P3_과거Batch_2026'!$AQ$15)</f>
      </c>
      <c r="H115" s="32">
        <f>IF(ISBLANK('P3_과거Batch_2026'!$AR$15),"",'P3_과거Batch_2026'!$AR$15)</f>
      </c>
      <c r="I115" s="32">
        <f>IF(ISBLANK('P3_과거Batch_2026'!$AS$15),"",'P3_과거Batch_2026'!$AS$15)</f>
      </c>
      <c r="J115" s="32">
        <f>IF(ISBLANK('P3_과거Batch_2026'!$AT$15),"",'P3_과거Batch_2026'!$AT$15)</f>
      </c>
      <c r="K115" s="32">
        <f>IF(ISBLANK('P3_과거Batch_2026'!$AU$15),"",'P3_과거Batch_2026'!$AU$15)</f>
      </c>
      <c r="L115" s="32">
        <f>IF(ISBLANK('P3_과거Batch_2026'!$AV$15),"",'P3_과거Batch_2026'!$AV$15)</f>
      </c>
      <c r="M115" s="32">
        <f>IF(ISBLANK('P3_과거Batch_2026'!$AW$15),"",'P3_과거Batch_2026'!$AW$15)</f>
      </c>
      <c r="N115" s="32">
        <f>IF(ISBLANK('P3_과거Batch_2026'!$AX$15),"",'P3_과거Batch_2026'!$AX$15)</f>
      </c>
      <c r="O115" s="36" t="str">
        <f>IF(COUNT(C115:N115)=0,"미제시",SUM(C115:N115))</f>
        <v>미제시</v>
      </c>
      <c r="P115" s="9" t="inlineStr">
        <is>
          <t>원자료 실적/계획 구분 미확인</t>
        </is>
      </c>
      <c r="Q115" s="9" t="inlineStr">
        <is>
          <t>P3_과거Batch_2026 입력 (연결)</t>
        </is>
      </c>
      <c r="R115" s="9" t="inlineStr">
        <is>
          <t>미제시 시 공란 — 합계 제외</t>
        </is>
      </c>
    </row>
    <row r="116">
      <c r="A116" s="9" t="inlineStr">
        <is>
          <t>이지켐</t>
        </is>
      </c>
      <c r="B116" s="15" t="n">
        <v>2026</v>
      </c>
      <c r="C116" s="32">
        <f>IF(ISBLANK('P3_과거Batch_2026'!$AM$14),"",'P3_과거Batch_2026'!$AM$14)</f>
        <v>0</v>
      </c>
      <c r="D116" s="32">
        <f>IF(ISBLANK('P3_과거Batch_2026'!$AN$14),"",'P3_과거Batch_2026'!$AN$14)</f>
        <v>0</v>
      </c>
      <c r="E116" s="32">
        <f>IF(ISBLANK('P3_과거Batch_2026'!$AO$14),"",'P3_과거Batch_2026'!$AO$14)</f>
        <v>0</v>
      </c>
      <c r="F116" s="32">
        <f>IF(ISBLANK('P3_과거Batch_2026'!$AP$14),"",'P3_과거Batch_2026'!$AP$14)</f>
        <v>0</v>
      </c>
      <c r="G116" s="32">
        <f>IF(ISBLANK('P3_과거Batch_2026'!$AQ$14),"",'P3_과거Batch_2026'!$AQ$14)</f>
        <v>0</v>
      </c>
      <c r="H116" s="32">
        <f>IF(ISBLANK('P3_과거Batch_2026'!$AR$14),"",'P3_과거Batch_2026'!$AR$14)</f>
        <v>0</v>
      </c>
      <c r="I116" s="32">
        <f>IF(ISBLANK('P3_과거Batch_2026'!$AS$14),"",'P3_과거Batch_2026'!$AS$14)</f>
        <v>0</v>
      </c>
      <c r="J116" s="32">
        <f>IF(ISBLANK('P3_과거Batch_2026'!$AT$14),"",'P3_과거Batch_2026'!$AT$14)</f>
        <v>0</v>
      </c>
      <c r="K116" s="32">
        <f>IF(ISBLANK('P3_과거Batch_2026'!$AU$14),"",'P3_과거Batch_2026'!$AU$14)</f>
        <v>560</v>
      </c>
      <c r="L116" s="32">
        <f>IF(ISBLANK('P3_과거Batch_2026'!$AV$14),"",'P3_과거Batch_2026'!$AV$14)</f>
        <v>560</v>
      </c>
      <c r="M116" s="32">
        <f>IF(ISBLANK('P3_과거Batch_2026'!$AW$14),"",'P3_과거Batch_2026'!$AW$14)</f>
        <v>560</v>
      </c>
      <c r="N116" s="32">
        <f>IF(ISBLANK('P3_과거Batch_2026'!$AX$14),"",'P3_과거Batch_2026'!$AX$14)</f>
        <v>560</v>
      </c>
      <c r="O116" s="36">
        <f>IF(COUNT(C116:N116)=0,"미제시",SUM(C116:N116))</f>
        <v>2240</v>
      </c>
      <c r="P116" s="9" t="inlineStr">
        <is>
          <t>원자료 실적/계획 구분 미확인</t>
        </is>
      </c>
      <c r="Q116" s="9" t="inlineStr">
        <is>
          <t>P3_과거Batch_2026 입력 (연결)</t>
        </is>
      </c>
      <c r="R116" s="9" t="inlineStr"/>
    </row>
    <row r="117">
      <c r="A117" s="9" t="inlineStr">
        <is>
          <t>한솔</t>
        </is>
      </c>
      <c r="B117" s="15" t="n">
        <v>2026</v>
      </c>
      <c r="C117" s="32">
        <f>IF(ISBLANK('P3_과거Batch_2026'!$AM$16),"",'P3_과거Batch_2026'!$AM$16)</f>
      </c>
      <c r="D117" s="32">
        <f>IF(ISBLANK('P3_과거Batch_2026'!$AN$16),"",'P3_과거Batch_2026'!$AN$16)</f>
      </c>
      <c r="E117" s="32">
        <f>IF(ISBLANK('P3_과거Batch_2026'!$AO$16),"",'P3_과거Batch_2026'!$AO$16)</f>
      </c>
      <c r="F117" s="32">
        <f>IF(ISBLANK('P3_과거Batch_2026'!$AP$16),"",'P3_과거Batch_2026'!$AP$16)</f>
      </c>
      <c r="G117" s="32">
        <f>IF(ISBLANK('P3_과거Batch_2026'!$AQ$16),"",'P3_과거Batch_2026'!$AQ$16)</f>
      </c>
      <c r="H117" s="32">
        <f>IF(ISBLANK('P3_과거Batch_2026'!$AR$16),"",'P3_과거Batch_2026'!$AR$16)</f>
      </c>
      <c r="I117" s="32">
        <f>IF(ISBLANK('P3_과거Batch_2026'!$AS$16),"",'P3_과거Batch_2026'!$AS$16)</f>
      </c>
      <c r="J117" s="32">
        <f>IF(ISBLANK('P3_과거Batch_2026'!$AT$16),"",'P3_과거Batch_2026'!$AT$16)</f>
      </c>
      <c r="K117" s="32">
        <f>IF(ISBLANK('P3_과거Batch_2026'!$AU$16),"",'P3_과거Batch_2026'!$AU$16)</f>
      </c>
      <c r="L117" s="32">
        <f>IF(ISBLANK('P3_과거Batch_2026'!$AV$16),"",'P3_과거Batch_2026'!$AV$16)</f>
      </c>
      <c r="M117" s="32">
        <f>IF(ISBLANK('P3_과거Batch_2026'!$AW$16),"",'P3_과거Batch_2026'!$AW$16)</f>
      </c>
      <c r="N117" s="32">
        <f>IF(ISBLANK('P3_과거Batch_2026'!$AX$16),"",'P3_과거Batch_2026'!$AX$16)</f>
      </c>
      <c r="O117" s="36" t="str">
        <f>IF(COUNT(C117:N117)=0,"미제시",SUM(C117:N117))</f>
        <v>미제시</v>
      </c>
      <c r="P117" s="9" t="inlineStr">
        <is>
          <t>원자료 실적/계획 구분 미확인</t>
        </is>
      </c>
      <c r="Q117" s="9" t="inlineStr">
        <is>
          <t>P3_과거Batch_2026 입력 (연결)</t>
        </is>
      </c>
      <c r="R117" s="9" t="inlineStr">
        <is>
          <t>미제시 시 공란 — 합계 제외</t>
        </is>
      </c>
    </row>
    <row r="118">
      <c r="A118" s="9" t="inlineStr">
        <is>
          <t>하이닉스</t>
        </is>
      </c>
      <c r="B118" s="15" t="n">
        <v>2027</v>
      </c>
      <c r="C118" s="32">
        <f>IF(ISBLANK('P4_2027_월별'!$C$9),"",'P4_2027_월별'!$C$9)</f>
        <v>1893.33333333333</v>
      </c>
      <c r="D118" s="32">
        <f>IF(ISBLANK('P4_2027_월별'!$D$9),"",'P4_2027_월별'!$D$9)</f>
        <v>1893.33333333333</v>
      </c>
      <c r="E118" s="32">
        <f>IF(ISBLANK('P4_2027_월별'!$E$9),"",'P4_2027_월별'!$E$9)</f>
        <v>1893.33333333333</v>
      </c>
      <c r="F118" s="32">
        <f>IF(ISBLANK('P4_2027_월별'!$F$9),"",'P4_2027_월별'!$F$9)</f>
        <v>1893.33333333333</v>
      </c>
      <c r="G118" s="32">
        <f>IF(ISBLANK('P4_2027_월별'!$G$9),"",'P4_2027_월별'!$G$9)</f>
        <v>1893.33333333333</v>
      </c>
      <c r="H118" s="32">
        <f>IF(ISBLANK('P4_2027_월별'!$H$9),"",'P4_2027_월별'!$H$9)</f>
        <v>1893.33333333333</v>
      </c>
      <c r="I118" s="32">
        <f>IF(ISBLANK('P4_2027_월별'!$I$9),"",'P4_2027_월별'!$I$9)</f>
        <v>1893.33333333333</v>
      </c>
      <c r="J118" s="32">
        <f>IF(ISBLANK('P4_2027_월별'!$J$9),"",'P4_2027_월별'!$J$9)</f>
        <v>1893.33333333333</v>
      </c>
      <c r="K118" s="32">
        <f>IF(ISBLANK('P4_2027_월별'!$K$9),"",'P4_2027_월별'!$K$9)</f>
        <v>1893.33333333333</v>
      </c>
      <c r="L118" s="32">
        <f>IF(ISBLANK('P4_2027_월별'!$L$9),"",'P4_2027_월별'!$L$9)</f>
        <v>1893.33333333333</v>
      </c>
      <c r="M118" s="32">
        <f>IF(ISBLANK('P4_2027_월별'!$M$9),"",'P4_2027_월별'!$M$9)</f>
        <v>1893.33333333333</v>
      </c>
      <c r="N118" s="32">
        <f>IF(ISBLANK('P4_2027_월별'!$N$9),"",'P4_2027_월별'!$N$9)</f>
        <v>1893.33333333333</v>
      </c>
      <c r="O118" s="36">
        <f>IF(COUNT(C118:N118)=0,"미제시",SUM(C118:N118))</f>
        <v>22720</v>
      </c>
      <c r="P118" s="9" t="inlineStr">
        <is>
          <t>계획</t>
        </is>
      </c>
      <c r="Q118" s="9" t="inlineStr">
        <is>
          <t>P4_2027_월별 입력 (연결)</t>
        </is>
      </c>
      <c r="R118" s="9" t="inlineStr"/>
    </row>
    <row r="119">
      <c r="A119" s="9" t="inlineStr">
        <is>
          <t>CXMT</t>
        </is>
      </c>
      <c r="B119" s="15" t="n">
        <v>2027</v>
      </c>
      <c r="C119" s="32">
        <f>IF(ISBLANK('P4_2027_월별'!$C$10),"",'P4_2027_월별'!$C$10)</f>
        <v>0</v>
      </c>
      <c r="D119" s="32">
        <f>IF(ISBLANK('P4_2027_월별'!$D$10),"",'P4_2027_월별'!$D$10)</f>
        <v>0</v>
      </c>
      <c r="E119" s="32">
        <f>IF(ISBLANK('P4_2027_월별'!$E$10),"",'P4_2027_월별'!$E$10)</f>
        <v>580</v>
      </c>
      <c r="F119" s="32">
        <f>IF(ISBLANK('P4_2027_월별'!$F$10),"",'P4_2027_월별'!$F$10)</f>
        <v>580</v>
      </c>
      <c r="G119" s="32">
        <f>IF(ISBLANK('P4_2027_월별'!$G$10),"",'P4_2027_월별'!$G$10)</f>
        <v>580</v>
      </c>
      <c r="H119" s="32">
        <f>IF(ISBLANK('P4_2027_월별'!$H$10),"",'P4_2027_월별'!$H$10)</f>
        <v>580</v>
      </c>
      <c r="I119" s="32">
        <f>IF(ISBLANK('P4_2027_월별'!$I$10),"",'P4_2027_월별'!$I$10)</f>
        <v>780</v>
      </c>
      <c r="J119" s="32">
        <f>IF(ISBLANK('P4_2027_월별'!$J$10),"",'P4_2027_월별'!$J$10)</f>
        <v>780</v>
      </c>
      <c r="K119" s="32">
        <f>IF(ISBLANK('P4_2027_월별'!$K$10),"",'P4_2027_월별'!$K$10)</f>
        <v>780</v>
      </c>
      <c r="L119" s="32">
        <f>IF(ISBLANK('P4_2027_월별'!$L$10),"",'P4_2027_월별'!$L$10)</f>
        <v>780</v>
      </c>
      <c r="M119" s="32">
        <f>IF(ISBLANK('P4_2027_월별'!$M$10),"",'P4_2027_월별'!$M$10)</f>
        <v>780</v>
      </c>
      <c r="N119" s="32">
        <f>IF(ISBLANK('P4_2027_월별'!$N$10),"",'P4_2027_월별'!$N$10)</f>
        <v>780</v>
      </c>
      <c r="O119" s="36">
        <f>IF(COUNT(C119:N119)=0,"미제시",SUM(C119:N119))</f>
        <v>7000</v>
      </c>
      <c r="P119" s="9" t="inlineStr">
        <is>
          <t>계획</t>
        </is>
      </c>
      <c r="Q119" s="9" t="inlineStr">
        <is>
          <t>P4_2027_월별 입력 (연결)</t>
        </is>
      </c>
      <c r="R119" s="9" t="inlineStr"/>
    </row>
    <row r="120">
      <c r="A120" s="9" t="inlineStr">
        <is>
          <t>이지켐</t>
        </is>
      </c>
      <c r="B120" s="15" t="n">
        <v>2027</v>
      </c>
      <c r="C120" s="32">
        <f>IF(ISBLANK('P4_2027_월별'!$C$11),"",'P4_2027_월별'!$C$11)</f>
        <v>560</v>
      </c>
      <c r="D120" s="32">
        <f>IF(ISBLANK('P4_2027_월별'!$D$11),"",'P4_2027_월별'!$D$11)</f>
        <v>560</v>
      </c>
      <c r="E120" s="32">
        <f>IF(ISBLANK('P4_2027_월별'!$E$11),"",'P4_2027_월별'!$E$11)</f>
        <v>560</v>
      </c>
      <c r="F120" s="32">
        <f>IF(ISBLANK('P4_2027_월별'!$F$11),"",'P4_2027_월별'!$F$11)</f>
        <v>560</v>
      </c>
      <c r="G120" s="32">
        <f>IF(ISBLANK('P4_2027_월별'!$G$11),"",'P4_2027_월별'!$G$11)</f>
        <v>560</v>
      </c>
      <c r="H120" s="32">
        <f>IF(ISBLANK('P4_2027_월별'!$H$11),"",'P4_2027_월별'!$H$11)</f>
        <v>560</v>
      </c>
      <c r="I120" s="32">
        <f>IF(ISBLANK('P4_2027_월별'!$I$11),"",'P4_2027_월별'!$I$11)</f>
        <v>1120</v>
      </c>
      <c r="J120" s="32">
        <f>IF(ISBLANK('P4_2027_월별'!$J$11),"",'P4_2027_월별'!$J$11)</f>
        <v>1120</v>
      </c>
      <c r="K120" s="32">
        <f>IF(ISBLANK('P4_2027_월별'!$K$11),"",'P4_2027_월별'!$K$11)</f>
        <v>1120</v>
      </c>
      <c r="L120" s="32">
        <f>IF(ISBLANK('P4_2027_월별'!$L$11),"",'P4_2027_월별'!$L$11)</f>
        <v>1120</v>
      </c>
      <c r="M120" s="32">
        <f>IF(ISBLANK('P4_2027_월별'!$M$11),"",'P4_2027_월별'!$M$11)</f>
        <v>1120</v>
      </c>
      <c r="N120" s="32">
        <f>IF(ISBLANK('P4_2027_월별'!$N$11),"",'P4_2027_월별'!$N$11)</f>
        <v>1120</v>
      </c>
      <c r="O120" s="36">
        <f>IF(COUNT(C120:N120)=0,"미제시",SUM(C120:N120))</f>
        <v>10080</v>
      </c>
      <c r="P120" s="9" t="inlineStr">
        <is>
          <t>계획</t>
        </is>
      </c>
      <c r="Q120" s="9" t="inlineStr">
        <is>
          <t>P4_2027_월별 입력 (연결)</t>
        </is>
      </c>
      <c r="R120" s="9" t="inlineStr"/>
    </row>
    <row r="121">
      <c r="A121" s="9" t="inlineStr">
        <is>
          <t>한솔</t>
        </is>
      </c>
      <c r="B121" s="15" t="n">
        <v>2027</v>
      </c>
      <c r="C121" s="32">
        <f>IF(ISBLANK('P4_2027_월별'!$C$12),"",'P4_2027_월별'!$C$12)</f>
        <v>300</v>
      </c>
      <c r="D121" s="32">
        <f>IF(ISBLANK('P4_2027_월별'!$D$12),"",'P4_2027_월별'!$D$12)</f>
        <v>300</v>
      </c>
      <c r="E121" s="32">
        <f>IF(ISBLANK('P4_2027_월별'!$E$12),"",'P4_2027_월별'!$E$12)</f>
        <v>300</v>
      </c>
      <c r="F121" s="32">
        <f>IF(ISBLANK('P4_2027_월별'!$F$12),"",'P4_2027_월별'!$F$12)</f>
        <v>300</v>
      </c>
      <c r="G121" s="32">
        <f>IF(ISBLANK('P4_2027_월별'!$G$12),"",'P4_2027_월별'!$G$12)</f>
        <v>300</v>
      </c>
      <c r="H121" s="32">
        <f>IF(ISBLANK('P4_2027_월별'!$H$12),"",'P4_2027_월별'!$H$12)</f>
        <v>300</v>
      </c>
      <c r="I121" s="32">
        <f>IF(ISBLANK('P4_2027_월별'!$I$12),"",'P4_2027_월별'!$I$12)</f>
        <v>300</v>
      </c>
      <c r="J121" s="32">
        <f>IF(ISBLANK('P4_2027_월별'!$J$12),"",'P4_2027_월별'!$J$12)</f>
        <v>300</v>
      </c>
      <c r="K121" s="32">
        <f>IF(ISBLANK('P4_2027_월별'!$K$12),"",'P4_2027_월별'!$K$12)</f>
        <v>300</v>
      </c>
      <c r="L121" s="32">
        <f>IF(ISBLANK('P4_2027_월별'!$L$12),"",'P4_2027_월별'!$L$12)</f>
        <v>300</v>
      </c>
      <c r="M121" s="32">
        <f>IF(ISBLANK('P4_2027_월별'!$M$12),"",'P4_2027_월별'!$M$12)</f>
        <v>300</v>
      </c>
      <c r="N121" s="32">
        <f>IF(ISBLANK('P4_2027_월별'!$N$12),"",'P4_2027_월별'!$N$12)</f>
        <v>300</v>
      </c>
      <c r="O121" s="36">
        <f>IF(COUNT(C121:N121)=0,"미제시",SUM(C121:N121))</f>
        <v>3600</v>
      </c>
      <c r="P121" s="9" t="inlineStr">
        <is>
          <t>계획</t>
        </is>
      </c>
      <c r="Q121" s="9" t="inlineStr">
        <is>
          <t>P4_2027_월별 입력 (연결)</t>
        </is>
      </c>
      <c r="R121" s="9" t="inlineStr"/>
    </row>
    <row r="122">
      <c r="A122" s="9" t="inlineStr">
        <is>
          <t>하이닉스</t>
        </is>
      </c>
      <c r="B122" s="15" t="n">
        <v>2028</v>
      </c>
      <c r="C122" s="32">
        <f>IF(ISBLANK('P5_2028_월별'!$C$9),"",'P5_2028_월별'!$C$9)</f>
        <v>1893.33333333333</v>
      </c>
      <c r="D122" s="32">
        <f>IF(ISBLANK('P5_2028_월별'!$D$9),"",'P5_2028_월별'!$D$9)</f>
        <v>1893.33333333333</v>
      </c>
      <c r="E122" s="32">
        <f>IF(ISBLANK('P5_2028_월별'!$E$9),"",'P5_2028_월별'!$E$9)</f>
        <v>1893.33333333333</v>
      </c>
      <c r="F122" s="32">
        <f>IF(ISBLANK('P5_2028_월별'!$F$9),"",'P5_2028_월별'!$F$9)</f>
        <v>1893.33333333333</v>
      </c>
      <c r="G122" s="32">
        <f>IF(ISBLANK('P5_2028_월별'!$G$9),"",'P5_2028_월별'!$G$9)</f>
        <v>1893.33333333333</v>
      </c>
      <c r="H122" s="32">
        <f>IF(ISBLANK('P5_2028_월별'!$H$9),"",'P5_2028_월별'!$H$9)</f>
        <v>1893.33333333333</v>
      </c>
      <c r="I122" s="32">
        <f>IF(ISBLANK('P5_2028_월별'!$I$9),"",'P5_2028_월별'!$I$9)</f>
        <v>1893.33333333333</v>
      </c>
      <c r="J122" s="32">
        <f>IF(ISBLANK('P5_2028_월별'!$J$9),"",'P5_2028_월별'!$J$9)</f>
        <v>1893.33333333333</v>
      </c>
      <c r="K122" s="32">
        <f>IF(ISBLANK('P5_2028_월별'!$K$9),"",'P5_2028_월별'!$K$9)</f>
        <v>1893.33333333333</v>
      </c>
      <c r="L122" s="32">
        <f>IF(ISBLANK('P5_2028_월별'!$L$9),"",'P5_2028_월별'!$L$9)</f>
        <v>1893.33333333333</v>
      </c>
      <c r="M122" s="32">
        <f>IF(ISBLANK('P5_2028_월별'!$M$9),"",'P5_2028_월별'!$M$9)</f>
        <v>1893.33333333333</v>
      </c>
      <c r="N122" s="32">
        <f>IF(ISBLANK('P5_2028_월별'!$N$9),"",'P5_2028_월별'!$N$9)</f>
        <v>1893.33333333333</v>
      </c>
      <c r="O122" s="36">
        <f>IF(COUNT(C122:N122)=0,"미제시",SUM(C122:N122))</f>
        <v>22720</v>
      </c>
      <c r="P122" s="9" t="inlineStr">
        <is>
          <t>가정 (확정 수요 아님)</t>
        </is>
      </c>
      <c r="Q122" s="9" t="inlineStr">
        <is>
          <t>P5_2028_월별 입력 (연결)</t>
        </is>
      </c>
      <c r="R122" s="9" t="inlineStr"/>
    </row>
    <row r="123">
      <c r="A123" s="9" t="inlineStr">
        <is>
          <t>CXMT</t>
        </is>
      </c>
      <c r="B123" s="15" t="n">
        <v>2028</v>
      </c>
      <c r="C123" s="32">
        <f>IF(ISBLANK('P5_2028_월별'!$C$10),"",'P5_2028_월별'!$C$10)</f>
        <v>780</v>
      </c>
      <c r="D123" s="32">
        <f>IF(ISBLANK('P5_2028_월별'!$D$10),"",'P5_2028_월별'!$D$10)</f>
        <v>780</v>
      </c>
      <c r="E123" s="32">
        <f>IF(ISBLANK('P5_2028_월별'!$E$10),"",'P5_2028_월별'!$E$10)</f>
        <v>780</v>
      </c>
      <c r="F123" s="32">
        <f>IF(ISBLANK('P5_2028_월별'!$F$10),"",'P5_2028_월별'!$F$10)</f>
        <v>780</v>
      </c>
      <c r="G123" s="32">
        <f>IF(ISBLANK('P5_2028_월별'!$G$10),"",'P5_2028_월별'!$G$10)</f>
        <v>780</v>
      </c>
      <c r="H123" s="32">
        <f>IF(ISBLANK('P5_2028_월별'!$H$10),"",'P5_2028_월별'!$H$10)</f>
        <v>780</v>
      </c>
      <c r="I123" s="32">
        <f>IF(ISBLANK('P5_2028_월별'!$I$10),"",'P5_2028_월별'!$I$10)</f>
        <v>780</v>
      </c>
      <c r="J123" s="32">
        <f>IF(ISBLANK('P5_2028_월별'!$J$10),"",'P5_2028_월별'!$J$10)</f>
        <v>780</v>
      </c>
      <c r="K123" s="32">
        <f>IF(ISBLANK('P5_2028_월별'!$K$10),"",'P5_2028_월별'!$K$10)</f>
        <v>780</v>
      </c>
      <c r="L123" s="32">
        <f>IF(ISBLANK('P5_2028_월별'!$L$10),"",'P5_2028_월별'!$L$10)</f>
        <v>780</v>
      </c>
      <c r="M123" s="32">
        <f>IF(ISBLANK('P5_2028_월별'!$M$10),"",'P5_2028_월별'!$M$10)</f>
        <v>780</v>
      </c>
      <c r="N123" s="32">
        <f>IF(ISBLANK('P5_2028_월별'!$N$10),"",'P5_2028_월별'!$N$10)</f>
        <v>780</v>
      </c>
      <c r="O123" s="36">
        <f>IF(COUNT(C123:N123)=0,"미제시",SUM(C123:N123))</f>
        <v>9360</v>
      </c>
      <c r="P123" s="9" t="inlineStr">
        <is>
          <t>가정 (확정 수요 아님)</t>
        </is>
      </c>
      <c r="Q123" s="9" t="inlineStr">
        <is>
          <t>P5_2028_월별 입력 (연결)</t>
        </is>
      </c>
      <c r="R123" s="9" t="inlineStr"/>
    </row>
    <row r="124">
      <c r="A124" s="9" t="inlineStr">
        <is>
          <t>이지켐</t>
        </is>
      </c>
      <c r="B124" s="15" t="n">
        <v>2028</v>
      </c>
      <c r="C124" s="32">
        <f>IF(ISBLANK('P5_2028_월별'!$C$11),"",'P5_2028_월별'!$C$11)</f>
        <v>840</v>
      </c>
      <c r="D124" s="32">
        <f>IF(ISBLANK('P5_2028_월별'!$D$11),"",'P5_2028_월별'!$D$11)</f>
        <v>840</v>
      </c>
      <c r="E124" s="32">
        <f>IF(ISBLANK('P5_2028_월별'!$E$11),"",'P5_2028_월별'!$E$11)</f>
        <v>840</v>
      </c>
      <c r="F124" s="32">
        <f>IF(ISBLANK('P5_2028_월별'!$F$11),"",'P5_2028_월별'!$F$11)</f>
        <v>840</v>
      </c>
      <c r="G124" s="32">
        <f>IF(ISBLANK('P5_2028_월별'!$G$11),"",'P5_2028_월별'!$G$11)</f>
        <v>840</v>
      </c>
      <c r="H124" s="32">
        <f>IF(ISBLANK('P5_2028_월별'!$H$11),"",'P5_2028_월별'!$H$11)</f>
        <v>840</v>
      </c>
      <c r="I124" s="32">
        <f>IF(ISBLANK('P5_2028_월별'!$I$11),"",'P5_2028_월별'!$I$11)</f>
        <v>840</v>
      </c>
      <c r="J124" s="32">
        <f>IF(ISBLANK('P5_2028_월별'!$J$11),"",'P5_2028_월별'!$J$11)</f>
        <v>840</v>
      </c>
      <c r="K124" s="32">
        <f>IF(ISBLANK('P5_2028_월별'!$K$11),"",'P5_2028_월별'!$K$11)</f>
        <v>840</v>
      </c>
      <c r="L124" s="32">
        <f>IF(ISBLANK('P5_2028_월별'!$L$11),"",'P5_2028_월별'!$L$11)</f>
        <v>840</v>
      </c>
      <c r="M124" s="32">
        <f>IF(ISBLANK('P5_2028_월별'!$M$11),"",'P5_2028_월별'!$M$11)</f>
        <v>840</v>
      </c>
      <c r="N124" s="32">
        <f>IF(ISBLANK('P5_2028_월별'!$N$11),"",'P5_2028_월별'!$N$11)</f>
        <v>840</v>
      </c>
      <c r="O124" s="36">
        <f>IF(COUNT(C124:N124)=0,"미제시",SUM(C124:N124))</f>
        <v>10080</v>
      </c>
      <c r="P124" s="9" t="inlineStr">
        <is>
          <t>가정 (확정 수요 아님)</t>
        </is>
      </c>
      <c r="Q124" s="9" t="inlineStr">
        <is>
          <t>P5_2028_월별 입력 (연결)</t>
        </is>
      </c>
      <c r="R124" s="9" t="inlineStr"/>
    </row>
    <row r="125">
      <c r="A125" s="9" t="inlineStr">
        <is>
          <t>한솔</t>
        </is>
      </c>
      <c r="B125" s="15" t="n">
        <v>2028</v>
      </c>
      <c r="C125" s="32">
        <f>IF(ISBLANK('P5_2028_월별'!$C$12),"",'P5_2028_월별'!$C$12)</f>
        <v>300</v>
      </c>
      <c r="D125" s="32">
        <f>IF(ISBLANK('P5_2028_월별'!$D$12),"",'P5_2028_월별'!$D$12)</f>
        <v>300</v>
      </c>
      <c r="E125" s="32">
        <f>IF(ISBLANK('P5_2028_월별'!$E$12),"",'P5_2028_월별'!$E$12)</f>
        <v>300</v>
      </c>
      <c r="F125" s="32">
        <f>IF(ISBLANK('P5_2028_월별'!$F$12),"",'P5_2028_월별'!$F$12)</f>
        <v>300</v>
      </c>
      <c r="G125" s="32">
        <f>IF(ISBLANK('P5_2028_월별'!$G$12),"",'P5_2028_월별'!$G$12)</f>
        <v>300</v>
      </c>
      <c r="H125" s="32">
        <f>IF(ISBLANK('P5_2028_월별'!$H$12),"",'P5_2028_월별'!$H$12)</f>
        <v>300</v>
      </c>
      <c r="I125" s="32">
        <f>IF(ISBLANK('P5_2028_월별'!$I$12),"",'P5_2028_월별'!$I$12)</f>
        <v>300</v>
      </c>
      <c r="J125" s="32">
        <f>IF(ISBLANK('P5_2028_월별'!$J$12),"",'P5_2028_월별'!$J$12)</f>
        <v>300</v>
      </c>
      <c r="K125" s="32">
        <f>IF(ISBLANK('P5_2028_월별'!$K$12),"",'P5_2028_월별'!$K$12)</f>
        <v>300</v>
      </c>
      <c r="L125" s="32">
        <f>IF(ISBLANK('P5_2028_월별'!$L$12),"",'P5_2028_월별'!$L$12)</f>
        <v>300</v>
      </c>
      <c r="M125" s="32">
        <f>IF(ISBLANK('P5_2028_월별'!$M$12),"",'P5_2028_월별'!$M$12)</f>
        <v>300</v>
      </c>
      <c r="N125" s="32">
        <f>IF(ISBLANK('P5_2028_월별'!$N$12),"",'P5_2028_월별'!$N$12)</f>
        <v>300</v>
      </c>
      <c r="O125" s="36">
        <f>IF(COUNT(C125:N125)=0,"미제시",SUM(C125:N125))</f>
        <v>3600</v>
      </c>
      <c r="P125" s="9" t="inlineStr">
        <is>
          <t>가정 (확정 수요 아님)</t>
        </is>
      </c>
      <c r="Q125" s="9" t="inlineStr">
        <is>
          <t>P5_2028_월별 입력 (연결)</t>
        </is>
      </c>
      <c r="R125" s="9" t="inlineStr"/>
    </row>
    <row r="126">
      <c r="A126" s="37" t="inlineStr">
        <is>
          <t>2026 합계 (제시분: 하이닉스+이지켐)</t>
        </is>
      </c>
      <c r="B126" s="15" t="n">
        <v>2026</v>
      </c>
      <c r="C126" s="36">
        <f>N(C114)+N(C115)+N(C116)+N(C117)</f>
        <v>1600</v>
      </c>
      <c r="D126" s="36">
        <f>N(D114)+N(D115)+N(D116)+N(D117)</f>
        <v>1420</v>
      </c>
      <c r="E126" s="36">
        <f>N(E114)+N(E115)+N(E116)+N(E117)</f>
        <v>1440</v>
      </c>
      <c r="F126" s="36">
        <f>N(F114)+N(F115)+N(F116)+N(F117)</f>
        <v>1580</v>
      </c>
      <c r="G126" s="36">
        <f>N(G114)+N(G115)+N(G116)+N(G117)</f>
        <v>1200</v>
      </c>
      <c r="H126" s="36">
        <f>N(H114)+N(H115)+N(H116)+N(H117)</f>
        <v>1200</v>
      </c>
      <c r="I126" s="36">
        <f>N(I114)+N(I115)+N(I116)+N(I117)</f>
        <v>1360</v>
      </c>
      <c r="J126" s="36">
        <f>N(J114)+N(J115)+N(J116)+N(J117)</f>
        <v>1420</v>
      </c>
      <c r="K126" s="36">
        <f>N(K114)+N(K115)+N(K116)+N(K117)</f>
        <v>1940</v>
      </c>
      <c r="L126" s="36">
        <f>N(L114)+N(L115)+N(L116)+N(L117)</f>
        <v>2040</v>
      </c>
      <c r="M126" s="36">
        <f>N(M114)+N(M115)+N(M116)+N(M117)</f>
        <v>2040</v>
      </c>
      <c r="N126" s="36">
        <f>N(N114)+N(N115)+N(N116)+N(N117)</f>
        <v>1980</v>
      </c>
      <c r="O126" s="36">
        <f>SUM(C126:N126)</f>
        <v>19220</v>
      </c>
      <c r="P126" s="9" t="inlineStr">
        <is>
          <t>합계</t>
        </is>
      </c>
      <c r="Q126" s="9" t="inlineStr">
        <is>
          <t>수식</t>
        </is>
      </c>
      <c r="R126" s="9" t="inlineStr">
        <is>
          <t>CXMT·한솔 미제시분 미포함</t>
        </is>
      </c>
    </row>
    <row r="127">
      <c r="A127" s="37" t="inlineStr">
        <is>
          <t>2027 합계</t>
        </is>
      </c>
      <c r="B127" s="15" t="n">
        <v>2027</v>
      </c>
      <c r="C127" s="36">
        <f>N(C118)+N(C119)+N(C120)+N(C121)</f>
        <v>2753.33333333333</v>
      </c>
      <c r="D127" s="36">
        <f>N(D118)+N(D119)+N(D120)+N(D121)</f>
        <v>2753.33333333333</v>
      </c>
      <c r="E127" s="36">
        <f>N(E118)+N(E119)+N(E120)+N(E121)</f>
        <v>3333.33333333333</v>
      </c>
      <c r="F127" s="36">
        <f>N(F118)+N(F119)+N(F120)+N(F121)</f>
        <v>3333.33333333333</v>
      </c>
      <c r="G127" s="36">
        <f>N(G118)+N(G119)+N(G120)+N(G121)</f>
        <v>3333.33333333333</v>
      </c>
      <c r="H127" s="36">
        <f>N(H118)+N(H119)+N(H120)+N(H121)</f>
        <v>3333.33333333333</v>
      </c>
      <c r="I127" s="36">
        <f>N(I118)+N(I119)+N(I120)+N(I121)</f>
        <v>4093.33333333333</v>
      </c>
      <c r="J127" s="36">
        <f>N(J118)+N(J119)+N(J120)+N(J121)</f>
        <v>4093.33333333333</v>
      </c>
      <c r="K127" s="36">
        <f>N(K118)+N(K119)+N(K120)+N(K121)</f>
        <v>4093.33333333333</v>
      </c>
      <c r="L127" s="36">
        <f>N(L118)+N(L119)+N(L120)+N(L121)</f>
        <v>4093.33333333333</v>
      </c>
      <c r="M127" s="36">
        <f>N(M118)+N(M119)+N(M120)+N(M121)</f>
        <v>4093.33333333333</v>
      </c>
      <c r="N127" s="36">
        <f>N(N118)+N(N119)+N(N120)+N(N121)</f>
        <v>4093.33333333333</v>
      </c>
      <c r="O127" s="36">
        <f>SUM(C127:N127)</f>
        <v>43400</v>
      </c>
      <c r="P127" s="9" t="inlineStr">
        <is>
          <t>합계</t>
        </is>
      </c>
      <c r="Q127" s="9" t="inlineStr">
        <is>
          <t>수식</t>
        </is>
      </c>
      <c r="R127" s="9" t="inlineStr">
        <is>
          <t>검증 43,400 kg</t>
        </is>
      </c>
    </row>
    <row r="128">
      <c r="A128" s="37" t="inlineStr">
        <is>
          <t>2028 합계</t>
        </is>
      </c>
      <c r="B128" s="15" t="n">
        <v>2028</v>
      </c>
      <c r="C128" s="36">
        <f>N(C122)+N(C123)+N(C124)+N(C125)</f>
        <v>3813.33333333333</v>
      </c>
      <c r="D128" s="36">
        <f>N(D122)+N(D123)+N(D124)+N(D125)</f>
        <v>3813.33333333333</v>
      </c>
      <c r="E128" s="36">
        <f>N(E122)+N(E123)+N(E124)+N(E125)</f>
        <v>3813.33333333333</v>
      </c>
      <c r="F128" s="36">
        <f>N(F122)+N(F123)+N(F124)+N(F125)</f>
        <v>3813.33333333333</v>
      </c>
      <c r="G128" s="36">
        <f>N(G122)+N(G123)+N(G124)+N(G125)</f>
        <v>3813.33333333333</v>
      </c>
      <c r="H128" s="36">
        <f>N(H122)+N(H123)+N(H124)+N(H125)</f>
        <v>3813.33333333333</v>
      </c>
      <c r="I128" s="36">
        <f>N(I122)+N(I123)+N(I124)+N(I125)</f>
        <v>3813.33333333333</v>
      </c>
      <c r="J128" s="36">
        <f>N(J122)+N(J123)+N(J124)+N(J125)</f>
        <v>3813.33333333333</v>
      </c>
      <c r="K128" s="36">
        <f>N(K122)+N(K123)+N(K124)+N(K125)</f>
        <v>3813.33333333333</v>
      </c>
      <c r="L128" s="36">
        <f>N(L122)+N(L123)+N(L124)+N(L125)</f>
        <v>3813.33333333333</v>
      </c>
      <c r="M128" s="36">
        <f>N(M122)+N(M123)+N(M124)+N(M125)</f>
        <v>3813.33333333333</v>
      </c>
      <c r="N128" s="36">
        <f>N(N122)+N(N123)+N(N124)+N(N125)</f>
        <v>3813.33333333333</v>
      </c>
      <c r="O128" s="36">
        <f>SUM(C128:N128)</f>
        <v>45760</v>
      </c>
      <c r="P128" s="9" t="inlineStr">
        <is>
          <t>합계</t>
        </is>
      </c>
      <c r="Q128" s="9" t="inlineStr">
        <is>
          <t>수식</t>
        </is>
      </c>
      <c r="R128" s="9" t="inlineStr">
        <is>
          <t>검증 45,760 kg</t>
        </is>
      </c>
    </row>
    <row r="129">
      <c r="A129" s="9" t="inlineStr">
        <is>
          <t>검증: 2026 합계 = 19,220 kg</t>
        </is>
      </c>
      <c r="O129" s="10" t="str">
        <f>IF(ABS(O126-19220)&lt;0.001,"일치","불일치")</f>
        <v>일치</v>
      </c>
    </row>
    <row r="130">
      <c r="A130" s="9" t="inlineStr">
        <is>
          <t>검증: 2027 합계 = 43,400 kg</t>
        </is>
      </c>
      <c r="O130" s="10" t="str">
        <f>IF(ABS(O127-43400)&lt;0.001,"일치","불일치")</f>
        <v>일치</v>
      </c>
    </row>
    <row r="131">
      <c r="A131" s="9" t="inlineStr">
        <is>
          <t>검증: 2028 합계 = 45,760 kg</t>
        </is>
      </c>
      <c r="O131" s="10" t="str">
        <f>IF(ABS(O128-45760)&lt;0.001,"일치","불일치")</f>
        <v>일치</v>
      </c>
    </row>
  </sheetData>
  <autoFilter ref="A5:G110"/>
  <conditionalFormatting sqref="O129">
    <cfRule type="cellIs" priority="1" operator="equal" dxfId="0">
      <formula>"불일치"</formula>
    </cfRule>
  </conditionalFormatting>
  <conditionalFormatting sqref="O130">
    <cfRule type="cellIs" priority="2" operator="equal" dxfId="0">
      <formula>"불일치"</formula>
    </cfRule>
  </conditionalFormatting>
  <conditionalFormatting sqref="O131">
    <cfRule type="cellIs" priority="3" operator="equal" dxfId="0">
      <formula>"불일치"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F7F7F"/>
    <outlinePr summaryBelow="1" summaryRight="1"/>
    <pageSetUpPr/>
  </sheetPr>
  <dimension ref="A1:Z122"/>
  <sheetViews>
    <sheetView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26" customWidth="1" min="3" max="3"/>
    <col width="8" customWidth="1" min="4" max="4"/>
    <col width="12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  <col width="11" customWidth="1" min="11" max="11"/>
    <col width="10" customWidth="1" min="12" max="12"/>
    <col width="12" customWidth="1" min="13" max="13"/>
    <col width="10" customWidth="1" min="14" max="14"/>
    <col width="6" customWidth="1" min="15" max="15"/>
    <col width="8" customWidth="1" min="16" max="16"/>
    <col width="8" customWidth="1" min="17" max="17"/>
    <col width="7" customWidth="1" min="18" max="18"/>
    <col width="10" customWidth="1" min="19" max="19"/>
    <col width="9" customWidth="1" min="20" max="20"/>
    <col width="9" customWidth="1" min="21" max="21"/>
    <col width="9" customWidth="1" min="22" max="22"/>
    <col width="9" customWidth="1" min="23" max="23"/>
    <col width="10" customWidth="1" min="24" max="24"/>
    <col width="12" customWidth="1" min="25" max="25"/>
    <col width="20" customWidth="1" min="26" max="26"/>
  </cols>
  <sheetData>
    <row r="1">
      <c r="A1" s="1" t="inlineStr">
        <is>
          <t>02_Batch_Raw | 과거 Batch 생산계획 원자료 · 대조 · 간격</t>
        </is>
      </c>
    </row>
    <row r="2">
      <c r="A2" s="2" t="inlineStr">
        <is>
          <t>A~N열 원자료(수정 금지) · O열 이후 분석 수식. 표시일자는 날짜만 있는 생산계획 — 실제 운전 시각·실적 아님.</t>
        </is>
      </c>
    </row>
    <row r="3">
      <c r="A3" s="3" t="inlineStr">
        <is>
          <t xml:space="preserve">  </t>
        </is>
      </c>
      <c r="B3" s="4" t="inlineStr">
        <is>
          <t>입력 (제공·확정·계획)</t>
        </is>
      </c>
      <c r="C3" s="5" t="inlineStr">
        <is>
          <t xml:space="preserve">  </t>
        </is>
      </c>
      <c r="D3" s="4" t="inlineStr">
        <is>
          <t>미확인 입력란 (공란 유지)</t>
        </is>
      </c>
      <c r="E3" s="6" t="inlineStr">
        <is>
          <t xml:space="preserve">  </t>
        </is>
      </c>
      <c r="F3" s="4" t="inlineStr">
        <is>
          <t>추정·가정 입력</t>
        </is>
      </c>
      <c r="G3" s="7" t="inlineStr">
        <is>
          <t xml:space="preserve">  </t>
        </is>
      </c>
      <c r="H3" s="4" t="inlineStr">
        <is>
          <t>구두 언급 (미검증)</t>
        </is>
      </c>
      <c r="I3" s="8" t="inlineStr">
        <is>
          <t xml:space="preserve">  </t>
        </is>
      </c>
      <c r="J3" s="4" t="inlineStr">
        <is>
          <t>검토안 (미확정)</t>
        </is>
      </c>
      <c r="K3" s="9" t="inlineStr">
        <is>
          <t xml:space="preserve">  </t>
        </is>
      </c>
      <c r="L3" s="4" t="inlineStr">
        <is>
          <t>수식 / 시트 참조(초록)</t>
        </is>
      </c>
      <c r="M3" s="10" t="inlineStr">
        <is>
          <t xml:space="preserve">  </t>
        </is>
      </c>
      <c r="N3" s="4" t="inlineStr">
        <is>
          <t>핵심 결과</t>
        </is>
      </c>
    </row>
    <row r="5" ht="42" customHeight="1">
      <c r="A5" s="11" t="inlineStr">
        <is>
          <t>No</t>
        </is>
      </c>
      <c r="B5" s="11" t="inlineStr">
        <is>
          <t>원본 파일</t>
        </is>
      </c>
      <c r="C5" s="11" t="inlineStr">
        <is>
          <t>출처 위치</t>
        </is>
      </c>
      <c r="D5" s="11" t="inlineStr">
        <is>
          <t>Batch 번호</t>
        </is>
      </c>
      <c r="E5" s="11" t="inlineStr">
        <is>
          <t>표시일자</t>
        </is>
      </c>
      <c r="F5" s="11" t="inlineStr">
        <is>
          <t>실제 시각
(미확인)</t>
        </is>
      </c>
      <c r="G5" s="11" t="inlineStr">
        <is>
          <t>표시일자 의미
(확인란)</t>
        </is>
      </c>
      <c r="H5" s="11" t="inlineStr">
        <is>
          <t>계획/실적</t>
        </is>
      </c>
      <c r="I5" s="11" t="inlineStr">
        <is>
          <t>원자료 색상
(분포도)</t>
        </is>
      </c>
      <c r="J5" s="11" t="inlineStr">
        <is>
          <t>색상 의미
(확인란)</t>
        </is>
      </c>
      <c r="K5" s="11" t="inlineStr">
        <is>
          <t>노트 표기
(원본·수정본)</t>
        </is>
      </c>
      <c r="L5" s="11" t="inlineStr">
        <is>
          <t>분포도 판독
일(日)</t>
        </is>
      </c>
      <c r="M5" s="11" t="inlineStr">
        <is>
          <t>사용자 지시
목록 일자</t>
        </is>
      </c>
      <c r="N5" s="11" t="inlineStr">
        <is>
          <t>대조 결과</t>
        </is>
      </c>
      <c r="O5" s="38" t="inlineStr">
        <is>
          <t>월</t>
        </is>
      </c>
      <c r="P5" s="38" t="inlineStr">
        <is>
          <t>간격 분석
포함</t>
        </is>
      </c>
      <c r="Q5" s="38" t="inlineStr">
        <is>
          <t>번호 연속</t>
        </is>
      </c>
      <c r="R5" s="38" t="inlineStr">
        <is>
          <t>중복</t>
        </is>
      </c>
      <c r="S5" s="38" t="inlineStr">
        <is>
          <t>이전과 간격
(일)</t>
        </is>
      </c>
      <c r="T5" s="38" t="inlineStr">
        <is>
          <t>월 경계</t>
        </is>
      </c>
      <c r="U5" s="38" t="inlineStr">
        <is>
          <t>명목 간격
(h)</t>
        </is>
      </c>
      <c r="V5" s="38" t="inlineStr">
        <is>
          <t>최소 경과
(h)</t>
        </is>
      </c>
      <c r="W5" s="38" t="inlineStr">
        <is>
          <t>최대 경과
(h)</t>
        </is>
      </c>
      <c r="X5" s="38" t="inlineStr">
        <is>
          <t>롤링 k간격
누적(일)</t>
        </is>
      </c>
      <c r="Y5" s="38" t="inlineStr">
        <is>
          <t>롤링 평균
최대 경과 (h)</t>
        </is>
      </c>
      <c r="Z5" s="38" t="inlineStr">
        <is>
          <t>정제기 점유 정합</t>
        </is>
      </c>
    </row>
    <row r="6">
      <c r="A6" s="9" t="n">
        <v>1</v>
      </c>
      <c r="B6" s="9" t="inlineStr">
        <is>
          <t>SKTC_CpZr_Capacity_Reflux_Roadmap_2027_2028.pptx (첨부 원본·수정본)</t>
        </is>
      </c>
      <c r="C6" s="9" t="inlineStr">
        <is>
          <t>P3 달력 ← 원본 3장 노트·분포도</t>
        </is>
      </c>
      <c r="D6" s="3" t="n">
        <v>37</v>
      </c>
      <c r="E6" s="24">
        <f>IF(COUNTIF('P3_과거Batch_2026'!$C$6:$AG$13,D6)=0,"",IF(COUNTIF('P3_과거Batch_2026'!$C$6:$AG$13,D6)&gt;1,"중복 입력",SUMPRODUCT(('P3_과거Batch_2026'!$C$6:$AG$13=D6)*DATE('01_Inputs'!$B$100,ROW('P3_과거Batch_2026'!$C$6:$AG$13)-ROW('P3_과거Batch_2026'!$C$6)+5,COLUMN('P3_과거Batch_2026'!$C$6:$AG$13)-COLUMN('P3_과거Batch_2026'!$C$6)+1))))</f>
        <v>46165.0</v>
      </c>
      <c r="F6" s="5" t="n"/>
      <c r="G6" s="5" t="n"/>
      <c r="H6" s="9" t="inlineStr">
        <is>
          <t>생산계획 (원자료) — 실적 미검증</t>
        </is>
      </c>
      <c r="I6" s="3" t="inlineStr">
        <is>
          <t>회색</t>
        </is>
      </c>
      <c r="J6" s="5" t="n"/>
      <c r="K6" s="3" t="inlineStr">
        <is>
          <t>5/23</t>
        </is>
      </c>
      <c r="L6" s="3" t="n">
        <v>23</v>
      </c>
      <c r="M6" s="23" t="n">
        <v>46165</v>
      </c>
      <c r="N6" s="9" t="str">
        <f>IF(AND(ISNUMBER(E6),E6=M6,DAY(E6)=L6,K6=MONTH(E6)&amp;"/"&amp;DAY(E6)),"일치","차이 확인")</f>
        <v>일치</v>
      </c>
      <c r="O6" s="9">
        <f>IF(ISNUMBER(E6),MONTH(E6),"")</f>
        <v>5</v>
      </c>
      <c r="P6" s="9">
        <f>IF(AND(ISNUMBER(S6),D6&gt;'01_Inputs'!$B$96,D6&lt;='01_Inputs'!$B$97),1,0)</f>
        <v>0</v>
      </c>
      <c r="Q6" s="9" t="str">
        <f>"-"</f>
        <v>-</v>
      </c>
      <c r="R6" s="9" t="str">
        <f>IF(E6="중복 입력","중복","-")</f>
        <v>-</v>
      </c>
      <c r="S6" s="15" t="n"/>
      <c r="T6" s="9" t="n"/>
      <c r="U6" s="15" t="n"/>
      <c r="V6" s="15" t="n"/>
      <c r="W6" s="15" t="n"/>
      <c r="X6" s="15">
        <f>IF(AND(ISNUMBER(E6),ROW()-6&gt;='01_Inputs'!$B$98),IF(ISNUMBER(INDEX($E$6:$E$99,ROW()-6+1-'01_Inputs'!$B$98)),E6-INDEX($E$6:$E$99,ROW()-6+1-'01_Inputs'!$B$98),""),"")</f>
      </c>
      <c r="Y6" s="14">
        <f>IF(ISNUMBER(X6),(X6+1)*24/'01_Inputs'!$B$98,"")</f>
      </c>
      <c r="Z6" s="9">
        <f>IF(ISNUMBER(Y6),IF(Y6&lt;('01_Inputs'!$B$15+'01_Inputs'!$B$16+N('01_Inputs'!$B$22)),"확인 필요: 점유 하한 미만",""),"")</f>
      </c>
    </row>
    <row r="7">
      <c r="A7" s="9" t="n">
        <v>2</v>
      </c>
      <c r="B7" s="9" t="inlineStr">
        <is>
          <t>SKTC_CpZr_Capacity_Reflux_Roadmap_2027_2028.pptx (첨부 원본·수정본)</t>
        </is>
      </c>
      <c r="C7" s="9" t="inlineStr">
        <is>
          <t>P3 달력 ← 원본 3장 노트·분포도</t>
        </is>
      </c>
      <c r="D7" s="3" t="n">
        <v>38</v>
      </c>
      <c r="E7" s="24">
        <f>IF(COUNTIF('P3_과거Batch_2026'!$C$6:$AG$13,D7)=0,"",IF(COUNTIF('P3_과거Batch_2026'!$C$6:$AG$13,D7)&gt;1,"중복 입력",SUMPRODUCT(('P3_과거Batch_2026'!$C$6:$AG$13=D7)*DATE('01_Inputs'!$B$100,ROW('P3_과거Batch_2026'!$C$6:$AG$13)-ROW('P3_과거Batch_2026'!$C$6)+5,COLUMN('P3_과거Batch_2026'!$C$6:$AG$13)-COLUMN('P3_과거Batch_2026'!$C$6)+1))))</f>
        <v>46168.0</v>
      </c>
      <c r="F7" s="5" t="n"/>
      <c r="G7" s="5" t="n"/>
      <c r="H7" s="9" t="inlineStr">
        <is>
          <t>생산계획 (원자료) — 실적 미검증</t>
        </is>
      </c>
      <c r="I7" s="3" t="inlineStr">
        <is>
          <t>회색</t>
        </is>
      </c>
      <c r="J7" s="5" t="n"/>
      <c r="K7" s="3" t="inlineStr">
        <is>
          <t>5/26</t>
        </is>
      </c>
      <c r="L7" s="3" t="n">
        <v>26</v>
      </c>
      <c r="M7" s="23" t="n">
        <v>46168</v>
      </c>
      <c r="N7" s="9" t="str">
        <f>IF(AND(ISNUMBER(E7),E7=M7,DAY(E7)=L7,K7=MONTH(E7)&amp;"/"&amp;DAY(E7)),"일치","차이 확인")</f>
        <v>일치</v>
      </c>
      <c r="O7" s="9">
        <f>IF(ISNUMBER(E7),MONTH(E7),"")</f>
        <v>5</v>
      </c>
      <c r="P7" s="9">
        <f>IF(AND(ISNUMBER(S7),D7&gt;'01_Inputs'!$B$96,D7&lt;='01_Inputs'!$B$97),1,0)</f>
        <v>0</v>
      </c>
      <c r="Q7" s="9">
        <f>IF(AND(ISNUMBER(E7),NOT(ISNUMBER(E6))),"확인","")</f>
      </c>
      <c r="R7" s="9" t="str">
        <f>IF(E7="중복 입력","중복","-")</f>
        <v>-</v>
      </c>
      <c r="S7" s="15">
        <f>IF(AND(ISNUMBER(E7),ISNUMBER(E6)),E7-E6,"")</f>
        <v>3</v>
      </c>
      <c r="T7" s="9">
        <f>IF(ISNUMBER(S7),IF(MONTH(E7)&lt;&gt;MONTH(E6),"월 경계",""),"")</f>
      </c>
      <c r="U7" s="15">
        <f>IF(ISNUMBER(S7),S7*24,"")</f>
        <v>72</v>
      </c>
      <c r="V7" s="15">
        <f>IF(ISNUMBER(S7),MAX(0,(S7-1)*24),"")</f>
        <v>48</v>
      </c>
      <c r="W7" s="15">
        <f>IF(ISNUMBER(S7),(S7+1)*24,"")</f>
        <v>96</v>
      </c>
      <c r="X7" s="15">
        <f>IF(AND(ISNUMBER(E7),ROW()-6&gt;='01_Inputs'!$B$98),IF(ISNUMBER(INDEX($E$6:$E$99,ROW()-6+1-'01_Inputs'!$B$98)),E7-INDEX($E$6:$E$99,ROW()-6+1-'01_Inputs'!$B$98),""),"")</f>
      </c>
      <c r="Y7" s="14">
        <f>IF(ISNUMBER(X7),(X7+1)*24/'01_Inputs'!$B$98,"")</f>
      </c>
      <c r="Z7" s="9">
        <f>IF(ISNUMBER(Y7),IF(Y7&lt;('01_Inputs'!$B$15+'01_Inputs'!$B$16+N('01_Inputs'!$B$22)),"확인 필요: 점유 하한 미만",""),"")</f>
      </c>
    </row>
    <row r="8">
      <c r="A8" s="9" t="n">
        <v>3</v>
      </c>
      <c r="B8" s="9" t="inlineStr">
        <is>
          <t>SKTC_CpZr_Capacity_Reflux_Roadmap_2027_2028.pptx (첨부 원본·수정본)</t>
        </is>
      </c>
      <c r="C8" s="9" t="inlineStr">
        <is>
          <t>P3 달력 ← 원본 3장 노트·분포도</t>
        </is>
      </c>
      <c r="D8" s="3" t="n">
        <v>39</v>
      </c>
      <c r="E8" s="24">
        <f>IF(COUNTIF('P3_과거Batch_2026'!$C$6:$AG$13,D8)=0,"",IF(COUNTIF('P3_과거Batch_2026'!$C$6:$AG$13,D8)&gt;1,"중복 입력",SUMPRODUCT(('P3_과거Batch_2026'!$C$6:$AG$13=D8)*DATE('01_Inputs'!$B$100,ROW('P3_과거Batch_2026'!$C$6:$AG$13)-ROW('P3_과거Batch_2026'!$C$6)+5,COLUMN('P3_과거Batch_2026'!$C$6:$AG$13)-COLUMN('P3_과거Batch_2026'!$C$6)+1))))</f>
        <v>46175.0</v>
      </c>
      <c r="F8" s="5" t="n"/>
      <c r="G8" s="5" t="n"/>
      <c r="H8" s="9" t="inlineStr">
        <is>
          <t>생산계획 (원자료) — 실적 미검증</t>
        </is>
      </c>
      <c r="I8" s="3" t="inlineStr">
        <is>
          <t>주황</t>
        </is>
      </c>
      <c r="J8" s="5" t="n"/>
      <c r="K8" s="3" t="inlineStr">
        <is>
          <t>6/2</t>
        </is>
      </c>
      <c r="L8" s="3" t="n">
        <v>2</v>
      </c>
      <c r="M8" s="23" t="n">
        <v>46175</v>
      </c>
      <c r="N8" s="9" t="str">
        <f>IF(AND(ISNUMBER(E8),E8=M8,DAY(E8)=L8,K8=MONTH(E8)&amp;"/"&amp;DAY(E8)),"일치","차이 확인")</f>
        <v>일치</v>
      </c>
      <c r="O8" s="9">
        <f>IF(ISNUMBER(E8),MONTH(E8),"")</f>
        <v>6</v>
      </c>
      <c r="P8" s="9">
        <f>IF(AND(ISNUMBER(S8),D8&gt;'01_Inputs'!$B$96,D8&lt;='01_Inputs'!$B$97),1,0)</f>
        <v>0</v>
      </c>
      <c r="Q8" s="9">
        <f>IF(AND(ISNUMBER(E8),NOT(ISNUMBER(E7))),"확인","")</f>
      </c>
      <c r="R8" s="9" t="str">
        <f>IF(E8="중복 입력","중복","-")</f>
        <v>-</v>
      </c>
      <c r="S8" s="15">
        <f>IF(AND(ISNUMBER(E8),ISNUMBER(E7)),E8-E7,"")</f>
        <v>7</v>
      </c>
      <c r="T8" s="9" t="str">
        <f>IF(ISNUMBER(S8),IF(MONTH(E8)&lt;&gt;MONTH(E7),"월 경계",""),"")</f>
        <v>월 경계</v>
      </c>
      <c r="U8" s="15">
        <f>IF(ISNUMBER(S8),S8*24,"")</f>
        <v>168</v>
      </c>
      <c r="V8" s="15">
        <f>IF(ISNUMBER(S8),MAX(0,(S8-1)*24),"")</f>
        <v>144</v>
      </c>
      <c r="W8" s="15">
        <f>IF(ISNUMBER(S8),(S8+1)*24,"")</f>
        <v>192</v>
      </c>
      <c r="X8" s="15">
        <f>IF(AND(ISNUMBER(E8),ROW()-6&gt;='01_Inputs'!$B$98),IF(ISNUMBER(INDEX($E$6:$E$99,ROW()-6+1-'01_Inputs'!$B$98)),E8-INDEX($E$6:$E$99,ROW()-6+1-'01_Inputs'!$B$98),""),"")</f>
      </c>
      <c r="Y8" s="14">
        <f>IF(ISNUMBER(X8),(X8+1)*24/'01_Inputs'!$B$98,"")</f>
      </c>
      <c r="Z8" s="9">
        <f>IF(ISNUMBER(Y8),IF(Y8&lt;('01_Inputs'!$B$15+'01_Inputs'!$B$16+N('01_Inputs'!$B$22)),"확인 필요: 점유 하한 미만",""),"")</f>
      </c>
    </row>
    <row r="9">
      <c r="A9" s="9" t="n">
        <v>4</v>
      </c>
      <c r="B9" s="9" t="inlineStr">
        <is>
          <t>SKTC_CpZr_Capacity_Reflux_Roadmap_2027_2028.pptx (첨부 원본·수정본)</t>
        </is>
      </c>
      <c r="C9" s="9" t="inlineStr">
        <is>
          <t>P3 달력 ← 원본 3장 노트·분포도</t>
        </is>
      </c>
      <c r="D9" s="3" t="n">
        <v>40</v>
      </c>
      <c r="E9" s="24">
        <f>IF(COUNTIF('P3_과거Batch_2026'!$C$6:$AG$13,D9)=0,"",IF(COUNTIF('P3_과거Batch_2026'!$C$6:$AG$13,D9)&gt;1,"중복 입력",SUMPRODUCT(('P3_과거Batch_2026'!$C$6:$AG$13=D9)*DATE('01_Inputs'!$B$100,ROW('P3_과거Batch_2026'!$C$6:$AG$13)-ROW('P3_과거Batch_2026'!$C$6)+5,COLUMN('P3_과거Batch_2026'!$C$6:$AG$13)-COLUMN('P3_과거Batch_2026'!$C$6)+1))))</f>
        <v>46178.0</v>
      </c>
      <c r="F9" s="5" t="n"/>
      <c r="G9" s="5" t="n"/>
      <c r="H9" s="9" t="inlineStr">
        <is>
          <t>생산계획 (원자료) — 실적 미검증</t>
        </is>
      </c>
      <c r="I9" s="3" t="inlineStr">
        <is>
          <t>주황</t>
        </is>
      </c>
      <c r="J9" s="5" t="n"/>
      <c r="K9" s="3" t="inlineStr">
        <is>
          <t>6/5</t>
        </is>
      </c>
      <c r="L9" s="3" t="n">
        <v>5</v>
      </c>
      <c r="M9" s="23" t="n">
        <v>46178</v>
      </c>
      <c r="N9" s="9" t="str">
        <f>IF(AND(ISNUMBER(E9),E9=M9,DAY(E9)=L9,K9=MONTH(E9)&amp;"/"&amp;DAY(E9)),"일치","차이 확인")</f>
        <v>일치</v>
      </c>
      <c r="O9" s="9">
        <f>IF(ISNUMBER(E9),MONTH(E9),"")</f>
        <v>6</v>
      </c>
      <c r="P9" s="9">
        <f>IF(AND(ISNUMBER(S9),D9&gt;'01_Inputs'!$B$96,D9&lt;='01_Inputs'!$B$97),1,0)</f>
        <v>1</v>
      </c>
      <c r="Q9" s="9">
        <f>IF(AND(ISNUMBER(E9),NOT(ISNUMBER(E8))),"확인","")</f>
      </c>
      <c r="R9" s="9" t="str">
        <f>IF(E9="중복 입력","중복","-")</f>
        <v>-</v>
      </c>
      <c r="S9" s="15">
        <f>IF(AND(ISNUMBER(E9),ISNUMBER(E8)),E9-E8,"")</f>
        <v>3</v>
      </c>
      <c r="T9" s="9">
        <f>IF(ISNUMBER(S9),IF(MONTH(E9)&lt;&gt;MONTH(E8),"월 경계",""),"")</f>
      </c>
      <c r="U9" s="15">
        <f>IF(ISNUMBER(S9),S9*24,"")</f>
        <v>72</v>
      </c>
      <c r="V9" s="15">
        <f>IF(ISNUMBER(S9),MAX(0,(S9-1)*24),"")</f>
        <v>48</v>
      </c>
      <c r="W9" s="15">
        <f>IF(ISNUMBER(S9),(S9+1)*24,"")</f>
        <v>96</v>
      </c>
      <c r="X9" s="15">
        <f>IF(AND(ISNUMBER(E9),ROW()-6&gt;='01_Inputs'!$B$98),IF(ISNUMBER(INDEX($E$6:$E$99,ROW()-6+1-'01_Inputs'!$B$98)),E9-INDEX($E$6:$E$99,ROW()-6+1-'01_Inputs'!$B$98),""),"")</f>
      </c>
      <c r="Y9" s="14">
        <f>IF(ISNUMBER(X9),(X9+1)*24/'01_Inputs'!$B$98,"")</f>
      </c>
      <c r="Z9" s="9">
        <f>IF(ISNUMBER(Y9),IF(Y9&lt;('01_Inputs'!$B$15+'01_Inputs'!$B$16+N('01_Inputs'!$B$22)),"확인 필요: 점유 하한 미만",""),"")</f>
      </c>
    </row>
    <row r="10">
      <c r="A10" s="9" t="n">
        <v>5</v>
      </c>
      <c r="B10" s="9" t="inlineStr">
        <is>
          <t>SKTC_CpZr_Capacity_Reflux_Roadmap_2027_2028.pptx (첨부 원본·수정본)</t>
        </is>
      </c>
      <c r="C10" s="9" t="inlineStr">
        <is>
          <t>P3 달력 ← 원본 3장 노트·분포도</t>
        </is>
      </c>
      <c r="D10" s="3" t="n">
        <v>41</v>
      </c>
      <c r="E10" s="24">
        <f>IF(COUNTIF('P3_과거Batch_2026'!$C$6:$AG$13,D10)=0,"",IF(COUNTIF('P3_과거Batch_2026'!$C$6:$AG$13,D10)&gt;1,"중복 입력",SUMPRODUCT(('P3_과거Batch_2026'!$C$6:$AG$13=D10)*DATE('01_Inputs'!$B$100,ROW('P3_과거Batch_2026'!$C$6:$AG$13)-ROW('P3_과거Batch_2026'!$C$6)+5,COLUMN('P3_과거Batch_2026'!$C$6:$AG$13)-COLUMN('P3_과거Batch_2026'!$C$6)+1))))</f>
        <v>46181.0</v>
      </c>
      <c r="F10" s="5" t="n"/>
      <c r="G10" s="5" t="n"/>
      <c r="H10" s="9" t="inlineStr">
        <is>
          <t>생산계획 (원자료) — 실적 미검증</t>
        </is>
      </c>
      <c r="I10" s="3" t="inlineStr">
        <is>
          <t>주황</t>
        </is>
      </c>
      <c r="J10" s="5" t="n"/>
      <c r="K10" s="3" t="inlineStr">
        <is>
          <t>6/8</t>
        </is>
      </c>
      <c r="L10" s="3" t="n">
        <v>8</v>
      </c>
      <c r="M10" s="23" t="n">
        <v>46181</v>
      </c>
      <c r="N10" s="9" t="str">
        <f>IF(AND(ISNUMBER(E10),E10=M10,DAY(E10)=L10,K10=MONTH(E10)&amp;"/"&amp;DAY(E10)),"일치","차이 확인")</f>
        <v>일치</v>
      </c>
      <c r="O10" s="9">
        <f>IF(ISNUMBER(E10),MONTH(E10),"")</f>
        <v>6</v>
      </c>
      <c r="P10" s="9">
        <f>IF(AND(ISNUMBER(S10),D10&gt;'01_Inputs'!$B$96,D10&lt;='01_Inputs'!$B$97),1,0)</f>
        <v>1</v>
      </c>
      <c r="Q10" s="9">
        <f>IF(AND(ISNUMBER(E10),NOT(ISNUMBER(E9))),"확인","")</f>
      </c>
      <c r="R10" s="9" t="str">
        <f>IF(E10="중복 입력","중복","-")</f>
        <v>-</v>
      </c>
      <c r="S10" s="15">
        <f>IF(AND(ISNUMBER(E10),ISNUMBER(E9)),E10-E9,"")</f>
        <v>3</v>
      </c>
      <c r="T10" s="9">
        <f>IF(ISNUMBER(S10),IF(MONTH(E10)&lt;&gt;MONTH(E9),"월 경계",""),"")</f>
      </c>
      <c r="U10" s="15">
        <f>IF(ISNUMBER(S10),S10*24,"")</f>
        <v>72</v>
      </c>
      <c r="V10" s="15">
        <f>IF(ISNUMBER(S10),MAX(0,(S10-1)*24),"")</f>
        <v>48</v>
      </c>
      <c r="W10" s="15">
        <f>IF(ISNUMBER(S10),(S10+1)*24,"")</f>
        <v>96</v>
      </c>
      <c r="X10" s="15">
        <f>IF(AND(ISNUMBER(E10),ROW()-6&gt;='01_Inputs'!$B$98),IF(ISNUMBER(INDEX($E$6:$E$99,ROW()-6+1-'01_Inputs'!$B$98)),E10-INDEX($E$6:$E$99,ROW()-6+1-'01_Inputs'!$B$98),""),"")</f>
        <v>16</v>
      </c>
      <c r="Y10" s="14">
        <f>IF(ISNUMBER(X10),(X10+1)*24/'01_Inputs'!$B$98,"")</f>
        <v>102</v>
      </c>
      <c r="Z10" s="9">
        <f>IF(ISNUMBER(Y10),IF(Y10&lt;('01_Inputs'!$B$15+'01_Inputs'!$B$16+N('01_Inputs'!$B$22)),"확인 필요: 점유 하한 미만",""),"")</f>
      </c>
    </row>
    <row r="11">
      <c r="A11" s="9" t="n">
        <v>6</v>
      </c>
      <c r="B11" s="9" t="inlineStr">
        <is>
          <t>SKTC_CpZr_Capacity_Reflux_Roadmap_2027_2028.pptx (첨부 원본·수정본)</t>
        </is>
      </c>
      <c r="C11" s="9" t="inlineStr">
        <is>
          <t>P3 달력 ← 원본 3장 노트·분포도</t>
        </is>
      </c>
      <c r="D11" s="3" t="n">
        <v>42</v>
      </c>
      <c r="E11" s="24">
        <f>IF(COUNTIF('P3_과거Batch_2026'!$C$6:$AG$13,D11)=0,"",IF(COUNTIF('P3_과거Batch_2026'!$C$6:$AG$13,D11)&gt;1,"중복 입력",SUMPRODUCT(('P3_과거Batch_2026'!$C$6:$AG$13=D11)*DATE('01_Inputs'!$B$100,ROW('P3_과거Batch_2026'!$C$6:$AG$13)-ROW('P3_과거Batch_2026'!$C$6)+5,COLUMN('P3_과거Batch_2026'!$C$6:$AG$13)-COLUMN('P3_과거Batch_2026'!$C$6)+1))))</f>
        <v>46184.0</v>
      </c>
      <c r="F11" s="5" t="n"/>
      <c r="G11" s="5" t="n"/>
      <c r="H11" s="9" t="inlineStr">
        <is>
          <t>생산계획 (원자료) — 실적 미검증</t>
        </is>
      </c>
      <c r="I11" s="3" t="inlineStr">
        <is>
          <t>주황</t>
        </is>
      </c>
      <c r="J11" s="5" t="n"/>
      <c r="K11" s="3" t="inlineStr">
        <is>
          <t>6/11</t>
        </is>
      </c>
      <c r="L11" s="3" t="n">
        <v>11</v>
      </c>
      <c r="M11" s="23" t="n">
        <v>46184</v>
      </c>
      <c r="N11" s="9" t="str">
        <f>IF(AND(ISNUMBER(E11),E11=M11,DAY(E11)=L11,K11=MONTH(E11)&amp;"/"&amp;DAY(E11)),"일치","차이 확인")</f>
        <v>일치</v>
      </c>
      <c r="O11" s="9">
        <f>IF(ISNUMBER(E11),MONTH(E11),"")</f>
        <v>6</v>
      </c>
      <c r="P11" s="9">
        <f>IF(AND(ISNUMBER(S11),D11&gt;'01_Inputs'!$B$96,D11&lt;='01_Inputs'!$B$97),1,0)</f>
        <v>1</v>
      </c>
      <c r="Q11" s="9">
        <f>IF(AND(ISNUMBER(E11),NOT(ISNUMBER(E10))),"확인","")</f>
      </c>
      <c r="R11" s="9" t="str">
        <f>IF(E11="중복 입력","중복","-")</f>
        <v>-</v>
      </c>
      <c r="S11" s="15">
        <f>IF(AND(ISNUMBER(E11),ISNUMBER(E10)),E11-E10,"")</f>
        <v>3</v>
      </c>
      <c r="T11" s="9">
        <f>IF(ISNUMBER(S11),IF(MONTH(E11)&lt;&gt;MONTH(E10),"월 경계",""),"")</f>
      </c>
      <c r="U11" s="15">
        <f>IF(ISNUMBER(S11),S11*24,"")</f>
        <v>72</v>
      </c>
      <c r="V11" s="15">
        <f>IF(ISNUMBER(S11),MAX(0,(S11-1)*24),"")</f>
        <v>48</v>
      </c>
      <c r="W11" s="15">
        <f>IF(ISNUMBER(S11),(S11+1)*24,"")</f>
        <v>96</v>
      </c>
      <c r="X11" s="15">
        <f>IF(AND(ISNUMBER(E11),ROW()-6&gt;='01_Inputs'!$B$98),IF(ISNUMBER(INDEX($E$6:$E$99,ROW()-6+1-'01_Inputs'!$B$98)),E11-INDEX($E$6:$E$99,ROW()-6+1-'01_Inputs'!$B$98),""),"")</f>
        <v>16</v>
      </c>
      <c r="Y11" s="14">
        <f>IF(ISNUMBER(X11),(X11+1)*24/'01_Inputs'!$B$98,"")</f>
        <v>102</v>
      </c>
      <c r="Z11" s="9">
        <f>IF(ISNUMBER(Y11),IF(Y11&lt;('01_Inputs'!$B$15+'01_Inputs'!$B$16+N('01_Inputs'!$B$22)),"확인 필요: 점유 하한 미만",""),"")</f>
      </c>
    </row>
    <row r="12">
      <c r="A12" s="9" t="n">
        <v>7</v>
      </c>
      <c r="B12" s="9" t="inlineStr">
        <is>
          <t>SKTC_CpZr_Capacity_Reflux_Roadmap_2027_2028.pptx (첨부 원본·수정본)</t>
        </is>
      </c>
      <c r="C12" s="9" t="inlineStr">
        <is>
          <t>P3 달력 ← 원본 3장 노트·분포도</t>
        </is>
      </c>
      <c r="D12" s="3" t="n">
        <v>43</v>
      </c>
      <c r="E12" s="24">
        <f>IF(COUNTIF('P3_과거Batch_2026'!$C$6:$AG$13,D12)=0,"",IF(COUNTIF('P3_과거Batch_2026'!$C$6:$AG$13,D12)&gt;1,"중복 입력",SUMPRODUCT(('P3_과거Batch_2026'!$C$6:$AG$13=D12)*DATE('01_Inputs'!$B$100,ROW('P3_과거Batch_2026'!$C$6:$AG$13)-ROW('P3_과거Batch_2026'!$C$6)+5,COLUMN('P3_과거Batch_2026'!$C$6:$AG$13)-COLUMN('P3_과거Batch_2026'!$C$6)+1))))</f>
        <v>46187.0</v>
      </c>
      <c r="F12" s="5" t="n"/>
      <c r="G12" s="5" t="n"/>
      <c r="H12" s="9" t="inlineStr">
        <is>
          <t>생산계획 (원자료) — 실적 미검증</t>
        </is>
      </c>
      <c r="I12" s="3" t="inlineStr">
        <is>
          <t>주황</t>
        </is>
      </c>
      <c r="J12" s="5" t="n"/>
      <c r="K12" s="3" t="inlineStr">
        <is>
          <t>6/14</t>
        </is>
      </c>
      <c r="L12" s="3" t="n">
        <v>14</v>
      </c>
      <c r="M12" s="23" t="n">
        <v>46187</v>
      </c>
      <c r="N12" s="9" t="str">
        <f>IF(AND(ISNUMBER(E12),E12=M12,DAY(E12)=L12,K12=MONTH(E12)&amp;"/"&amp;DAY(E12)),"일치","차이 확인")</f>
        <v>일치</v>
      </c>
      <c r="O12" s="9">
        <f>IF(ISNUMBER(E12),MONTH(E12),"")</f>
        <v>6</v>
      </c>
      <c r="P12" s="9">
        <f>IF(AND(ISNUMBER(S12),D12&gt;'01_Inputs'!$B$96,D12&lt;='01_Inputs'!$B$97),1,0)</f>
        <v>1</v>
      </c>
      <c r="Q12" s="9">
        <f>IF(AND(ISNUMBER(E12),NOT(ISNUMBER(E11))),"확인","")</f>
      </c>
      <c r="R12" s="9" t="str">
        <f>IF(E12="중복 입력","중복","-")</f>
        <v>-</v>
      </c>
      <c r="S12" s="15">
        <f>IF(AND(ISNUMBER(E12),ISNUMBER(E11)),E12-E11,"")</f>
        <v>3</v>
      </c>
      <c r="T12" s="9">
        <f>IF(ISNUMBER(S12),IF(MONTH(E12)&lt;&gt;MONTH(E11),"월 경계",""),"")</f>
      </c>
      <c r="U12" s="15">
        <f>IF(ISNUMBER(S12),S12*24,"")</f>
        <v>72</v>
      </c>
      <c r="V12" s="15">
        <f>IF(ISNUMBER(S12),MAX(0,(S12-1)*24),"")</f>
        <v>48</v>
      </c>
      <c r="W12" s="15">
        <f>IF(ISNUMBER(S12),(S12+1)*24,"")</f>
        <v>96</v>
      </c>
      <c r="X12" s="15">
        <f>IF(AND(ISNUMBER(E12),ROW()-6&gt;='01_Inputs'!$B$98),IF(ISNUMBER(INDEX($E$6:$E$99,ROW()-6+1-'01_Inputs'!$B$98)),E12-INDEX($E$6:$E$99,ROW()-6+1-'01_Inputs'!$B$98),""),"")</f>
        <v>12</v>
      </c>
      <c r="Y12" s="14">
        <f>IF(ISNUMBER(X12),(X12+1)*24/'01_Inputs'!$B$98,"")</f>
        <v>78</v>
      </c>
      <c r="Z12" s="9">
        <f>IF(ISNUMBER(Y12),IF(Y12&lt;('01_Inputs'!$B$15+'01_Inputs'!$B$16+N('01_Inputs'!$B$22)),"확인 필요: 점유 하한 미만",""),"")</f>
      </c>
    </row>
    <row r="13">
      <c r="A13" s="9" t="n">
        <v>8</v>
      </c>
      <c r="B13" s="9" t="inlineStr">
        <is>
          <t>SKTC_CpZr_Capacity_Reflux_Roadmap_2027_2028.pptx (첨부 원본·수정본)</t>
        </is>
      </c>
      <c r="C13" s="9" t="inlineStr">
        <is>
          <t>P3 달력 ← 원본 3장 노트·분포도</t>
        </is>
      </c>
      <c r="D13" s="3" t="n">
        <v>44</v>
      </c>
      <c r="E13" s="24">
        <f>IF(COUNTIF('P3_과거Batch_2026'!$C$6:$AG$13,D13)=0,"",IF(COUNTIF('P3_과거Batch_2026'!$C$6:$AG$13,D13)&gt;1,"중복 입력",SUMPRODUCT(('P3_과거Batch_2026'!$C$6:$AG$13=D13)*DATE('01_Inputs'!$B$100,ROW('P3_과거Batch_2026'!$C$6:$AG$13)-ROW('P3_과거Batch_2026'!$C$6)+5,COLUMN('P3_과거Batch_2026'!$C$6:$AG$13)-COLUMN('P3_과거Batch_2026'!$C$6)+1))))</f>
        <v>46190.0</v>
      </c>
      <c r="F13" s="5" t="n"/>
      <c r="G13" s="5" t="n"/>
      <c r="H13" s="9" t="inlineStr">
        <is>
          <t>생산계획 (원자료) — 실적 미검증</t>
        </is>
      </c>
      <c r="I13" s="3" t="inlineStr">
        <is>
          <t>주황</t>
        </is>
      </c>
      <c r="J13" s="5" t="n"/>
      <c r="K13" s="3" t="inlineStr">
        <is>
          <t>6/17</t>
        </is>
      </c>
      <c r="L13" s="3" t="n">
        <v>17</v>
      </c>
      <c r="M13" s="23" t="n">
        <v>46190</v>
      </c>
      <c r="N13" s="9" t="str">
        <f>IF(AND(ISNUMBER(E13),E13=M13,DAY(E13)=L13,K13=MONTH(E13)&amp;"/"&amp;DAY(E13)),"일치","차이 확인")</f>
        <v>일치</v>
      </c>
      <c r="O13" s="9">
        <f>IF(ISNUMBER(E13),MONTH(E13),"")</f>
        <v>6</v>
      </c>
      <c r="P13" s="9">
        <f>IF(AND(ISNUMBER(S13),D13&gt;'01_Inputs'!$B$96,D13&lt;='01_Inputs'!$B$97),1,0)</f>
        <v>1</v>
      </c>
      <c r="Q13" s="9">
        <f>IF(AND(ISNUMBER(E13),NOT(ISNUMBER(E12))),"확인","")</f>
      </c>
      <c r="R13" s="9" t="str">
        <f>IF(E13="중복 입력","중복","-")</f>
        <v>-</v>
      </c>
      <c r="S13" s="15">
        <f>IF(AND(ISNUMBER(E13),ISNUMBER(E12)),E13-E12,"")</f>
        <v>3</v>
      </c>
      <c r="T13" s="9">
        <f>IF(ISNUMBER(S13),IF(MONTH(E13)&lt;&gt;MONTH(E12),"월 경계",""),"")</f>
      </c>
      <c r="U13" s="15">
        <f>IF(ISNUMBER(S13),S13*24,"")</f>
        <v>72</v>
      </c>
      <c r="V13" s="15">
        <f>IF(ISNUMBER(S13),MAX(0,(S13-1)*24),"")</f>
        <v>48</v>
      </c>
      <c r="W13" s="15">
        <f>IF(ISNUMBER(S13),(S13+1)*24,"")</f>
        <v>96</v>
      </c>
      <c r="X13" s="15">
        <f>IF(AND(ISNUMBER(E13),ROW()-6&gt;='01_Inputs'!$B$98),IF(ISNUMBER(INDEX($E$6:$E$99,ROW()-6+1-'01_Inputs'!$B$98)),E13-INDEX($E$6:$E$99,ROW()-6+1-'01_Inputs'!$B$98),""),"")</f>
        <v>12</v>
      </c>
      <c r="Y13" s="14">
        <f>IF(ISNUMBER(X13),(X13+1)*24/'01_Inputs'!$B$98,"")</f>
        <v>78</v>
      </c>
      <c r="Z13" s="9">
        <f>IF(ISNUMBER(Y13),IF(Y13&lt;('01_Inputs'!$B$15+'01_Inputs'!$B$16+N('01_Inputs'!$B$22)),"확인 필요: 점유 하한 미만",""),"")</f>
      </c>
    </row>
    <row r="14">
      <c r="A14" s="9" t="n">
        <v>9</v>
      </c>
      <c r="B14" s="9" t="inlineStr">
        <is>
          <t>SKTC_CpZr_Capacity_Reflux_Roadmap_2027_2028.pptx (첨부 원본·수정본)</t>
        </is>
      </c>
      <c r="C14" s="9" t="inlineStr">
        <is>
          <t>P3 달력 ← 원본 3장 노트·분포도</t>
        </is>
      </c>
      <c r="D14" s="3" t="n">
        <v>45</v>
      </c>
      <c r="E14" s="24">
        <f>IF(COUNTIF('P3_과거Batch_2026'!$C$6:$AG$13,D14)=0,"",IF(COUNTIF('P3_과거Batch_2026'!$C$6:$AG$13,D14)&gt;1,"중복 입력",SUMPRODUCT(('P3_과거Batch_2026'!$C$6:$AG$13=D14)*DATE('01_Inputs'!$B$100,ROW('P3_과거Batch_2026'!$C$6:$AG$13)-ROW('P3_과거Batch_2026'!$C$6)+5,COLUMN('P3_과거Batch_2026'!$C$6:$AG$13)-COLUMN('P3_과거Batch_2026'!$C$6)+1))))</f>
        <v>46193.0</v>
      </c>
      <c r="F14" s="5" t="n"/>
      <c r="G14" s="5" t="n"/>
      <c r="H14" s="9" t="inlineStr">
        <is>
          <t>생산계획 (원자료) — 실적 미검증</t>
        </is>
      </c>
      <c r="I14" s="3" t="inlineStr">
        <is>
          <t>주황</t>
        </is>
      </c>
      <c r="J14" s="5" t="n"/>
      <c r="K14" s="3" t="inlineStr">
        <is>
          <t>6/20</t>
        </is>
      </c>
      <c r="L14" s="3" t="n">
        <v>20</v>
      </c>
      <c r="M14" s="23" t="n">
        <v>46193</v>
      </c>
      <c r="N14" s="9" t="str">
        <f>IF(AND(ISNUMBER(E14),E14=M14,DAY(E14)=L14,K14=MONTH(E14)&amp;"/"&amp;DAY(E14)),"일치","차이 확인")</f>
        <v>일치</v>
      </c>
      <c r="O14" s="9">
        <f>IF(ISNUMBER(E14),MONTH(E14),"")</f>
        <v>6</v>
      </c>
      <c r="P14" s="9">
        <f>IF(AND(ISNUMBER(S14),D14&gt;'01_Inputs'!$B$96,D14&lt;='01_Inputs'!$B$97),1,0)</f>
        <v>1</v>
      </c>
      <c r="Q14" s="9">
        <f>IF(AND(ISNUMBER(E14),NOT(ISNUMBER(E13))),"확인","")</f>
      </c>
      <c r="R14" s="9" t="str">
        <f>IF(E14="중복 입력","중복","-")</f>
        <v>-</v>
      </c>
      <c r="S14" s="15">
        <f>IF(AND(ISNUMBER(E14),ISNUMBER(E13)),E14-E13,"")</f>
        <v>3</v>
      </c>
      <c r="T14" s="9">
        <f>IF(ISNUMBER(S14),IF(MONTH(E14)&lt;&gt;MONTH(E13),"월 경계",""),"")</f>
      </c>
      <c r="U14" s="15">
        <f>IF(ISNUMBER(S14),S14*24,"")</f>
        <v>72</v>
      </c>
      <c r="V14" s="15">
        <f>IF(ISNUMBER(S14),MAX(0,(S14-1)*24),"")</f>
        <v>48</v>
      </c>
      <c r="W14" s="15">
        <f>IF(ISNUMBER(S14),(S14+1)*24,"")</f>
        <v>96</v>
      </c>
      <c r="X14" s="15">
        <f>IF(AND(ISNUMBER(E14),ROW()-6&gt;='01_Inputs'!$B$98),IF(ISNUMBER(INDEX($E$6:$E$99,ROW()-6+1-'01_Inputs'!$B$98)),E14-INDEX($E$6:$E$99,ROW()-6+1-'01_Inputs'!$B$98),""),"")</f>
        <v>12</v>
      </c>
      <c r="Y14" s="14">
        <f>IF(ISNUMBER(X14),(X14+1)*24/'01_Inputs'!$B$98,"")</f>
        <v>78</v>
      </c>
      <c r="Z14" s="9">
        <f>IF(ISNUMBER(Y14),IF(Y14&lt;('01_Inputs'!$B$15+'01_Inputs'!$B$16+N('01_Inputs'!$B$22)),"확인 필요: 점유 하한 미만",""),"")</f>
      </c>
    </row>
    <row r="15">
      <c r="A15" s="9" t="n">
        <v>10</v>
      </c>
      <c r="B15" s="9" t="inlineStr">
        <is>
          <t>SKTC_CpZr_Capacity_Reflux_Roadmap_2027_2028.pptx (첨부 원본·수정본)</t>
        </is>
      </c>
      <c r="C15" s="9" t="inlineStr">
        <is>
          <t>P3 달력 ← 원본 3장 노트·분포도</t>
        </is>
      </c>
      <c r="D15" s="3" t="n">
        <v>46</v>
      </c>
      <c r="E15" s="24">
        <f>IF(COUNTIF('P3_과거Batch_2026'!$C$6:$AG$13,D15)=0,"",IF(COUNTIF('P3_과거Batch_2026'!$C$6:$AG$13,D15)&gt;1,"중복 입력",SUMPRODUCT(('P3_과거Batch_2026'!$C$6:$AG$13=D15)*DATE('01_Inputs'!$B$100,ROW('P3_과거Batch_2026'!$C$6:$AG$13)-ROW('P3_과거Batch_2026'!$C$6)+5,COLUMN('P3_과거Batch_2026'!$C$6:$AG$13)-COLUMN('P3_과거Batch_2026'!$C$6)+1))))</f>
        <v>46196.0</v>
      </c>
      <c r="F15" s="5" t="n"/>
      <c r="G15" s="5" t="n"/>
      <c r="H15" s="9" t="inlineStr">
        <is>
          <t>생산계획 (원자료) — 실적 미검증</t>
        </is>
      </c>
      <c r="I15" s="3" t="inlineStr">
        <is>
          <t>주황</t>
        </is>
      </c>
      <c r="J15" s="5" t="n"/>
      <c r="K15" s="3" t="inlineStr">
        <is>
          <t>6/23</t>
        </is>
      </c>
      <c r="L15" s="3" t="n">
        <v>23</v>
      </c>
      <c r="M15" s="23" t="n">
        <v>46196</v>
      </c>
      <c r="N15" s="9" t="str">
        <f>IF(AND(ISNUMBER(E15),E15=M15,DAY(E15)=L15,K15=MONTH(E15)&amp;"/"&amp;DAY(E15)),"일치","차이 확인")</f>
        <v>일치</v>
      </c>
      <c r="O15" s="9">
        <f>IF(ISNUMBER(E15),MONTH(E15),"")</f>
        <v>6</v>
      </c>
      <c r="P15" s="9">
        <f>IF(AND(ISNUMBER(S15),D15&gt;'01_Inputs'!$B$96,D15&lt;='01_Inputs'!$B$97),1,0)</f>
        <v>1</v>
      </c>
      <c r="Q15" s="9">
        <f>IF(AND(ISNUMBER(E15),NOT(ISNUMBER(E14))),"확인","")</f>
      </c>
      <c r="R15" s="9" t="str">
        <f>IF(E15="중복 입력","중복","-")</f>
        <v>-</v>
      </c>
      <c r="S15" s="15">
        <f>IF(AND(ISNUMBER(E15),ISNUMBER(E14)),E15-E14,"")</f>
        <v>3</v>
      </c>
      <c r="T15" s="9">
        <f>IF(ISNUMBER(S15),IF(MONTH(E15)&lt;&gt;MONTH(E14),"월 경계",""),"")</f>
      </c>
      <c r="U15" s="15">
        <f>IF(ISNUMBER(S15),S15*24,"")</f>
        <v>72</v>
      </c>
      <c r="V15" s="15">
        <f>IF(ISNUMBER(S15),MAX(0,(S15-1)*24),"")</f>
        <v>48</v>
      </c>
      <c r="W15" s="15">
        <f>IF(ISNUMBER(S15),(S15+1)*24,"")</f>
        <v>96</v>
      </c>
      <c r="X15" s="15">
        <f>IF(AND(ISNUMBER(E15),ROW()-6&gt;='01_Inputs'!$B$98),IF(ISNUMBER(INDEX($E$6:$E$99,ROW()-6+1-'01_Inputs'!$B$98)),E15-INDEX($E$6:$E$99,ROW()-6+1-'01_Inputs'!$B$98),""),"")</f>
        <v>12</v>
      </c>
      <c r="Y15" s="14">
        <f>IF(ISNUMBER(X15),(X15+1)*24/'01_Inputs'!$B$98,"")</f>
        <v>78</v>
      </c>
      <c r="Z15" s="9">
        <f>IF(ISNUMBER(Y15),IF(Y15&lt;('01_Inputs'!$B$15+'01_Inputs'!$B$16+N('01_Inputs'!$B$22)),"확인 필요: 점유 하한 미만",""),"")</f>
      </c>
    </row>
    <row r="16">
      <c r="A16" s="9" t="n">
        <v>11</v>
      </c>
      <c r="B16" s="9" t="inlineStr">
        <is>
          <t>SKTC_CpZr_Capacity_Reflux_Roadmap_2027_2028.pptx (첨부 원본·수정본)</t>
        </is>
      </c>
      <c r="C16" s="9" t="inlineStr">
        <is>
          <t>P3 달력 ← 원본 3장 노트·분포도</t>
        </is>
      </c>
      <c r="D16" s="3" t="n">
        <v>47</v>
      </c>
      <c r="E16" s="24">
        <f>IF(COUNTIF('P3_과거Batch_2026'!$C$6:$AG$13,D16)=0,"",IF(COUNTIF('P3_과거Batch_2026'!$C$6:$AG$13,D16)&gt;1,"중복 입력",SUMPRODUCT(('P3_과거Batch_2026'!$C$6:$AG$13=D16)*DATE('01_Inputs'!$B$100,ROW('P3_과거Batch_2026'!$C$6:$AG$13)-ROW('P3_과거Batch_2026'!$C$6)+5,COLUMN('P3_과거Batch_2026'!$C$6:$AG$13)-COLUMN('P3_과거Batch_2026'!$C$6)+1))))</f>
        <v>46198.0</v>
      </c>
      <c r="F16" s="5" t="n"/>
      <c r="G16" s="5" t="n"/>
      <c r="H16" s="9" t="inlineStr">
        <is>
          <t>생산계획 (원자료) — 실적 미검증</t>
        </is>
      </c>
      <c r="I16" s="3" t="inlineStr">
        <is>
          <t>주황</t>
        </is>
      </c>
      <c r="J16" s="5" t="n"/>
      <c r="K16" s="3" t="inlineStr">
        <is>
          <t>6/25</t>
        </is>
      </c>
      <c r="L16" s="3" t="n">
        <v>25</v>
      </c>
      <c r="M16" s="23" t="n">
        <v>46198</v>
      </c>
      <c r="N16" s="9" t="str">
        <f>IF(AND(ISNUMBER(E16),E16=M16,DAY(E16)=L16,K16=MONTH(E16)&amp;"/"&amp;DAY(E16)),"일치","차이 확인")</f>
        <v>일치</v>
      </c>
      <c r="O16" s="9">
        <f>IF(ISNUMBER(E16),MONTH(E16),"")</f>
        <v>6</v>
      </c>
      <c r="P16" s="9">
        <f>IF(AND(ISNUMBER(S16),D16&gt;'01_Inputs'!$B$96,D16&lt;='01_Inputs'!$B$97),1,0)</f>
        <v>1</v>
      </c>
      <c r="Q16" s="9">
        <f>IF(AND(ISNUMBER(E16),NOT(ISNUMBER(E15))),"확인","")</f>
      </c>
      <c r="R16" s="9" t="str">
        <f>IF(E16="중복 입력","중복","-")</f>
        <v>-</v>
      </c>
      <c r="S16" s="15">
        <f>IF(AND(ISNUMBER(E16),ISNUMBER(E15)),E16-E15,"")</f>
        <v>2</v>
      </c>
      <c r="T16" s="9">
        <f>IF(ISNUMBER(S16),IF(MONTH(E16)&lt;&gt;MONTH(E15),"월 경계",""),"")</f>
      </c>
      <c r="U16" s="15">
        <f>IF(ISNUMBER(S16),S16*24,"")</f>
        <v>48</v>
      </c>
      <c r="V16" s="15">
        <f>IF(ISNUMBER(S16),MAX(0,(S16-1)*24),"")</f>
        <v>24</v>
      </c>
      <c r="W16" s="15">
        <f>IF(ISNUMBER(S16),(S16+1)*24,"")</f>
        <v>72</v>
      </c>
      <c r="X16" s="15">
        <f>IF(AND(ISNUMBER(E16),ROW()-6&gt;='01_Inputs'!$B$98),IF(ISNUMBER(INDEX($E$6:$E$99,ROW()-6+1-'01_Inputs'!$B$98)),E16-INDEX($E$6:$E$99,ROW()-6+1-'01_Inputs'!$B$98),""),"")</f>
        <v>11</v>
      </c>
      <c r="Y16" s="14">
        <f>IF(ISNUMBER(X16),(X16+1)*24/'01_Inputs'!$B$98,"")</f>
        <v>72</v>
      </c>
      <c r="Z16" s="9">
        <f>IF(ISNUMBER(Y16),IF(Y16&lt;('01_Inputs'!$B$15+'01_Inputs'!$B$16+N('01_Inputs'!$B$22)),"확인 필요: 점유 하한 미만",""),"")</f>
      </c>
    </row>
    <row r="17">
      <c r="A17" s="9" t="n">
        <v>12</v>
      </c>
      <c r="B17" s="9" t="inlineStr">
        <is>
          <t>SKTC_CpZr_Capacity_Reflux_Roadmap_2027_2028.pptx (첨부 원본·수정본)</t>
        </is>
      </c>
      <c r="C17" s="9" t="inlineStr">
        <is>
          <t>P3 달력 ← 원본 3장 노트·분포도</t>
        </is>
      </c>
      <c r="D17" s="3" t="n">
        <v>48</v>
      </c>
      <c r="E17" s="24">
        <f>IF(COUNTIF('P3_과거Batch_2026'!$C$6:$AG$13,D17)=0,"",IF(COUNTIF('P3_과거Batch_2026'!$C$6:$AG$13,D17)&gt;1,"중복 입력",SUMPRODUCT(('P3_과거Batch_2026'!$C$6:$AG$13=D17)*DATE('01_Inputs'!$B$100,ROW('P3_과거Batch_2026'!$C$6:$AG$13)-ROW('P3_과거Batch_2026'!$C$6)+5,COLUMN('P3_과거Batch_2026'!$C$6:$AG$13)-COLUMN('P3_과거Batch_2026'!$C$6)+1))))</f>
        <v>46200.0</v>
      </c>
      <c r="F17" s="5" t="n"/>
      <c r="G17" s="5" t="n"/>
      <c r="H17" s="9" t="inlineStr">
        <is>
          <t>생산계획 (원자료) — 실적 미검증</t>
        </is>
      </c>
      <c r="I17" s="3" t="inlineStr">
        <is>
          <t>주황</t>
        </is>
      </c>
      <c r="J17" s="5" t="n"/>
      <c r="K17" s="3" t="inlineStr">
        <is>
          <t>6/27</t>
        </is>
      </c>
      <c r="L17" s="3" t="n">
        <v>27</v>
      </c>
      <c r="M17" s="23" t="n">
        <v>46200</v>
      </c>
      <c r="N17" s="9" t="str">
        <f>IF(AND(ISNUMBER(E17),E17=M17,DAY(E17)=L17,K17=MONTH(E17)&amp;"/"&amp;DAY(E17)),"일치","차이 확인")</f>
        <v>일치</v>
      </c>
      <c r="O17" s="9">
        <f>IF(ISNUMBER(E17),MONTH(E17),"")</f>
        <v>6</v>
      </c>
      <c r="P17" s="9">
        <f>IF(AND(ISNUMBER(S17),D17&gt;'01_Inputs'!$B$96,D17&lt;='01_Inputs'!$B$97),1,0)</f>
        <v>1</v>
      </c>
      <c r="Q17" s="9">
        <f>IF(AND(ISNUMBER(E17),NOT(ISNUMBER(E16))),"확인","")</f>
      </c>
      <c r="R17" s="9" t="str">
        <f>IF(E17="중복 입력","중복","-")</f>
        <v>-</v>
      </c>
      <c r="S17" s="15">
        <f>IF(AND(ISNUMBER(E17),ISNUMBER(E16)),E17-E16,"")</f>
        <v>2</v>
      </c>
      <c r="T17" s="9">
        <f>IF(ISNUMBER(S17),IF(MONTH(E17)&lt;&gt;MONTH(E16),"월 경계",""),"")</f>
      </c>
      <c r="U17" s="15">
        <f>IF(ISNUMBER(S17),S17*24,"")</f>
        <v>48</v>
      </c>
      <c r="V17" s="15">
        <f>IF(ISNUMBER(S17),MAX(0,(S17-1)*24),"")</f>
        <v>24</v>
      </c>
      <c r="W17" s="15">
        <f>IF(ISNUMBER(S17),(S17+1)*24,"")</f>
        <v>72</v>
      </c>
      <c r="X17" s="15">
        <f>IF(AND(ISNUMBER(E17),ROW()-6&gt;='01_Inputs'!$B$98),IF(ISNUMBER(INDEX($E$6:$E$99,ROW()-6+1-'01_Inputs'!$B$98)),E17-INDEX($E$6:$E$99,ROW()-6+1-'01_Inputs'!$B$98),""),"")</f>
        <v>10</v>
      </c>
      <c r="Y17" s="14">
        <f>IF(ISNUMBER(X17),(X17+1)*24/'01_Inputs'!$B$98,"")</f>
        <v>66</v>
      </c>
      <c r="Z17" s="9">
        <f>IF(ISNUMBER(Y17),IF(Y17&lt;('01_Inputs'!$B$15+'01_Inputs'!$B$16+N('01_Inputs'!$B$22)),"확인 필요: 점유 하한 미만",""),"")</f>
      </c>
    </row>
    <row r="18">
      <c r="A18" s="9" t="n">
        <v>13</v>
      </c>
      <c r="B18" s="9" t="inlineStr">
        <is>
          <t>SKTC_CpZr_Capacity_Reflux_Roadmap_2027_2028.pptx (첨부 원본·수정본)</t>
        </is>
      </c>
      <c r="C18" s="9" t="inlineStr">
        <is>
          <t>P3 달력 ← 원본 3장 노트·분포도</t>
        </is>
      </c>
      <c r="D18" s="3" t="n">
        <v>49</v>
      </c>
      <c r="E18" s="24">
        <f>IF(COUNTIF('P3_과거Batch_2026'!$C$6:$AG$13,D18)=0,"",IF(COUNTIF('P3_과거Batch_2026'!$C$6:$AG$13,D18)&gt;1,"중복 입력",SUMPRODUCT(('P3_과거Batch_2026'!$C$6:$AG$13=D18)*DATE('01_Inputs'!$B$100,ROW('P3_과거Batch_2026'!$C$6:$AG$13)-ROW('P3_과거Batch_2026'!$C$6)+5,COLUMN('P3_과거Batch_2026'!$C$6:$AG$13)-COLUMN('P3_과거Batch_2026'!$C$6)+1))))</f>
        <v>46201.0</v>
      </c>
      <c r="F18" s="5" t="n"/>
      <c r="G18" s="5" t="n"/>
      <c r="H18" s="9" t="inlineStr">
        <is>
          <t>생산계획 (원자료) — 실적 미검증</t>
        </is>
      </c>
      <c r="I18" s="3" t="inlineStr">
        <is>
          <t>주황</t>
        </is>
      </c>
      <c r="J18" s="5" t="n"/>
      <c r="K18" s="3" t="inlineStr">
        <is>
          <t>6/28</t>
        </is>
      </c>
      <c r="L18" s="3" t="n">
        <v>28</v>
      </c>
      <c r="M18" s="23" t="n">
        <v>46201</v>
      </c>
      <c r="N18" s="9" t="str">
        <f>IF(AND(ISNUMBER(E18),E18=M18,DAY(E18)=L18,K18=MONTH(E18)&amp;"/"&amp;DAY(E18)),"일치","차이 확인")</f>
        <v>일치</v>
      </c>
      <c r="O18" s="9">
        <f>IF(ISNUMBER(E18),MONTH(E18),"")</f>
        <v>6</v>
      </c>
      <c r="P18" s="9">
        <f>IF(AND(ISNUMBER(S18),D18&gt;'01_Inputs'!$B$96,D18&lt;='01_Inputs'!$B$97),1,0)</f>
        <v>1</v>
      </c>
      <c r="Q18" s="9">
        <f>IF(AND(ISNUMBER(E18),NOT(ISNUMBER(E17))),"확인","")</f>
      </c>
      <c r="R18" s="9" t="str">
        <f>IF(E18="중복 입력","중복","-")</f>
        <v>-</v>
      </c>
      <c r="S18" s="15">
        <f>IF(AND(ISNUMBER(E18),ISNUMBER(E17)),E18-E17,"")</f>
        <v>1</v>
      </c>
      <c r="T18" s="9">
        <f>IF(ISNUMBER(S18),IF(MONTH(E18)&lt;&gt;MONTH(E17),"월 경계",""),"")</f>
      </c>
      <c r="U18" s="15">
        <f>IF(ISNUMBER(S18),S18*24,"")</f>
        <v>24</v>
      </c>
      <c r="V18" s="15">
        <f>IF(ISNUMBER(S18),MAX(0,(S18-1)*24),"")</f>
        <v>0</v>
      </c>
      <c r="W18" s="15">
        <f>IF(ISNUMBER(S18),(S18+1)*24,"")</f>
        <v>48</v>
      </c>
      <c r="X18" s="15">
        <f>IF(AND(ISNUMBER(E18),ROW()-6&gt;='01_Inputs'!$B$98),IF(ISNUMBER(INDEX($E$6:$E$99,ROW()-6+1-'01_Inputs'!$B$98)),E18-INDEX($E$6:$E$99,ROW()-6+1-'01_Inputs'!$B$98),""),"")</f>
        <v>8</v>
      </c>
      <c r="Y18" s="14">
        <f>IF(ISNUMBER(X18),(X18+1)*24/'01_Inputs'!$B$98,"")</f>
        <v>54</v>
      </c>
      <c r="Z18" s="9">
        <f>IF(ISNUMBER(Y18),IF(Y18&lt;('01_Inputs'!$B$15+'01_Inputs'!$B$16+N('01_Inputs'!$B$22)),"확인 필요: 점유 하한 미만",""),"")</f>
      </c>
    </row>
    <row r="19">
      <c r="A19" s="9" t="n">
        <v>14</v>
      </c>
      <c r="B19" s="9" t="inlineStr">
        <is>
          <t>SKTC_CpZr_Capacity_Reflux_Roadmap_2027_2028.pptx (첨부 원본·수정본)</t>
        </is>
      </c>
      <c r="C19" s="9" t="inlineStr">
        <is>
          <t>P3 달력 ← 원본 3장 노트·분포도</t>
        </is>
      </c>
      <c r="D19" s="3" t="n">
        <v>50</v>
      </c>
      <c r="E19" s="24">
        <f>IF(COUNTIF('P3_과거Batch_2026'!$C$6:$AG$13,D19)=0,"",IF(COUNTIF('P3_과거Batch_2026'!$C$6:$AG$13,D19)&gt;1,"중복 입력",SUMPRODUCT(('P3_과거Batch_2026'!$C$6:$AG$13=D19)*DATE('01_Inputs'!$B$100,ROW('P3_과거Batch_2026'!$C$6:$AG$13)-ROW('P3_과거Batch_2026'!$C$6)+5,COLUMN('P3_과거Batch_2026'!$C$6:$AG$13)-COLUMN('P3_과거Batch_2026'!$C$6)+1))))</f>
        <v>46204.0</v>
      </c>
      <c r="F19" s="5" t="n"/>
      <c r="G19" s="5" t="n"/>
      <c r="H19" s="9" t="inlineStr">
        <is>
          <t>생산계획 (원자료) — 실적 미검증</t>
        </is>
      </c>
      <c r="I19" s="3" t="inlineStr">
        <is>
          <t>주황</t>
        </is>
      </c>
      <c r="J19" s="5" t="n"/>
      <c r="K19" s="3" t="inlineStr">
        <is>
          <t>7/1</t>
        </is>
      </c>
      <c r="L19" s="3" t="n">
        <v>1</v>
      </c>
      <c r="M19" s="23" t="n">
        <v>46204</v>
      </c>
      <c r="N19" s="9" t="str">
        <f>IF(AND(ISNUMBER(E19),E19=M19,DAY(E19)=L19,K19=MONTH(E19)&amp;"/"&amp;DAY(E19)),"일치","차이 확인")</f>
        <v>일치</v>
      </c>
      <c r="O19" s="9">
        <f>IF(ISNUMBER(E19),MONTH(E19),"")</f>
        <v>7</v>
      </c>
      <c r="P19" s="9">
        <f>IF(AND(ISNUMBER(S19),D19&gt;'01_Inputs'!$B$96,D19&lt;='01_Inputs'!$B$97),1,0)</f>
        <v>1</v>
      </c>
      <c r="Q19" s="9">
        <f>IF(AND(ISNUMBER(E19),NOT(ISNUMBER(E18))),"확인","")</f>
      </c>
      <c r="R19" s="9" t="str">
        <f>IF(E19="중복 입력","중복","-")</f>
        <v>-</v>
      </c>
      <c r="S19" s="15">
        <f>IF(AND(ISNUMBER(E19),ISNUMBER(E18)),E19-E18,"")</f>
        <v>3</v>
      </c>
      <c r="T19" s="9" t="str">
        <f>IF(ISNUMBER(S19),IF(MONTH(E19)&lt;&gt;MONTH(E18),"월 경계",""),"")</f>
        <v>월 경계</v>
      </c>
      <c r="U19" s="15">
        <f>IF(ISNUMBER(S19),S19*24,"")</f>
        <v>72</v>
      </c>
      <c r="V19" s="15">
        <f>IF(ISNUMBER(S19),MAX(0,(S19-1)*24),"")</f>
        <v>48</v>
      </c>
      <c r="W19" s="15">
        <f>IF(ISNUMBER(S19),(S19+1)*24,"")</f>
        <v>96</v>
      </c>
      <c r="X19" s="15">
        <f>IF(AND(ISNUMBER(E19),ROW()-6&gt;='01_Inputs'!$B$98),IF(ISNUMBER(INDEX($E$6:$E$99,ROW()-6+1-'01_Inputs'!$B$98)),E19-INDEX($E$6:$E$99,ROW()-6+1-'01_Inputs'!$B$98),""),"")</f>
        <v>8</v>
      </c>
      <c r="Y19" s="14">
        <f>IF(ISNUMBER(X19),(X19+1)*24/'01_Inputs'!$B$98,"")</f>
        <v>54</v>
      </c>
      <c r="Z19" s="9">
        <f>IF(ISNUMBER(Y19),IF(Y19&lt;('01_Inputs'!$B$15+'01_Inputs'!$B$16+N('01_Inputs'!$B$22)),"확인 필요: 점유 하한 미만",""),"")</f>
      </c>
    </row>
    <row r="20">
      <c r="A20" s="9" t="n">
        <v>15</v>
      </c>
      <c r="B20" s="9" t="inlineStr">
        <is>
          <t>SKTC_CpZr_Capacity_Reflux_Roadmap_2027_2028.pptx (첨부 원본·수정본)</t>
        </is>
      </c>
      <c r="C20" s="9" t="inlineStr">
        <is>
          <t>P3 달력 ← 원본 3장 노트·분포도</t>
        </is>
      </c>
      <c r="D20" s="3" t="n">
        <v>51</v>
      </c>
      <c r="E20" s="24">
        <f>IF(COUNTIF('P3_과거Batch_2026'!$C$6:$AG$13,D20)=0,"",IF(COUNTIF('P3_과거Batch_2026'!$C$6:$AG$13,D20)&gt;1,"중복 입력",SUMPRODUCT(('P3_과거Batch_2026'!$C$6:$AG$13=D20)*DATE('01_Inputs'!$B$100,ROW('P3_과거Batch_2026'!$C$6:$AG$13)-ROW('P3_과거Batch_2026'!$C$6)+5,COLUMN('P3_과거Batch_2026'!$C$6:$AG$13)-COLUMN('P3_과거Batch_2026'!$C$6)+1))))</f>
        <v>46206.0</v>
      </c>
      <c r="F20" s="5" t="n"/>
      <c r="G20" s="5" t="n"/>
      <c r="H20" s="9" t="inlineStr">
        <is>
          <t>생산계획 (원자료) — 실적 미검증</t>
        </is>
      </c>
      <c r="I20" s="3" t="inlineStr">
        <is>
          <t>주황</t>
        </is>
      </c>
      <c r="J20" s="5" t="n"/>
      <c r="K20" s="3" t="inlineStr">
        <is>
          <t>7/3</t>
        </is>
      </c>
      <c r="L20" s="3" t="n">
        <v>3</v>
      </c>
      <c r="M20" s="23" t="n">
        <v>46206</v>
      </c>
      <c r="N20" s="9" t="str">
        <f>IF(AND(ISNUMBER(E20),E20=M20,DAY(E20)=L20,K20=MONTH(E20)&amp;"/"&amp;DAY(E20)),"일치","차이 확인")</f>
        <v>일치</v>
      </c>
      <c r="O20" s="9">
        <f>IF(ISNUMBER(E20),MONTH(E20),"")</f>
        <v>7</v>
      </c>
      <c r="P20" s="9">
        <f>IF(AND(ISNUMBER(S20),D20&gt;'01_Inputs'!$B$96,D20&lt;='01_Inputs'!$B$97),1,0)</f>
        <v>1</v>
      </c>
      <c r="Q20" s="9">
        <f>IF(AND(ISNUMBER(E20),NOT(ISNUMBER(E19))),"확인","")</f>
      </c>
      <c r="R20" s="9" t="str">
        <f>IF(E20="중복 입력","중복","-")</f>
        <v>-</v>
      </c>
      <c r="S20" s="15">
        <f>IF(AND(ISNUMBER(E20),ISNUMBER(E19)),E20-E19,"")</f>
        <v>2</v>
      </c>
      <c r="T20" s="9">
        <f>IF(ISNUMBER(S20),IF(MONTH(E20)&lt;&gt;MONTH(E19),"월 경계",""),"")</f>
      </c>
      <c r="U20" s="15">
        <f>IF(ISNUMBER(S20),S20*24,"")</f>
        <v>48</v>
      </c>
      <c r="V20" s="15">
        <f>IF(ISNUMBER(S20),MAX(0,(S20-1)*24),"")</f>
        <v>24</v>
      </c>
      <c r="W20" s="15">
        <f>IF(ISNUMBER(S20),(S20+1)*24,"")</f>
        <v>72</v>
      </c>
      <c r="X20" s="15">
        <f>IF(AND(ISNUMBER(E20),ROW()-6&gt;='01_Inputs'!$B$98),IF(ISNUMBER(INDEX($E$6:$E$99,ROW()-6+1-'01_Inputs'!$B$98)),E20-INDEX($E$6:$E$99,ROW()-6+1-'01_Inputs'!$B$98),""),"")</f>
        <v>8</v>
      </c>
      <c r="Y20" s="14">
        <f>IF(ISNUMBER(X20),(X20+1)*24/'01_Inputs'!$B$98,"")</f>
        <v>54</v>
      </c>
      <c r="Z20" s="9">
        <f>IF(ISNUMBER(Y20),IF(Y20&lt;('01_Inputs'!$B$15+'01_Inputs'!$B$16+N('01_Inputs'!$B$22)),"확인 필요: 점유 하한 미만",""),"")</f>
      </c>
    </row>
    <row r="21">
      <c r="A21" s="9" t="n">
        <v>16</v>
      </c>
      <c r="B21" s="9" t="inlineStr">
        <is>
          <t>SKTC_CpZr_Capacity_Reflux_Roadmap_2027_2028.pptx (첨부 원본·수정본)</t>
        </is>
      </c>
      <c r="C21" s="9" t="inlineStr">
        <is>
          <t>P3 달력 ← 원본 3장 노트·분포도</t>
        </is>
      </c>
      <c r="D21" s="3" t="n">
        <v>52</v>
      </c>
      <c r="E21" s="24">
        <f>IF(COUNTIF('P3_과거Batch_2026'!$C$6:$AG$13,D21)=0,"",IF(COUNTIF('P3_과거Batch_2026'!$C$6:$AG$13,D21)&gt;1,"중복 입력",SUMPRODUCT(('P3_과거Batch_2026'!$C$6:$AG$13=D21)*DATE('01_Inputs'!$B$100,ROW('P3_과거Batch_2026'!$C$6:$AG$13)-ROW('P3_과거Batch_2026'!$C$6)+5,COLUMN('P3_과거Batch_2026'!$C$6:$AG$13)-COLUMN('P3_과거Batch_2026'!$C$6)+1))))</f>
        <v>46209.0</v>
      </c>
      <c r="F21" s="5" t="n"/>
      <c r="G21" s="5" t="n"/>
      <c r="H21" s="9" t="inlineStr">
        <is>
          <t>생산계획 (원자료) — 실적 미검증</t>
        </is>
      </c>
      <c r="I21" s="3" t="inlineStr">
        <is>
          <t>주황</t>
        </is>
      </c>
      <c r="J21" s="5" t="n"/>
      <c r="K21" s="3" t="inlineStr">
        <is>
          <t>7/6</t>
        </is>
      </c>
      <c r="L21" s="3" t="n">
        <v>6</v>
      </c>
      <c r="M21" s="23" t="n">
        <v>46209</v>
      </c>
      <c r="N21" s="9" t="str">
        <f>IF(AND(ISNUMBER(E21),E21=M21,DAY(E21)=L21,K21=MONTH(E21)&amp;"/"&amp;DAY(E21)),"일치","차이 확인")</f>
        <v>일치</v>
      </c>
      <c r="O21" s="9">
        <f>IF(ISNUMBER(E21),MONTH(E21),"")</f>
        <v>7</v>
      </c>
      <c r="P21" s="9">
        <f>IF(AND(ISNUMBER(S21),D21&gt;'01_Inputs'!$B$96,D21&lt;='01_Inputs'!$B$97),1,0)</f>
        <v>1</v>
      </c>
      <c r="Q21" s="9">
        <f>IF(AND(ISNUMBER(E21),NOT(ISNUMBER(E20))),"확인","")</f>
      </c>
      <c r="R21" s="9" t="str">
        <f>IF(E21="중복 입력","중복","-")</f>
        <v>-</v>
      </c>
      <c r="S21" s="15">
        <f>IF(AND(ISNUMBER(E21),ISNUMBER(E20)),E21-E20,"")</f>
        <v>3</v>
      </c>
      <c r="T21" s="9">
        <f>IF(ISNUMBER(S21),IF(MONTH(E21)&lt;&gt;MONTH(E20),"월 경계",""),"")</f>
      </c>
      <c r="U21" s="15">
        <f>IF(ISNUMBER(S21),S21*24,"")</f>
        <v>72</v>
      </c>
      <c r="V21" s="15">
        <f>IF(ISNUMBER(S21),MAX(0,(S21-1)*24),"")</f>
        <v>48</v>
      </c>
      <c r="W21" s="15">
        <f>IF(ISNUMBER(S21),(S21+1)*24,"")</f>
        <v>96</v>
      </c>
      <c r="X21" s="15">
        <f>IF(AND(ISNUMBER(E21),ROW()-6&gt;='01_Inputs'!$B$98),IF(ISNUMBER(INDEX($E$6:$E$99,ROW()-6+1-'01_Inputs'!$B$98)),E21-INDEX($E$6:$E$99,ROW()-6+1-'01_Inputs'!$B$98),""),"")</f>
        <v>9</v>
      </c>
      <c r="Y21" s="14">
        <f>IF(ISNUMBER(X21),(X21+1)*24/'01_Inputs'!$B$98,"")</f>
        <v>60</v>
      </c>
      <c r="Z21" s="9">
        <f>IF(ISNUMBER(Y21),IF(Y21&lt;('01_Inputs'!$B$15+'01_Inputs'!$B$16+N('01_Inputs'!$B$22)),"확인 필요: 점유 하한 미만",""),"")</f>
      </c>
    </row>
    <row r="22">
      <c r="A22" s="9" t="n">
        <v>17</v>
      </c>
      <c r="B22" s="9" t="inlineStr">
        <is>
          <t>SKTC_CpZr_Capacity_Reflux_Roadmap_2027_2028.pptx (첨부 원본·수정본)</t>
        </is>
      </c>
      <c r="C22" s="9" t="inlineStr">
        <is>
          <t>P3 달력 ← 원본 3장 노트·분포도</t>
        </is>
      </c>
      <c r="D22" s="3" t="n">
        <v>53</v>
      </c>
      <c r="E22" s="24">
        <f>IF(COUNTIF('P3_과거Batch_2026'!$C$6:$AG$13,D22)=0,"",IF(COUNTIF('P3_과거Batch_2026'!$C$6:$AG$13,D22)&gt;1,"중복 입력",SUMPRODUCT(('P3_과거Batch_2026'!$C$6:$AG$13=D22)*DATE('01_Inputs'!$B$100,ROW('P3_과거Batch_2026'!$C$6:$AG$13)-ROW('P3_과거Batch_2026'!$C$6)+5,COLUMN('P3_과거Batch_2026'!$C$6:$AG$13)-COLUMN('P3_과거Batch_2026'!$C$6)+1))))</f>
        <v>46211.0</v>
      </c>
      <c r="F22" s="5" t="n"/>
      <c r="G22" s="5" t="n"/>
      <c r="H22" s="9" t="inlineStr">
        <is>
          <t>생산계획 (원자료) — 실적 미검증</t>
        </is>
      </c>
      <c r="I22" s="3" t="inlineStr">
        <is>
          <t>주황</t>
        </is>
      </c>
      <c r="J22" s="5" t="n"/>
      <c r="K22" s="3" t="inlineStr">
        <is>
          <t>7/8</t>
        </is>
      </c>
      <c r="L22" s="3" t="n">
        <v>8</v>
      </c>
      <c r="M22" s="23" t="n">
        <v>46211</v>
      </c>
      <c r="N22" s="9" t="str">
        <f>IF(AND(ISNUMBER(E22),E22=M22,DAY(E22)=L22,K22=MONTH(E22)&amp;"/"&amp;DAY(E22)),"일치","차이 확인")</f>
        <v>일치</v>
      </c>
      <c r="O22" s="9">
        <f>IF(ISNUMBER(E22),MONTH(E22),"")</f>
        <v>7</v>
      </c>
      <c r="P22" s="9">
        <f>IF(AND(ISNUMBER(S22),D22&gt;'01_Inputs'!$B$96,D22&lt;='01_Inputs'!$B$97),1,0)</f>
        <v>1</v>
      </c>
      <c r="Q22" s="9">
        <f>IF(AND(ISNUMBER(E22),NOT(ISNUMBER(E21))),"확인","")</f>
      </c>
      <c r="R22" s="9" t="str">
        <f>IF(E22="중복 입력","중복","-")</f>
        <v>-</v>
      </c>
      <c r="S22" s="15">
        <f>IF(AND(ISNUMBER(E22),ISNUMBER(E21)),E22-E21,"")</f>
        <v>2</v>
      </c>
      <c r="T22" s="9">
        <f>IF(ISNUMBER(S22),IF(MONTH(E22)&lt;&gt;MONTH(E21),"월 경계",""),"")</f>
      </c>
      <c r="U22" s="15">
        <f>IF(ISNUMBER(S22),S22*24,"")</f>
        <v>48</v>
      </c>
      <c r="V22" s="15">
        <f>IF(ISNUMBER(S22),MAX(0,(S22-1)*24),"")</f>
        <v>24</v>
      </c>
      <c r="W22" s="15">
        <f>IF(ISNUMBER(S22),(S22+1)*24,"")</f>
        <v>72</v>
      </c>
      <c r="X22" s="15">
        <f>IF(AND(ISNUMBER(E22),ROW()-6&gt;='01_Inputs'!$B$98),IF(ISNUMBER(INDEX($E$6:$E$99,ROW()-6+1-'01_Inputs'!$B$98)),E22-INDEX($E$6:$E$99,ROW()-6+1-'01_Inputs'!$B$98),""),"")</f>
        <v>10</v>
      </c>
      <c r="Y22" s="14">
        <f>IF(ISNUMBER(X22),(X22+1)*24/'01_Inputs'!$B$98,"")</f>
        <v>66</v>
      </c>
      <c r="Z22" s="9">
        <f>IF(ISNUMBER(Y22),IF(Y22&lt;('01_Inputs'!$B$15+'01_Inputs'!$B$16+N('01_Inputs'!$B$22)),"확인 필요: 점유 하한 미만",""),"")</f>
      </c>
    </row>
    <row r="23">
      <c r="A23" s="9" t="n">
        <v>18</v>
      </c>
      <c r="B23" s="9" t="inlineStr">
        <is>
          <t>SKTC_CpZr_Capacity_Reflux_Roadmap_2027_2028.pptx (첨부 원본·수정본)</t>
        </is>
      </c>
      <c r="C23" s="9" t="inlineStr">
        <is>
          <t>P3 달력 ← 원본 3장 노트·분포도</t>
        </is>
      </c>
      <c r="D23" s="3" t="n">
        <v>54</v>
      </c>
      <c r="E23" s="24">
        <f>IF(COUNTIF('P3_과거Batch_2026'!$C$6:$AG$13,D23)=0,"",IF(COUNTIF('P3_과거Batch_2026'!$C$6:$AG$13,D23)&gt;1,"중복 입력",SUMPRODUCT(('P3_과거Batch_2026'!$C$6:$AG$13=D23)*DATE('01_Inputs'!$B$100,ROW('P3_과거Batch_2026'!$C$6:$AG$13)-ROW('P3_과거Batch_2026'!$C$6)+5,COLUMN('P3_과거Batch_2026'!$C$6:$AG$13)-COLUMN('P3_과거Batch_2026'!$C$6)+1))))</f>
        <v>46214.0</v>
      </c>
      <c r="F23" s="5" t="n"/>
      <c r="G23" s="5" t="n"/>
      <c r="H23" s="9" t="inlineStr">
        <is>
          <t>생산계획 (원자료) — 실적 미검증</t>
        </is>
      </c>
      <c r="I23" s="3" t="inlineStr">
        <is>
          <t>주황</t>
        </is>
      </c>
      <c r="J23" s="5" t="n"/>
      <c r="K23" s="3" t="inlineStr">
        <is>
          <t>7/11</t>
        </is>
      </c>
      <c r="L23" s="3" t="n">
        <v>11</v>
      </c>
      <c r="M23" s="23" t="n">
        <v>46214</v>
      </c>
      <c r="N23" s="9" t="str">
        <f>IF(AND(ISNUMBER(E23),E23=M23,DAY(E23)=L23,K23=MONTH(E23)&amp;"/"&amp;DAY(E23)),"일치","차이 확인")</f>
        <v>일치</v>
      </c>
      <c r="O23" s="9">
        <f>IF(ISNUMBER(E23),MONTH(E23),"")</f>
        <v>7</v>
      </c>
      <c r="P23" s="9">
        <f>IF(AND(ISNUMBER(S23),D23&gt;'01_Inputs'!$B$96,D23&lt;='01_Inputs'!$B$97),1,0)</f>
        <v>1</v>
      </c>
      <c r="Q23" s="9">
        <f>IF(AND(ISNUMBER(E23),NOT(ISNUMBER(E22))),"확인","")</f>
      </c>
      <c r="R23" s="9" t="str">
        <f>IF(E23="중복 입력","중복","-")</f>
        <v>-</v>
      </c>
      <c r="S23" s="15">
        <f>IF(AND(ISNUMBER(E23),ISNUMBER(E22)),E23-E22,"")</f>
        <v>3</v>
      </c>
      <c r="T23" s="9">
        <f>IF(ISNUMBER(S23),IF(MONTH(E23)&lt;&gt;MONTH(E22),"월 경계",""),"")</f>
      </c>
      <c r="U23" s="15">
        <f>IF(ISNUMBER(S23),S23*24,"")</f>
        <v>72</v>
      </c>
      <c r="V23" s="15">
        <f>IF(ISNUMBER(S23),MAX(0,(S23-1)*24),"")</f>
        <v>48</v>
      </c>
      <c r="W23" s="15">
        <f>IF(ISNUMBER(S23),(S23+1)*24,"")</f>
        <v>96</v>
      </c>
      <c r="X23" s="15">
        <f>IF(AND(ISNUMBER(E23),ROW()-6&gt;='01_Inputs'!$B$98),IF(ISNUMBER(INDEX($E$6:$E$99,ROW()-6+1-'01_Inputs'!$B$98)),E23-INDEX($E$6:$E$99,ROW()-6+1-'01_Inputs'!$B$98),""),"")</f>
        <v>10</v>
      </c>
      <c r="Y23" s="14">
        <f>IF(ISNUMBER(X23),(X23+1)*24/'01_Inputs'!$B$98,"")</f>
        <v>66</v>
      </c>
      <c r="Z23" s="9">
        <f>IF(ISNUMBER(Y23),IF(Y23&lt;('01_Inputs'!$B$15+'01_Inputs'!$B$16+N('01_Inputs'!$B$22)),"확인 필요: 점유 하한 미만",""),"")</f>
      </c>
    </row>
    <row r="24">
      <c r="A24" s="9" t="n">
        <v>19</v>
      </c>
      <c r="B24" s="9" t="inlineStr">
        <is>
          <t>SKTC_CpZr_Capacity_Reflux_Roadmap_2027_2028.pptx (첨부 원본·수정본)</t>
        </is>
      </c>
      <c r="C24" s="9" t="inlineStr">
        <is>
          <t>P3 달력 ← 원본 3장 노트·분포도</t>
        </is>
      </c>
      <c r="D24" s="3" t="n">
        <v>55</v>
      </c>
      <c r="E24" s="24">
        <f>IF(COUNTIF('P3_과거Batch_2026'!$C$6:$AG$13,D24)=0,"",IF(COUNTIF('P3_과거Batch_2026'!$C$6:$AG$13,D24)&gt;1,"중복 입력",SUMPRODUCT(('P3_과거Batch_2026'!$C$6:$AG$13=D24)*DATE('01_Inputs'!$B$100,ROW('P3_과거Batch_2026'!$C$6:$AG$13)-ROW('P3_과거Batch_2026'!$C$6)+5,COLUMN('P3_과거Batch_2026'!$C$6:$AG$13)-COLUMN('P3_과거Batch_2026'!$C$6)+1))))</f>
        <v>46217.0</v>
      </c>
      <c r="F24" s="5" t="n"/>
      <c r="G24" s="5" t="n"/>
      <c r="H24" s="9" t="inlineStr">
        <is>
          <t>생산계획 (원자료) — 실적 미검증</t>
        </is>
      </c>
      <c r="I24" s="3" t="inlineStr">
        <is>
          <t>주황</t>
        </is>
      </c>
      <c r="J24" s="5" t="n"/>
      <c r="K24" s="3" t="inlineStr">
        <is>
          <t>7/14</t>
        </is>
      </c>
      <c r="L24" s="3" t="n">
        <v>14</v>
      </c>
      <c r="M24" s="23" t="n">
        <v>46217</v>
      </c>
      <c r="N24" s="9" t="str">
        <f>IF(AND(ISNUMBER(E24),E24=M24,DAY(E24)=L24,K24=MONTH(E24)&amp;"/"&amp;DAY(E24)),"일치","차이 확인")</f>
        <v>일치</v>
      </c>
      <c r="O24" s="9">
        <f>IF(ISNUMBER(E24),MONTH(E24),"")</f>
        <v>7</v>
      </c>
      <c r="P24" s="9">
        <f>IF(AND(ISNUMBER(S24),D24&gt;'01_Inputs'!$B$96,D24&lt;='01_Inputs'!$B$97),1,0)</f>
        <v>1</v>
      </c>
      <c r="Q24" s="9">
        <f>IF(AND(ISNUMBER(E24),NOT(ISNUMBER(E23))),"확인","")</f>
      </c>
      <c r="R24" s="9" t="str">
        <f>IF(E24="중복 입력","중복","-")</f>
        <v>-</v>
      </c>
      <c r="S24" s="15">
        <f>IF(AND(ISNUMBER(E24),ISNUMBER(E23)),E24-E23,"")</f>
        <v>3</v>
      </c>
      <c r="T24" s="9">
        <f>IF(ISNUMBER(S24),IF(MONTH(E24)&lt;&gt;MONTH(E23),"월 경계",""),"")</f>
      </c>
      <c r="U24" s="15">
        <f>IF(ISNUMBER(S24),S24*24,"")</f>
        <v>72</v>
      </c>
      <c r="V24" s="15">
        <f>IF(ISNUMBER(S24),MAX(0,(S24-1)*24),"")</f>
        <v>48</v>
      </c>
      <c r="W24" s="15">
        <f>IF(ISNUMBER(S24),(S24+1)*24,"")</f>
        <v>96</v>
      </c>
      <c r="X24" s="15">
        <f>IF(AND(ISNUMBER(E24),ROW()-6&gt;='01_Inputs'!$B$98),IF(ISNUMBER(INDEX($E$6:$E$99,ROW()-6+1-'01_Inputs'!$B$98)),E24-INDEX($E$6:$E$99,ROW()-6+1-'01_Inputs'!$B$98),""),"")</f>
        <v>11</v>
      </c>
      <c r="Y24" s="14">
        <f>IF(ISNUMBER(X24),(X24+1)*24/'01_Inputs'!$B$98,"")</f>
        <v>72</v>
      </c>
      <c r="Z24" s="9">
        <f>IF(ISNUMBER(Y24),IF(Y24&lt;('01_Inputs'!$B$15+'01_Inputs'!$B$16+N('01_Inputs'!$B$22)),"확인 필요: 점유 하한 미만",""),"")</f>
      </c>
    </row>
    <row r="25">
      <c r="A25" s="9" t="n">
        <v>20</v>
      </c>
      <c r="B25" s="9" t="inlineStr">
        <is>
          <t>SKTC_CpZr_Capacity_Reflux_Roadmap_2027_2028.pptx (첨부 원본·수정본)</t>
        </is>
      </c>
      <c r="C25" s="9" t="inlineStr">
        <is>
          <t>P3 달력 ← 원본 3장 노트·분포도</t>
        </is>
      </c>
      <c r="D25" s="3" t="n">
        <v>56</v>
      </c>
      <c r="E25" s="24">
        <f>IF(COUNTIF('P3_과거Batch_2026'!$C$6:$AG$13,D25)=0,"",IF(COUNTIF('P3_과거Batch_2026'!$C$6:$AG$13,D25)&gt;1,"중복 입력",SUMPRODUCT(('P3_과거Batch_2026'!$C$6:$AG$13=D25)*DATE('01_Inputs'!$B$100,ROW('P3_과거Batch_2026'!$C$6:$AG$13)-ROW('P3_과거Batch_2026'!$C$6)+5,COLUMN('P3_과거Batch_2026'!$C$6:$AG$13)-COLUMN('P3_과거Batch_2026'!$C$6)+1))))</f>
        <v>46220.0</v>
      </c>
      <c r="F25" s="5" t="n"/>
      <c r="G25" s="5" t="n"/>
      <c r="H25" s="9" t="inlineStr">
        <is>
          <t>생산계획 (원자료) — 실적 미검증</t>
        </is>
      </c>
      <c r="I25" s="3" t="inlineStr">
        <is>
          <t>주황</t>
        </is>
      </c>
      <c r="J25" s="5" t="n"/>
      <c r="K25" s="3" t="inlineStr">
        <is>
          <t>7/17</t>
        </is>
      </c>
      <c r="L25" s="3" t="n">
        <v>17</v>
      </c>
      <c r="M25" s="23" t="n">
        <v>46220</v>
      </c>
      <c r="N25" s="9" t="str">
        <f>IF(AND(ISNUMBER(E25),E25=M25,DAY(E25)=L25,K25=MONTH(E25)&amp;"/"&amp;DAY(E25)),"일치","차이 확인")</f>
        <v>일치</v>
      </c>
      <c r="O25" s="9">
        <f>IF(ISNUMBER(E25),MONTH(E25),"")</f>
        <v>7</v>
      </c>
      <c r="P25" s="9">
        <f>IF(AND(ISNUMBER(S25),D25&gt;'01_Inputs'!$B$96,D25&lt;='01_Inputs'!$B$97),1,0)</f>
        <v>1</v>
      </c>
      <c r="Q25" s="9">
        <f>IF(AND(ISNUMBER(E25),NOT(ISNUMBER(E24))),"확인","")</f>
      </c>
      <c r="R25" s="9" t="str">
        <f>IF(E25="중복 입력","중복","-")</f>
        <v>-</v>
      </c>
      <c r="S25" s="15">
        <f>IF(AND(ISNUMBER(E25),ISNUMBER(E24)),E25-E24,"")</f>
        <v>3</v>
      </c>
      <c r="T25" s="9">
        <f>IF(ISNUMBER(S25),IF(MONTH(E25)&lt;&gt;MONTH(E24),"월 경계",""),"")</f>
      </c>
      <c r="U25" s="15">
        <f>IF(ISNUMBER(S25),S25*24,"")</f>
        <v>72</v>
      </c>
      <c r="V25" s="15">
        <f>IF(ISNUMBER(S25),MAX(0,(S25-1)*24),"")</f>
        <v>48</v>
      </c>
      <c r="W25" s="15">
        <f>IF(ISNUMBER(S25),(S25+1)*24,"")</f>
        <v>96</v>
      </c>
      <c r="X25" s="15">
        <f>IF(AND(ISNUMBER(E25),ROW()-6&gt;='01_Inputs'!$B$98),IF(ISNUMBER(INDEX($E$6:$E$99,ROW()-6+1-'01_Inputs'!$B$98)),E25-INDEX($E$6:$E$99,ROW()-6+1-'01_Inputs'!$B$98),""),"")</f>
        <v>11</v>
      </c>
      <c r="Y25" s="14">
        <f>IF(ISNUMBER(X25),(X25+1)*24/'01_Inputs'!$B$98,"")</f>
        <v>72</v>
      </c>
      <c r="Z25" s="9">
        <f>IF(ISNUMBER(Y25),IF(Y25&lt;('01_Inputs'!$B$15+'01_Inputs'!$B$16+N('01_Inputs'!$B$22)),"확인 필요: 점유 하한 미만",""),"")</f>
      </c>
    </row>
    <row r="26">
      <c r="A26" s="9" t="n">
        <v>21</v>
      </c>
      <c r="B26" s="9" t="inlineStr">
        <is>
          <t>SKTC_CpZr_Capacity_Reflux_Roadmap_2027_2028.pptx (첨부 원본·수정본)</t>
        </is>
      </c>
      <c r="C26" s="9" t="inlineStr">
        <is>
          <t>P3 달력 ← 원본 3장 노트·분포도</t>
        </is>
      </c>
      <c r="D26" s="3" t="n">
        <v>57</v>
      </c>
      <c r="E26" s="24">
        <f>IF(COUNTIF('P3_과거Batch_2026'!$C$6:$AG$13,D26)=0,"",IF(COUNTIF('P3_과거Batch_2026'!$C$6:$AG$13,D26)&gt;1,"중복 입력",SUMPRODUCT(('P3_과거Batch_2026'!$C$6:$AG$13=D26)*DATE('01_Inputs'!$B$100,ROW('P3_과거Batch_2026'!$C$6:$AG$13)-ROW('P3_과거Batch_2026'!$C$6)+5,COLUMN('P3_과거Batch_2026'!$C$6:$AG$13)-COLUMN('P3_과거Batch_2026'!$C$6)+1))))</f>
        <v>46223.0</v>
      </c>
      <c r="F26" s="5" t="n"/>
      <c r="G26" s="5" t="n"/>
      <c r="H26" s="9" t="inlineStr">
        <is>
          <t>생산계획 (원자료) — 실적 미검증</t>
        </is>
      </c>
      <c r="I26" s="3" t="inlineStr">
        <is>
          <t>주황</t>
        </is>
      </c>
      <c r="J26" s="5" t="n"/>
      <c r="K26" s="3" t="inlineStr">
        <is>
          <t>7/20</t>
        </is>
      </c>
      <c r="L26" s="3" t="n">
        <v>20</v>
      </c>
      <c r="M26" s="23" t="n">
        <v>46223</v>
      </c>
      <c r="N26" s="9" t="str">
        <f>IF(AND(ISNUMBER(E26),E26=M26,DAY(E26)=L26,K26=MONTH(E26)&amp;"/"&amp;DAY(E26)),"일치","차이 확인")</f>
        <v>일치</v>
      </c>
      <c r="O26" s="9">
        <f>IF(ISNUMBER(E26),MONTH(E26),"")</f>
        <v>7</v>
      </c>
      <c r="P26" s="9">
        <f>IF(AND(ISNUMBER(S26),D26&gt;'01_Inputs'!$B$96,D26&lt;='01_Inputs'!$B$97),1,0)</f>
        <v>1</v>
      </c>
      <c r="Q26" s="9">
        <f>IF(AND(ISNUMBER(E26),NOT(ISNUMBER(E25))),"확인","")</f>
      </c>
      <c r="R26" s="9" t="str">
        <f>IF(E26="중복 입력","중복","-")</f>
        <v>-</v>
      </c>
      <c r="S26" s="15">
        <f>IF(AND(ISNUMBER(E26),ISNUMBER(E25)),E26-E25,"")</f>
        <v>3</v>
      </c>
      <c r="T26" s="9">
        <f>IF(ISNUMBER(S26),IF(MONTH(E26)&lt;&gt;MONTH(E25),"월 경계",""),"")</f>
      </c>
      <c r="U26" s="15">
        <f>IF(ISNUMBER(S26),S26*24,"")</f>
        <v>72</v>
      </c>
      <c r="V26" s="15">
        <f>IF(ISNUMBER(S26),MAX(0,(S26-1)*24),"")</f>
        <v>48</v>
      </c>
      <c r="W26" s="15">
        <f>IF(ISNUMBER(S26),(S26+1)*24,"")</f>
        <v>96</v>
      </c>
      <c r="X26" s="15">
        <f>IF(AND(ISNUMBER(E26),ROW()-6&gt;='01_Inputs'!$B$98),IF(ISNUMBER(INDEX($E$6:$E$99,ROW()-6+1-'01_Inputs'!$B$98)),E26-INDEX($E$6:$E$99,ROW()-6+1-'01_Inputs'!$B$98),""),"")</f>
        <v>12</v>
      </c>
      <c r="Y26" s="14">
        <f>IF(ISNUMBER(X26),(X26+1)*24/'01_Inputs'!$B$98,"")</f>
        <v>78</v>
      </c>
      <c r="Z26" s="9">
        <f>IF(ISNUMBER(Y26),IF(Y26&lt;('01_Inputs'!$B$15+'01_Inputs'!$B$16+N('01_Inputs'!$B$22)),"확인 필요: 점유 하한 미만",""),"")</f>
      </c>
    </row>
    <row r="27">
      <c r="A27" s="9" t="n">
        <v>22</v>
      </c>
      <c r="B27" s="9" t="inlineStr">
        <is>
          <t>SKTC_CpZr_Capacity_Reflux_Roadmap_2027_2028.pptx (첨부 원본·수정본)</t>
        </is>
      </c>
      <c r="C27" s="9" t="inlineStr">
        <is>
          <t>P3 달력 ← 원본 3장 노트·분포도</t>
        </is>
      </c>
      <c r="D27" s="3" t="n">
        <v>58</v>
      </c>
      <c r="E27" s="24">
        <f>IF(COUNTIF('P3_과거Batch_2026'!$C$6:$AG$13,D27)=0,"",IF(COUNTIF('P3_과거Batch_2026'!$C$6:$AG$13,D27)&gt;1,"중복 입력",SUMPRODUCT(('P3_과거Batch_2026'!$C$6:$AG$13=D27)*DATE('01_Inputs'!$B$100,ROW('P3_과거Batch_2026'!$C$6:$AG$13)-ROW('P3_과거Batch_2026'!$C$6)+5,COLUMN('P3_과거Batch_2026'!$C$6:$AG$13)-COLUMN('P3_과거Batch_2026'!$C$6)+1))))</f>
        <v>46226.0</v>
      </c>
      <c r="F27" s="5" t="n"/>
      <c r="G27" s="5" t="n"/>
      <c r="H27" s="9" t="inlineStr">
        <is>
          <t>생산계획 (원자료) — 실적 미검증</t>
        </is>
      </c>
      <c r="I27" s="3" t="inlineStr">
        <is>
          <t>주황</t>
        </is>
      </c>
      <c r="J27" s="5" t="n"/>
      <c r="K27" s="3" t="inlineStr">
        <is>
          <t>7/23</t>
        </is>
      </c>
      <c r="L27" s="3" t="n">
        <v>23</v>
      </c>
      <c r="M27" s="23" t="n">
        <v>46226</v>
      </c>
      <c r="N27" s="9" t="str">
        <f>IF(AND(ISNUMBER(E27),E27=M27,DAY(E27)=L27,K27=MONTH(E27)&amp;"/"&amp;DAY(E27)),"일치","차이 확인")</f>
        <v>일치</v>
      </c>
      <c r="O27" s="9">
        <f>IF(ISNUMBER(E27),MONTH(E27),"")</f>
        <v>7</v>
      </c>
      <c r="P27" s="9">
        <f>IF(AND(ISNUMBER(S27),D27&gt;'01_Inputs'!$B$96,D27&lt;='01_Inputs'!$B$97),1,0)</f>
        <v>1</v>
      </c>
      <c r="Q27" s="9">
        <f>IF(AND(ISNUMBER(E27),NOT(ISNUMBER(E26))),"확인","")</f>
      </c>
      <c r="R27" s="9" t="str">
        <f>IF(E27="중복 입력","중복","-")</f>
        <v>-</v>
      </c>
      <c r="S27" s="15">
        <f>IF(AND(ISNUMBER(E27),ISNUMBER(E26)),E27-E26,"")</f>
        <v>3</v>
      </c>
      <c r="T27" s="9">
        <f>IF(ISNUMBER(S27),IF(MONTH(E27)&lt;&gt;MONTH(E26),"월 경계",""),"")</f>
      </c>
      <c r="U27" s="15">
        <f>IF(ISNUMBER(S27),S27*24,"")</f>
        <v>72</v>
      </c>
      <c r="V27" s="15">
        <f>IF(ISNUMBER(S27),MAX(0,(S27-1)*24),"")</f>
        <v>48</v>
      </c>
      <c r="W27" s="15">
        <f>IF(ISNUMBER(S27),(S27+1)*24,"")</f>
        <v>96</v>
      </c>
      <c r="X27" s="15">
        <f>IF(AND(ISNUMBER(E27),ROW()-6&gt;='01_Inputs'!$B$98),IF(ISNUMBER(INDEX($E$6:$E$99,ROW()-6+1-'01_Inputs'!$B$98)),E27-INDEX($E$6:$E$99,ROW()-6+1-'01_Inputs'!$B$98),""),"")</f>
        <v>12</v>
      </c>
      <c r="Y27" s="14">
        <f>IF(ISNUMBER(X27),(X27+1)*24/'01_Inputs'!$B$98,"")</f>
        <v>78</v>
      </c>
      <c r="Z27" s="9">
        <f>IF(ISNUMBER(Y27),IF(Y27&lt;('01_Inputs'!$B$15+'01_Inputs'!$B$16+N('01_Inputs'!$B$22)),"확인 필요: 점유 하한 미만",""),"")</f>
      </c>
    </row>
    <row r="28">
      <c r="A28" s="9" t="n">
        <v>23</v>
      </c>
      <c r="B28" s="9" t="inlineStr">
        <is>
          <t>SKTC_CpZr_Capacity_Reflux_Roadmap_2027_2028.pptx (첨부 원본·수정본)</t>
        </is>
      </c>
      <c r="C28" s="9" t="inlineStr">
        <is>
          <t>P3 달력 ← 원본 3장 노트·분포도</t>
        </is>
      </c>
      <c r="D28" s="3" t="n">
        <v>59</v>
      </c>
      <c r="E28" s="24">
        <f>IF(COUNTIF('P3_과거Batch_2026'!$C$6:$AG$13,D28)=0,"",IF(COUNTIF('P3_과거Batch_2026'!$C$6:$AG$13,D28)&gt;1,"중복 입력",SUMPRODUCT(('P3_과거Batch_2026'!$C$6:$AG$13=D28)*DATE('01_Inputs'!$B$100,ROW('P3_과거Batch_2026'!$C$6:$AG$13)-ROW('P3_과거Batch_2026'!$C$6)+5,COLUMN('P3_과거Batch_2026'!$C$6:$AG$13)-COLUMN('P3_과거Batch_2026'!$C$6)+1))))</f>
        <v>46229.0</v>
      </c>
      <c r="F28" s="5" t="n"/>
      <c r="G28" s="5" t="n"/>
      <c r="H28" s="9" t="inlineStr">
        <is>
          <t>생산계획 (원자료) — 실적 미검증</t>
        </is>
      </c>
      <c r="I28" s="3" t="inlineStr">
        <is>
          <t>주황</t>
        </is>
      </c>
      <c r="J28" s="5" t="n"/>
      <c r="K28" s="3" t="inlineStr">
        <is>
          <t>7/26</t>
        </is>
      </c>
      <c r="L28" s="3" t="n">
        <v>26</v>
      </c>
      <c r="M28" s="23" t="n">
        <v>46229</v>
      </c>
      <c r="N28" s="9" t="str">
        <f>IF(AND(ISNUMBER(E28),E28=M28,DAY(E28)=L28,K28=MONTH(E28)&amp;"/"&amp;DAY(E28)),"일치","차이 확인")</f>
        <v>일치</v>
      </c>
      <c r="O28" s="9">
        <f>IF(ISNUMBER(E28),MONTH(E28),"")</f>
        <v>7</v>
      </c>
      <c r="P28" s="9">
        <f>IF(AND(ISNUMBER(S28),D28&gt;'01_Inputs'!$B$96,D28&lt;='01_Inputs'!$B$97),1,0)</f>
        <v>1</v>
      </c>
      <c r="Q28" s="9">
        <f>IF(AND(ISNUMBER(E28),NOT(ISNUMBER(E27))),"확인","")</f>
      </c>
      <c r="R28" s="9" t="str">
        <f>IF(E28="중복 입력","중복","-")</f>
        <v>-</v>
      </c>
      <c r="S28" s="15">
        <f>IF(AND(ISNUMBER(E28),ISNUMBER(E27)),E28-E27,"")</f>
        <v>3</v>
      </c>
      <c r="T28" s="9">
        <f>IF(ISNUMBER(S28),IF(MONTH(E28)&lt;&gt;MONTH(E27),"월 경계",""),"")</f>
      </c>
      <c r="U28" s="15">
        <f>IF(ISNUMBER(S28),S28*24,"")</f>
        <v>72</v>
      </c>
      <c r="V28" s="15">
        <f>IF(ISNUMBER(S28),MAX(0,(S28-1)*24),"")</f>
        <v>48</v>
      </c>
      <c r="W28" s="15">
        <f>IF(ISNUMBER(S28),(S28+1)*24,"")</f>
        <v>96</v>
      </c>
      <c r="X28" s="15">
        <f>IF(AND(ISNUMBER(E28),ROW()-6&gt;='01_Inputs'!$B$98),IF(ISNUMBER(INDEX($E$6:$E$99,ROW()-6+1-'01_Inputs'!$B$98)),E28-INDEX($E$6:$E$99,ROW()-6+1-'01_Inputs'!$B$98),""),"")</f>
        <v>12</v>
      </c>
      <c r="Y28" s="14">
        <f>IF(ISNUMBER(X28),(X28+1)*24/'01_Inputs'!$B$98,"")</f>
        <v>78</v>
      </c>
      <c r="Z28" s="9">
        <f>IF(ISNUMBER(Y28),IF(Y28&lt;('01_Inputs'!$B$15+'01_Inputs'!$B$16+N('01_Inputs'!$B$22)),"확인 필요: 점유 하한 미만",""),"")</f>
      </c>
    </row>
    <row r="29">
      <c r="A29" s="9" t="n">
        <v>24</v>
      </c>
      <c r="B29" s="9" t="inlineStr">
        <is>
          <t>SKTC_CpZr_Capacity_Reflux_Roadmap_2027_2028.pptx (첨부 원본·수정본)</t>
        </is>
      </c>
      <c r="C29" s="9" t="inlineStr">
        <is>
          <t>P3 달력 ← 원본 3장 노트·분포도</t>
        </is>
      </c>
      <c r="D29" s="3" t="n">
        <v>60</v>
      </c>
      <c r="E29" s="24">
        <f>IF(COUNTIF('P3_과거Batch_2026'!$C$6:$AG$13,D29)=0,"",IF(COUNTIF('P3_과거Batch_2026'!$C$6:$AG$13,D29)&gt;1,"중복 입력",SUMPRODUCT(('P3_과거Batch_2026'!$C$6:$AG$13=D29)*DATE('01_Inputs'!$B$100,ROW('P3_과거Batch_2026'!$C$6:$AG$13)-ROW('P3_과거Batch_2026'!$C$6)+5,COLUMN('P3_과거Batch_2026'!$C$6:$AG$13)-COLUMN('P3_과거Batch_2026'!$C$6)+1))))</f>
        <v>46232.0</v>
      </c>
      <c r="F29" s="5" t="n"/>
      <c r="G29" s="5" t="n"/>
      <c r="H29" s="9" t="inlineStr">
        <is>
          <t>생산계획 (원자료) — 실적 미검증</t>
        </is>
      </c>
      <c r="I29" s="3" t="inlineStr">
        <is>
          <t>주황</t>
        </is>
      </c>
      <c r="J29" s="5" t="n"/>
      <c r="K29" s="3" t="inlineStr">
        <is>
          <t>7/29</t>
        </is>
      </c>
      <c r="L29" s="3" t="n">
        <v>29</v>
      </c>
      <c r="M29" s="23" t="n">
        <v>46232</v>
      </c>
      <c r="N29" s="9" t="str">
        <f>IF(AND(ISNUMBER(E29),E29=M29,DAY(E29)=L29,K29=MONTH(E29)&amp;"/"&amp;DAY(E29)),"일치","차이 확인")</f>
        <v>일치</v>
      </c>
      <c r="O29" s="9">
        <f>IF(ISNUMBER(E29),MONTH(E29),"")</f>
        <v>7</v>
      </c>
      <c r="P29" s="9">
        <f>IF(AND(ISNUMBER(S29),D29&gt;'01_Inputs'!$B$96,D29&lt;='01_Inputs'!$B$97),1,0)</f>
        <v>1</v>
      </c>
      <c r="Q29" s="9">
        <f>IF(AND(ISNUMBER(E29),NOT(ISNUMBER(E28))),"확인","")</f>
      </c>
      <c r="R29" s="9" t="str">
        <f>IF(E29="중복 입력","중복","-")</f>
        <v>-</v>
      </c>
      <c r="S29" s="15">
        <f>IF(AND(ISNUMBER(E29),ISNUMBER(E28)),E29-E28,"")</f>
        <v>3</v>
      </c>
      <c r="T29" s="9">
        <f>IF(ISNUMBER(S29),IF(MONTH(E29)&lt;&gt;MONTH(E28),"월 경계",""),"")</f>
      </c>
      <c r="U29" s="15">
        <f>IF(ISNUMBER(S29),S29*24,"")</f>
        <v>72</v>
      </c>
      <c r="V29" s="15">
        <f>IF(ISNUMBER(S29),MAX(0,(S29-1)*24),"")</f>
        <v>48</v>
      </c>
      <c r="W29" s="15">
        <f>IF(ISNUMBER(S29),(S29+1)*24,"")</f>
        <v>96</v>
      </c>
      <c r="X29" s="15">
        <f>IF(AND(ISNUMBER(E29),ROW()-6&gt;='01_Inputs'!$B$98),IF(ISNUMBER(INDEX($E$6:$E$99,ROW()-6+1-'01_Inputs'!$B$98)),E29-INDEX($E$6:$E$99,ROW()-6+1-'01_Inputs'!$B$98),""),"")</f>
        <v>12</v>
      </c>
      <c r="Y29" s="14">
        <f>IF(ISNUMBER(X29),(X29+1)*24/'01_Inputs'!$B$98,"")</f>
        <v>78</v>
      </c>
      <c r="Z29" s="9">
        <f>IF(ISNUMBER(Y29),IF(Y29&lt;('01_Inputs'!$B$15+'01_Inputs'!$B$16+N('01_Inputs'!$B$22)),"확인 필요: 점유 하한 미만",""),"")</f>
      </c>
    </row>
    <row r="30">
      <c r="A30" s="9" t="n">
        <v>25</v>
      </c>
      <c r="B30" s="9" t="inlineStr">
        <is>
          <t>SKTC_CpZr_Capacity_Reflux_Roadmap_2027_2028.pptx (첨부 원본·수정본)</t>
        </is>
      </c>
      <c r="C30" s="9" t="inlineStr">
        <is>
          <t>P3 달력 ← 원본 3장 노트·분포도</t>
        </is>
      </c>
      <c r="D30" s="3" t="n">
        <v>61</v>
      </c>
      <c r="E30" s="24">
        <f>IF(COUNTIF('P3_과거Batch_2026'!$C$6:$AG$13,D30)=0,"",IF(COUNTIF('P3_과거Batch_2026'!$C$6:$AG$13,D30)&gt;1,"중복 입력",SUMPRODUCT(('P3_과거Batch_2026'!$C$6:$AG$13=D30)*DATE('01_Inputs'!$B$100,ROW('P3_과거Batch_2026'!$C$6:$AG$13)-ROW('P3_과거Batch_2026'!$C$6)+5,COLUMN('P3_과거Batch_2026'!$C$6:$AG$13)-COLUMN('P3_과거Batch_2026'!$C$6)+1))))</f>
        <v>46235.0</v>
      </c>
      <c r="F30" s="5" t="n"/>
      <c r="G30" s="5" t="n"/>
      <c r="H30" s="9" t="inlineStr">
        <is>
          <t>생산계획 (원자료) — 실적 미검증</t>
        </is>
      </c>
      <c r="I30" s="3" t="inlineStr">
        <is>
          <t>주황</t>
        </is>
      </c>
      <c r="J30" s="5" t="n"/>
      <c r="K30" s="3" t="inlineStr">
        <is>
          <t>8/1</t>
        </is>
      </c>
      <c r="L30" s="3" t="n">
        <v>1</v>
      </c>
      <c r="M30" s="23" t="n">
        <v>46235</v>
      </c>
      <c r="N30" s="9" t="str">
        <f>IF(AND(ISNUMBER(E30),E30=M30,DAY(E30)=L30,K30=MONTH(E30)&amp;"/"&amp;DAY(E30)),"일치","차이 확인")</f>
        <v>일치</v>
      </c>
      <c r="O30" s="9">
        <f>IF(ISNUMBER(E30),MONTH(E30),"")</f>
        <v>8</v>
      </c>
      <c r="P30" s="9">
        <f>IF(AND(ISNUMBER(S30),D30&gt;'01_Inputs'!$B$96,D30&lt;='01_Inputs'!$B$97),1,0)</f>
        <v>1</v>
      </c>
      <c r="Q30" s="9">
        <f>IF(AND(ISNUMBER(E30),NOT(ISNUMBER(E29))),"확인","")</f>
      </c>
      <c r="R30" s="9" t="str">
        <f>IF(E30="중복 입력","중복","-")</f>
        <v>-</v>
      </c>
      <c r="S30" s="15">
        <f>IF(AND(ISNUMBER(E30),ISNUMBER(E29)),E30-E29,"")</f>
        <v>3</v>
      </c>
      <c r="T30" s="9" t="str">
        <f>IF(ISNUMBER(S30),IF(MONTH(E30)&lt;&gt;MONTH(E29),"월 경계",""),"")</f>
        <v>월 경계</v>
      </c>
      <c r="U30" s="15">
        <f>IF(ISNUMBER(S30),S30*24,"")</f>
        <v>72</v>
      </c>
      <c r="V30" s="15">
        <f>IF(ISNUMBER(S30),MAX(0,(S30-1)*24),"")</f>
        <v>48</v>
      </c>
      <c r="W30" s="15">
        <f>IF(ISNUMBER(S30),(S30+1)*24,"")</f>
        <v>96</v>
      </c>
      <c r="X30" s="15">
        <f>IF(AND(ISNUMBER(E30),ROW()-6&gt;='01_Inputs'!$B$98),IF(ISNUMBER(INDEX($E$6:$E$99,ROW()-6+1-'01_Inputs'!$B$98)),E30-INDEX($E$6:$E$99,ROW()-6+1-'01_Inputs'!$B$98),""),"")</f>
        <v>12</v>
      </c>
      <c r="Y30" s="14">
        <f>IF(ISNUMBER(X30),(X30+1)*24/'01_Inputs'!$B$98,"")</f>
        <v>78</v>
      </c>
      <c r="Z30" s="9">
        <f>IF(ISNUMBER(Y30),IF(Y30&lt;('01_Inputs'!$B$15+'01_Inputs'!$B$16+N('01_Inputs'!$B$22)),"확인 필요: 점유 하한 미만",""),"")</f>
      </c>
    </row>
    <row r="31">
      <c r="A31" s="9" t="n">
        <v>26</v>
      </c>
      <c r="B31" s="9" t="inlineStr">
        <is>
          <t>SKTC_CpZr_Capacity_Reflux_Roadmap_2027_2028.pptx (첨부 원본·수정본)</t>
        </is>
      </c>
      <c r="C31" s="9" t="inlineStr">
        <is>
          <t>P3 달력 ← 원본 3장 노트·분포도</t>
        </is>
      </c>
      <c r="D31" s="3" t="n">
        <v>62</v>
      </c>
      <c r="E31" s="24">
        <f>IF(COUNTIF('P3_과거Batch_2026'!$C$6:$AG$13,D31)=0,"",IF(COUNTIF('P3_과거Batch_2026'!$C$6:$AG$13,D31)&gt;1,"중복 입력",SUMPRODUCT(('P3_과거Batch_2026'!$C$6:$AG$13=D31)*DATE('01_Inputs'!$B$100,ROW('P3_과거Batch_2026'!$C$6:$AG$13)-ROW('P3_과거Batch_2026'!$C$6)+5,COLUMN('P3_과거Batch_2026'!$C$6:$AG$13)-COLUMN('P3_과거Batch_2026'!$C$6)+1))))</f>
        <v>46238.0</v>
      </c>
      <c r="F31" s="5" t="n"/>
      <c r="G31" s="5" t="n"/>
      <c r="H31" s="9" t="inlineStr">
        <is>
          <t>생산계획 (원자료) — 실적 미검증</t>
        </is>
      </c>
      <c r="I31" s="3" t="inlineStr">
        <is>
          <t>주황</t>
        </is>
      </c>
      <c r="J31" s="5" t="n"/>
      <c r="K31" s="3" t="inlineStr">
        <is>
          <t>8/4</t>
        </is>
      </c>
      <c r="L31" s="3" t="n">
        <v>4</v>
      </c>
      <c r="M31" s="23" t="n">
        <v>46238</v>
      </c>
      <c r="N31" s="9" t="str">
        <f>IF(AND(ISNUMBER(E31),E31=M31,DAY(E31)=L31,K31=MONTH(E31)&amp;"/"&amp;DAY(E31)),"일치","차이 확인")</f>
        <v>일치</v>
      </c>
      <c r="O31" s="9">
        <f>IF(ISNUMBER(E31),MONTH(E31),"")</f>
        <v>8</v>
      </c>
      <c r="P31" s="9">
        <f>IF(AND(ISNUMBER(S31),D31&gt;'01_Inputs'!$B$96,D31&lt;='01_Inputs'!$B$97),1,0)</f>
        <v>1</v>
      </c>
      <c r="Q31" s="9">
        <f>IF(AND(ISNUMBER(E31),NOT(ISNUMBER(E30))),"확인","")</f>
      </c>
      <c r="R31" s="9" t="str">
        <f>IF(E31="중복 입력","중복","-")</f>
        <v>-</v>
      </c>
      <c r="S31" s="15">
        <f>IF(AND(ISNUMBER(E31),ISNUMBER(E30)),E31-E30,"")</f>
        <v>3</v>
      </c>
      <c r="T31" s="9">
        <f>IF(ISNUMBER(S31),IF(MONTH(E31)&lt;&gt;MONTH(E30),"월 경계",""),"")</f>
      </c>
      <c r="U31" s="15">
        <f>IF(ISNUMBER(S31),S31*24,"")</f>
        <v>72</v>
      </c>
      <c r="V31" s="15">
        <f>IF(ISNUMBER(S31),MAX(0,(S31-1)*24),"")</f>
        <v>48</v>
      </c>
      <c r="W31" s="15">
        <f>IF(ISNUMBER(S31),(S31+1)*24,"")</f>
        <v>96</v>
      </c>
      <c r="X31" s="15">
        <f>IF(AND(ISNUMBER(E31),ROW()-6&gt;='01_Inputs'!$B$98),IF(ISNUMBER(INDEX($E$6:$E$99,ROW()-6+1-'01_Inputs'!$B$98)),E31-INDEX($E$6:$E$99,ROW()-6+1-'01_Inputs'!$B$98),""),"")</f>
        <v>12</v>
      </c>
      <c r="Y31" s="14">
        <f>IF(ISNUMBER(X31),(X31+1)*24/'01_Inputs'!$B$98,"")</f>
        <v>78</v>
      </c>
      <c r="Z31" s="9">
        <f>IF(ISNUMBER(Y31),IF(Y31&lt;('01_Inputs'!$B$15+'01_Inputs'!$B$16+N('01_Inputs'!$B$22)),"확인 필요: 점유 하한 미만",""),"")</f>
      </c>
    </row>
    <row r="32">
      <c r="A32" s="9" t="n">
        <v>27</v>
      </c>
      <c r="B32" s="9" t="inlineStr">
        <is>
          <t>SKTC_CpZr_Capacity_Reflux_Roadmap_2027_2028.pptx (첨부 원본·수정본)</t>
        </is>
      </c>
      <c r="C32" s="9" t="inlineStr">
        <is>
          <t>P3 달력 ← 원본 3장 노트·분포도</t>
        </is>
      </c>
      <c r="D32" s="3" t="n">
        <v>63</v>
      </c>
      <c r="E32" s="24">
        <f>IF(COUNTIF('P3_과거Batch_2026'!$C$6:$AG$13,D32)=0,"",IF(COUNTIF('P3_과거Batch_2026'!$C$6:$AG$13,D32)&gt;1,"중복 입력",SUMPRODUCT(('P3_과거Batch_2026'!$C$6:$AG$13=D32)*DATE('01_Inputs'!$B$100,ROW('P3_과거Batch_2026'!$C$6:$AG$13)-ROW('P3_과거Batch_2026'!$C$6)+5,COLUMN('P3_과거Batch_2026'!$C$6:$AG$13)-COLUMN('P3_과거Batch_2026'!$C$6)+1))))</f>
        <v>46241.0</v>
      </c>
      <c r="F32" s="5" t="n"/>
      <c r="G32" s="5" t="n"/>
      <c r="H32" s="9" t="inlineStr">
        <is>
          <t>생산계획 (원자료) — 실적 미검증</t>
        </is>
      </c>
      <c r="I32" s="3" t="inlineStr">
        <is>
          <t>주황</t>
        </is>
      </c>
      <c r="J32" s="5" t="n"/>
      <c r="K32" s="3" t="inlineStr">
        <is>
          <t>8/7</t>
        </is>
      </c>
      <c r="L32" s="3" t="n">
        <v>7</v>
      </c>
      <c r="M32" s="23" t="n">
        <v>46241</v>
      </c>
      <c r="N32" s="9" t="str">
        <f>IF(AND(ISNUMBER(E32),E32=M32,DAY(E32)=L32,K32=MONTH(E32)&amp;"/"&amp;DAY(E32)),"일치","차이 확인")</f>
        <v>일치</v>
      </c>
      <c r="O32" s="9">
        <f>IF(ISNUMBER(E32),MONTH(E32),"")</f>
        <v>8</v>
      </c>
      <c r="P32" s="9">
        <f>IF(AND(ISNUMBER(S32),D32&gt;'01_Inputs'!$B$96,D32&lt;='01_Inputs'!$B$97),1,0)</f>
        <v>1</v>
      </c>
      <c r="Q32" s="9">
        <f>IF(AND(ISNUMBER(E32),NOT(ISNUMBER(E31))),"확인","")</f>
      </c>
      <c r="R32" s="9" t="str">
        <f>IF(E32="중복 입력","중복","-")</f>
        <v>-</v>
      </c>
      <c r="S32" s="15">
        <f>IF(AND(ISNUMBER(E32),ISNUMBER(E31)),E32-E31,"")</f>
        <v>3</v>
      </c>
      <c r="T32" s="9">
        <f>IF(ISNUMBER(S32),IF(MONTH(E32)&lt;&gt;MONTH(E31),"월 경계",""),"")</f>
      </c>
      <c r="U32" s="15">
        <f>IF(ISNUMBER(S32),S32*24,"")</f>
        <v>72</v>
      </c>
      <c r="V32" s="15">
        <f>IF(ISNUMBER(S32),MAX(0,(S32-1)*24),"")</f>
        <v>48</v>
      </c>
      <c r="W32" s="15">
        <f>IF(ISNUMBER(S32),(S32+1)*24,"")</f>
        <v>96</v>
      </c>
      <c r="X32" s="15">
        <f>IF(AND(ISNUMBER(E32),ROW()-6&gt;='01_Inputs'!$B$98),IF(ISNUMBER(INDEX($E$6:$E$99,ROW()-6+1-'01_Inputs'!$B$98)),E32-INDEX($E$6:$E$99,ROW()-6+1-'01_Inputs'!$B$98),""),"")</f>
        <v>12</v>
      </c>
      <c r="Y32" s="14">
        <f>IF(ISNUMBER(X32),(X32+1)*24/'01_Inputs'!$B$98,"")</f>
        <v>78</v>
      </c>
      <c r="Z32" s="9">
        <f>IF(ISNUMBER(Y32),IF(Y32&lt;('01_Inputs'!$B$15+'01_Inputs'!$B$16+N('01_Inputs'!$B$22)),"확인 필요: 점유 하한 미만",""),"")</f>
      </c>
    </row>
    <row r="33">
      <c r="A33" s="9" t="n">
        <v>28</v>
      </c>
      <c r="B33" s="9" t="inlineStr">
        <is>
          <t>SKTC_CpZr_Capacity_Reflux_Roadmap_2027_2028.pptx (첨부 원본·수정본)</t>
        </is>
      </c>
      <c r="C33" s="9" t="inlineStr">
        <is>
          <t>P3 달력 ← 원본 3장 노트·분포도</t>
        </is>
      </c>
      <c r="D33" s="3" t="n">
        <v>64</v>
      </c>
      <c r="E33" s="24">
        <f>IF(COUNTIF('P3_과거Batch_2026'!$C$6:$AG$13,D33)=0,"",IF(COUNTIF('P3_과거Batch_2026'!$C$6:$AG$13,D33)&gt;1,"중복 입력",SUMPRODUCT(('P3_과거Batch_2026'!$C$6:$AG$13=D33)*DATE('01_Inputs'!$B$100,ROW('P3_과거Batch_2026'!$C$6:$AG$13)-ROW('P3_과거Batch_2026'!$C$6)+5,COLUMN('P3_과거Batch_2026'!$C$6:$AG$13)-COLUMN('P3_과거Batch_2026'!$C$6)+1))))</f>
        <v>46244.0</v>
      </c>
      <c r="F33" s="5" t="n"/>
      <c r="G33" s="5" t="n"/>
      <c r="H33" s="9" t="inlineStr">
        <is>
          <t>생산계획 (원자료) — 실적 미검증</t>
        </is>
      </c>
      <c r="I33" s="3" t="inlineStr">
        <is>
          <t>주황</t>
        </is>
      </c>
      <c r="J33" s="5" t="n"/>
      <c r="K33" s="3" t="inlineStr">
        <is>
          <t>8/10</t>
        </is>
      </c>
      <c r="L33" s="3" t="n">
        <v>10</v>
      </c>
      <c r="M33" s="23" t="n">
        <v>46244</v>
      </c>
      <c r="N33" s="9" t="str">
        <f>IF(AND(ISNUMBER(E33),E33=M33,DAY(E33)=L33,K33=MONTH(E33)&amp;"/"&amp;DAY(E33)),"일치","차이 확인")</f>
        <v>일치</v>
      </c>
      <c r="O33" s="9">
        <f>IF(ISNUMBER(E33),MONTH(E33),"")</f>
        <v>8</v>
      </c>
      <c r="P33" s="9">
        <f>IF(AND(ISNUMBER(S33),D33&gt;'01_Inputs'!$B$96,D33&lt;='01_Inputs'!$B$97),1,0)</f>
        <v>1</v>
      </c>
      <c r="Q33" s="9">
        <f>IF(AND(ISNUMBER(E33),NOT(ISNUMBER(E32))),"확인","")</f>
      </c>
      <c r="R33" s="9" t="str">
        <f>IF(E33="중복 입력","중복","-")</f>
        <v>-</v>
      </c>
      <c r="S33" s="15">
        <f>IF(AND(ISNUMBER(E33),ISNUMBER(E32)),E33-E32,"")</f>
        <v>3</v>
      </c>
      <c r="T33" s="9">
        <f>IF(ISNUMBER(S33),IF(MONTH(E33)&lt;&gt;MONTH(E32),"월 경계",""),"")</f>
      </c>
      <c r="U33" s="15">
        <f>IF(ISNUMBER(S33),S33*24,"")</f>
        <v>72</v>
      </c>
      <c r="V33" s="15">
        <f>IF(ISNUMBER(S33),MAX(0,(S33-1)*24),"")</f>
        <v>48</v>
      </c>
      <c r="W33" s="15">
        <f>IF(ISNUMBER(S33),(S33+1)*24,"")</f>
        <v>96</v>
      </c>
      <c r="X33" s="15">
        <f>IF(AND(ISNUMBER(E33),ROW()-6&gt;='01_Inputs'!$B$98),IF(ISNUMBER(INDEX($E$6:$E$99,ROW()-6+1-'01_Inputs'!$B$98)),E33-INDEX($E$6:$E$99,ROW()-6+1-'01_Inputs'!$B$98),""),"")</f>
        <v>12</v>
      </c>
      <c r="Y33" s="14">
        <f>IF(ISNUMBER(X33),(X33+1)*24/'01_Inputs'!$B$98,"")</f>
        <v>78</v>
      </c>
      <c r="Z33" s="9">
        <f>IF(ISNUMBER(Y33),IF(Y33&lt;('01_Inputs'!$B$15+'01_Inputs'!$B$16+N('01_Inputs'!$B$22)),"확인 필요: 점유 하한 미만",""),"")</f>
      </c>
    </row>
    <row r="34">
      <c r="A34" s="9" t="n">
        <v>29</v>
      </c>
      <c r="B34" s="9" t="inlineStr">
        <is>
          <t>SKTC_CpZr_Capacity_Reflux_Roadmap_2027_2028.pptx (첨부 원본·수정본)</t>
        </is>
      </c>
      <c r="C34" s="9" t="inlineStr">
        <is>
          <t>P3 달력 ← 원본 3장 노트·분포도</t>
        </is>
      </c>
      <c r="D34" s="3" t="n">
        <v>65</v>
      </c>
      <c r="E34" s="24">
        <f>IF(COUNTIF('P3_과거Batch_2026'!$C$6:$AG$13,D34)=0,"",IF(COUNTIF('P3_과거Batch_2026'!$C$6:$AG$13,D34)&gt;1,"중복 입력",SUMPRODUCT(('P3_과거Batch_2026'!$C$6:$AG$13=D34)*DATE('01_Inputs'!$B$100,ROW('P3_과거Batch_2026'!$C$6:$AG$13)-ROW('P3_과거Batch_2026'!$C$6)+5,COLUMN('P3_과거Batch_2026'!$C$6:$AG$13)-COLUMN('P3_과거Batch_2026'!$C$6)+1))))</f>
        <v>46247.0</v>
      </c>
      <c r="F34" s="5" t="n"/>
      <c r="G34" s="5" t="n"/>
      <c r="H34" s="9" t="inlineStr">
        <is>
          <t>생산계획 (원자료) — 실적 미검증</t>
        </is>
      </c>
      <c r="I34" s="3" t="inlineStr">
        <is>
          <t>주황</t>
        </is>
      </c>
      <c r="J34" s="5" t="n"/>
      <c r="K34" s="3" t="inlineStr">
        <is>
          <t>8/13</t>
        </is>
      </c>
      <c r="L34" s="3" t="n">
        <v>13</v>
      </c>
      <c r="M34" s="23" t="n">
        <v>46247</v>
      </c>
      <c r="N34" s="9" t="str">
        <f>IF(AND(ISNUMBER(E34),E34=M34,DAY(E34)=L34,K34=MONTH(E34)&amp;"/"&amp;DAY(E34)),"일치","차이 확인")</f>
        <v>일치</v>
      </c>
      <c r="O34" s="9">
        <f>IF(ISNUMBER(E34),MONTH(E34),"")</f>
        <v>8</v>
      </c>
      <c r="P34" s="9">
        <f>IF(AND(ISNUMBER(S34),D34&gt;'01_Inputs'!$B$96,D34&lt;='01_Inputs'!$B$97),1,0)</f>
        <v>1</v>
      </c>
      <c r="Q34" s="9">
        <f>IF(AND(ISNUMBER(E34),NOT(ISNUMBER(E33))),"확인","")</f>
      </c>
      <c r="R34" s="9" t="str">
        <f>IF(E34="중복 입력","중복","-")</f>
        <v>-</v>
      </c>
      <c r="S34" s="15">
        <f>IF(AND(ISNUMBER(E34),ISNUMBER(E33)),E34-E33,"")</f>
        <v>3</v>
      </c>
      <c r="T34" s="9">
        <f>IF(ISNUMBER(S34),IF(MONTH(E34)&lt;&gt;MONTH(E33),"월 경계",""),"")</f>
      </c>
      <c r="U34" s="15">
        <f>IF(ISNUMBER(S34),S34*24,"")</f>
        <v>72</v>
      </c>
      <c r="V34" s="15">
        <f>IF(ISNUMBER(S34),MAX(0,(S34-1)*24),"")</f>
        <v>48</v>
      </c>
      <c r="W34" s="15">
        <f>IF(ISNUMBER(S34),(S34+1)*24,"")</f>
        <v>96</v>
      </c>
      <c r="X34" s="15">
        <f>IF(AND(ISNUMBER(E34),ROW()-6&gt;='01_Inputs'!$B$98),IF(ISNUMBER(INDEX($E$6:$E$99,ROW()-6+1-'01_Inputs'!$B$98)),E34-INDEX($E$6:$E$99,ROW()-6+1-'01_Inputs'!$B$98),""),"")</f>
        <v>12</v>
      </c>
      <c r="Y34" s="14">
        <f>IF(ISNUMBER(X34),(X34+1)*24/'01_Inputs'!$B$98,"")</f>
        <v>78</v>
      </c>
      <c r="Z34" s="9">
        <f>IF(ISNUMBER(Y34),IF(Y34&lt;('01_Inputs'!$B$15+'01_Inputs'!$B$16+N('01_Inputs'!$B$22)),"확인 필요: 점유 하한 미만",""),"")</f>
      </c>
    </row>
    <row r="35">
      <c r="A35" s="9" t="n">
        <v>30</v>
      </c>
      <c r="B35" s="9" t="inlineStr">
        <is>
          <t>SKTC_CpZr_Capacity_Reflux_Roadmap_2027_2028.pptx (첨부 원본·수정본)</t>
        </is>
      </c>
      <c r="C35" s="9" t="inlineStr">
        <is>
          <t>P3 달력 ← 원본 3장 노트·분포도</t>
        </is>
      </c>
      <c r="D35" s="3" t="n">
        <v>66</v>
      </c>
      <c r="E35" s="24">
        <f>IF(COUNTIF('P3_과거Batch_2026'!$C$6:$AG$13,D35)=0,"",IF(COUNTIF('P3_과거Batch_2026'!$C$6:$AG$13,D35)&gt;1,"중복 입력",SUMPRODUCT(('P3_과거Batch_2026'!$C$6:$AG$13=D35)*DATE('01_Inputs'!$B$100,ROW('P3_과거Batch_2026'!$C$6:$AG$13)-ROW('P3_과거Batch_2026'!$C$6)+5,COLUMN('P3_과거Batch_2026'!$C$6:$AG$13)-COLUMN('P3_과거Batch_2026'!$C$6)+1))))</f>
        <v>46250.0</v>
      </c>
      <c r="F35" s="5" t="n"/>
      <c r="G35" s="5" t="n"/>
      <c r="H35" s="9" t="inlineStr">
        <is>
          <t>생산계획 (원자료) — 실적 미검증</t>
        </is>
      </c>
      <c r="I35" s="3" t="inlineStr">
        <is>
          <t>주황</t>
        </is>
      </c>
      <c r="J35" s="5" t="n"/>
      <c r="K35" s="3" t="inlineStr">
        <is>
          <t>8/16</t>
        </is>
      </c>
      <c r="L35" s="3" t="n">
        <v>16</v>
      </c>
      <c r="M35" s="23" t="n">
        <v>46250</v>
      </c>
      <c r="N35" s="9" t="str">
        <f>IF(AND(ISNUMBER(E35),E35=M35,DAY(E35)=L35,K35=MONTH(E35)&amp;"/"&amp;DAY(E35)),"일치","차이 확인")</f>
        <v>일치</v>
      </c>
      <c r="O35" s="9">
        <f>IF(ISNUMBER(E35),MONTH(E35),"")</f>
        <v>8</v>
      </c>
      <c r="P35" s="9">
        <f>IF(AND(ISNUMBER(S35),D35&gt;'01_Inputs'!$B$96,D35&lt;='01_Inputs'!$B$97),1,0)</f>
        <v>1</v>
      </c>
      <c r="Q35" s="9">
        <f>IF(AND(ISNUMBER(E35),NOT(ISNUMBER(E34))),"확인","")</f>
      </c>
      <c r="R35" s="9" t="str">
        <f>IF(E35="중복 입력","중복","-")</f>
        <v>-</v>
      </c>
      <c r="S35" s="15">
        <f>IF(AND(ISNUMBER(E35),ISNUMBER(E34)),E35-E34,"")</f>
        <v>3</v>
      </c>
      <c r="T35" s="9">
        <f>IF(ISNUMBER(S35),IF(MONTH(E35)&lt;&gt;MONTH(E34),"월 경계",""),"")</f>
      </c>
      <c r="U35" s="15">
        <f>IF(ISNUMBER(S35),S35*24,"")</f>
        <v>72</v>
      </c>
      <c r="V35" s="15">
        <f>IF(ISNUMBER(S35),MAX(0,(S35-1)*24),"")</f>
        <v>48</v>
      </c>
      <c r="W35" s="15">
        <f>IF(ISNUMBER(S35),(S35+1)*24,"")</f>
        <v>96</v>
      </c>
      <c r="X35" s="15">
        <f>IF(AND(ISNUMBER(E35),ROW()-6&gt;='01_Inputs'!$B$98),IF(ISNUMBER(INDEX($E$6:$E$99,ROW()-6+1-'01_Inputs'!$B$98)),E35-INDEX($E$6:$E$99,ROW()-6+1-'01_Inputs'!$B$98),""),"")</f>
        <v>12</v>
      </c>
      <c r="Y35" s="14">
        <f>IF(ISNUMBER(X35),(X35+1)*24/'01_Inputs'!$B$98,"")</f>
        <v>78</v>
      </c>
      <c r="Z35" s="9">
        <f>IF(ISNUMBER(Y35),IF(Y35&lt;('01_Inputs'!$B$15+'01_Inputs'!$B$16+N('01_Inputs'!$B$22)),"확인 필요: 점유 하한 미만",""),"")</f>
      </c>
    </row>
    <row r="36">
      <c r="A36" s="9" t="n">
        <v>31</v>
      </c>
      <c r="B36" s="9" t="inlineStr">
        <is>
          <t>SKTC_CpZr_Capacity_Reflux_Roadmap_2027_2028.pptx (첨부 원본·수정본)</t>
        </is>
      </c>
      <c r="C36" s="9" t="inlineStr">
        <is>
          <t>P3 달력 ← 원본 3장 노트·분포도</t>
        </is>
      </c>
      <c r="D36" s="3" t="n">
        <v>67</v>
      </c>
      <c r="E36" s="24">
        <f>IF(COUNTIF('P3_과거Batch_2026'!$C$6:$AG$13,D36)=0,"",IF(COUNTIF('P3_과거Batch_2026'!$C$6:$AG$13,D36)&gt;1,"중복 입력",SUMPRODUCT(('P3_과거Batch_2026'!$C$6:$AG$13=D36)*DATE('01_Inputs'!$B$100,ROW('P3_과거Batch_2026'!$C$6:$AG$13)-ROW('P3_과거Batch_2026'!$C$6)+5,COLUMN('P3_과거Batch_2026'!$C$6:$AG$13)-COLUMN('P3_과거Batch_2026'!$C$6)+1))))</f>
        <v>46253.0</v>
      </c>
      <c r="F36" s="5" t="n"/>
      <c r="G36" s="5" t="n"/>
      <c r="H36" s="9" t="inlineStr">
        <is>
          <t>생산계획 (원자료) — 실적 미검증</t>
        </is>
      </c>
      <c r="I36" s="3" t="inlineStr">
        <is>
          <t>주황</t>
        </is>
      </c>
      <c r="J36" s="5" t="n"/>
      <c r="K36" s="3" t="inlineStr">
        <is>
          <t>8/19</t>
        </is>
      </c>
      <c r="L36" s="3" t="n">
        <v>19</v>
      </c>
      <c r="M36" s="23" t="n">
        <v>46253</v>
      </c>
      <c r="N36" s="9" t="str">
        <f>IF(AND(ISNUMBER(E36),E36=M36,DAY(E36)=L36,K36=MONTH(E36)&amp;"/"&amp;DAY(E36)),"일치","차이 확인")</f>
        <v>일치</v>
      </c>
      <c r="O36" s="9">
        <f>IF(ISNUMBER(E36),MONTH(E36),"")</f>
        <v>8</v>
      </c>
      <c r="P36" s="9">
        <f>IF(AND(ISNUMBER(S36),D36&gt;'01_Inputs'!$B$96,D36&lt;='01_Inputs'!$B$97),1,0)</f>
        <v>1</v>
      </c>
      <c r="Q36" s="9">
        <f>IF(AND(ISNUMBER(E36),NOT(ISNUMBER(E35))),"확인","")</f>
      </c>
      <c r="R36" s="9" t="str">
        <f>IF(E36="중복 입력","중복","-")</f>
        <v>-</v>
      </c>
      <c r="S36" s="15">
        <f>IF(AND(ISNUMBER(E36),ISNUMBER(E35)),E36-E35,"")</f>
        <v>3</v>
      </c>
      <c r="T36" s="9">
        <f>IF(ISNUMBER(S36),IF(MONTH(E36)&lt;&gt;MONTH(E35),"월 경계",""),"")</f>
      </c>
      <c r="U36" s="15">
        <f>IF(ISNUMBER(S36),S36*24,"")</f>
        <v>72</v>
      </c>
      <c r="V36" s="15">
        <f>IF(ISNUMBER(S36),MAX(0,(S36-1)*24),"")</f>
        <v>48</v>
      </c>
      <c r="W36" s="15">
        <f>IF(ISNUMBER(S36),(S36+1)*24,"")</f>
        <v>96</v>
      </c>
      <c r="X36" s="15">
        <f>IF(AND(ISNUMBER(E36),ROW()-6&gt;='01_Inputs'!$B$98),IF(ISNUMBER(INDEX($E$6:$E$99,ROW()-6+1-'01_Inputs'!$B$98)),E36-INDEX($E$6:$E$99,ROW()-6+1-'01_Inputs'!$B$98),""),"")</f>
        <v>12</v>
      </c>
      <c r="Y36" s="14">
        <f>IF(ISNUMBER(X36),(X36+1)*24/'01_Inputs'!$B$98,"")</f>
        <v>78</v>
      </c>
      <c r="Z36" s="9">
        <f>IF(ISNUMBER(Y36),IF(Y36&lt;('01_Inputs'!$B$15+'01_Inputs'!$B$16+N('01_Inputs'!$B$22)),"확인 필요: 점유 하한 미만",""),"")</f>
      </c>
    </row>
    <row r="37">
      <c r="A37" s="9" t="n">
        <v>32</v>
      </c>
      <c r="B37" s="9" t="inlineStr">
        <is>
          <t>SKTC_CpZr_Capacity_Reflux_Roadmap_2027_2028.pptx (첨부 원본·수정본)</t>
        </is>
      </c>
      <c r="C37" s="9" t="inlineStr">
        <is>
          <t>P3 달력 ← 원본 3장 노트·분포도</t>
        </is>
      </c>
      <c r="D37" s="3" t="n">
        <v>68</v>
      </c>
      <c r="E37" s="24">
        <f>IF(COUNTIF('P3_과거Batch_2026'!$C$6:$AG$13,D37)=0,"",IF(COUNTIF('P3_과거Batch_2026'!$C$6:$AG$13,D37)&gt;1,"중복 입력",SUMPRODUCT(('P3_과거Batch_2026'!$C$6:$AG$13=D37)*DATE('01_Inputs'!$B$100,ROW('P3_과거Batch_2026'!$C$6:$AG$13)-ROW('P3_과거Batch_2026'!$C$6)+5,COLUMN('P3_과거Batch_2026'!$C$6:$AG$13)-COLUMN('P3_과거Batch_2026'!$C$6)+1))))</f>
        <v>46256.0</v>
      </c>
      <c r="F37" s="5" t="n"/>
      <c r="G37" s="5" t="n"/>
      <c r="H37" s="9" t="inlineStr">
        <is>
          <t>생산계획 (원자료) — 실적 미검증</t>
        </is>
      </c>
      <c r="I37" s="3" t="inlineStr">
        <is>
          <t>주황</t>
        </is>
      </c>
      <c r="J37" s="5" t="n"/>
      <c r="K37" s="3" t="inlineStr">
        <is>
          <t>8/22</t>
        </is>
      </c>
      <c r="L37" s="3" t="n">
        <v>22</v>
      </c>
      <c r="M37" s="23" t="n">
        <v>46256</v>
      </c>
      <c r="N37" s="9" t="str">
        <f>IF(AND(ISNUMBER(E37),E37=M37,DAY(E37)=L37,K37=MONTH(E37)&amp;"/"&amp;DAY(E37)),"일치","차이 확인")</f>
        <v>일치</v>
      </c>
      <c r="O37" s="9">
        <f>IF(ISNUMBER(E37),MONTH(E37),"")</f>
        <v>8</v>
      </c>
      <c r="P37" s="9">
        <f>IF(AND(ISNUMBER(S37),D37&gt;'01_Inputs'!$B$96,D37&lt;='01_Inputs'!$B$97),1,0)</f>
        <v>1</v>
      </c>
      <c r="Q37" s="9">
        <f>IF(AND(ISNUMBER(E37),NOT(ISNUMBER(E36))),"확인","")</f>
      </c>
      <c r="R37" s="9" t="str">
        <f>IF(E37="중복 입력","중복","-")</f>
        <v>-</v>
      </c>
      <c r="S37" s="15">
        <f>IF(AND(ISNUMBER(E37),ISNUMBER(E36)),E37-E36,"")</f>
        <v>3</v>
      </c>
      <c r="T37" s="9">
        <f>IF(ISNUMBER(S37),IF(MONTH(E37)&lt;&gt;MONTH(E36),"월 경계",""),"")</f>
      </c>
      <c r="U37" s="15">
        <f>IF(ISNUMBER(S37),S37*24,"")</f>
        <v>72</v>
      </c>
      <c r="V37" s="15">
        <f>IF(ISNUMBER(S37),MAX(0,(S37-1)*24),"")</f>
        <v>48</v>
      </c>
      <c r="W37" s="15">
        <f>IF(ISNUMBER(S37),(S37+1)*24,"")</f>
        <v>96</v>
      </c>
      <c r="X37" s="15">
        <f>IF(AND(ISNUMBER(E37),ROW()-6&gt;='01_Inputs'!$B$98),IF(ISNUMBER(INDEX($E$6:$E$99,ROW()-6+1-'01_Inputs'!$B$98)),E37-INDEX($E$6:$E$99,ROW()-6+1-'01_Inputs'!$B$98),""),"")</f>
        <v>12</v>
      </c>
      <c r="Y37" s="14">
        <f>IF(ISNUMBER(X37),(X37+1)*24/'01_Inputs'!$B$98,"")</f>
        <v>78</v>
      </c>
      <c r="Z37" s="9">
        <f>IF(ISNUMBER(Y37),IF(Y37&lt;('01_Inputs'!$B$15+'01_Inputs'!$B$16+N('01_Inputs'!$B$22)),"확인 필요: 점유 하한 미만",""),"")</f>
      </c>
    </row>
    <row r="38">
      <c r="A38" s="9" t="n">
        <v>33</v>
      </c>
      <c r="B38" s="9" t="inlineStr">
        <is>
          <t>SKTC_CpZr_Capacity_Reflux_Roadmap_2027_2028.pptx (첨부 원본·수정본)</t>
        </is>
      </c>
      <c r="C38" s="9" t="inlineStr">
        <is>
          <t>P3 달력 ← 원본 3장 노트·분포도</t>
        </is>
      </c>
      <c r="D38" s="3" t="n">
        <v>69</v>
      </c>
      <c r="E38" s="24">
        <f>IF(COUNTIF('P3_과거Batch_2026'!$C$6:$AG$13,D38)=0,"",IF(COUNTIF('P3_과거Batch_2026'!$C$6:$AG$13,D38)&gt;1,"중복 입력",SUMPRODUCT(('P3_과거Batch_2026'!$C$6:$AG$13=D38)*DATE('01_Inputs'!$B$100,ROW('P3_과거Batch_2026'!$C$6:$AG$13)-ROW('P3_과거Batch_2026'!$C$6)+5,COLUMN('P3_과거Batch_2026'!$C$6:$AG$13)-COLUMN('P3_과거Batch_2026'!$C$6)+1))))</f>
        <v>46259.0</v>
      </c>
      <c r="F38" s="5" t="n"/>
      <c r="G38" s="5" t="n"/>
      <c r="H38" s="9" t="inlineStr">
        <is>
          <t>생산계획 (원자료) — 실적 미검증</t>
        </is>
      </c>
      <c r="I38" s="3" t="inlineStr">
        <is>
          <t>주황</t>
        </is>
      </c>
      <c r="J38" s="5" t="n"/>
      <c r="K38" s="3" t="inlineStr">
        <is>
          <t>8/25</t>
        </is>
      </c>
      <c r="L38" s="3" t="n">
        <v>25</v>
      </c>
      <c r="M38" s="23" t="n">
        <v>46259</v>
      </c>
      <c r="N38" s="9" t="str">
        <f>IF(AND(ISNUMBER(E38),E38=M38,DAY(E38)=L38,K38=MONTH(E38)&amp;"/"&amp;DAY(E38)),"일치","차이 확인")</f>
        <v>일치</v>
      </c>
      <c r="O38" s="9">
        <f>IF(ISNUMBER(E38),MONTH(E38),"")</f>
        <v>8</v>
      </c>
      <c r="P38" s="9">
        <f>IF(AND(ISNUMBER(S38),D38&gt;'01_Inputs'!$B$96,D38&lt;='01_Inputs'!$B$97),1,0)</f>
        <v>1</v>
      </c>
      <c r="Q38" s="9">
        <f>IF(AND(ISNUMBER(E38),NOT(ISNUMBER(E37))),"확인","")</f>
      </c>
      <c r="R38" s="9" t="str">
        <f>IF(E38="중복 입력","중복","-")</f>
        <v>-</v>
      </c>
      <c r="S38" s="15">
        <f>IF(AND(ISNUMBER(E38),ISNUMBER(E37)),E38-E37,"")</f>
        <v>3</v>
      </c>
      <c r="T38" s="9">
        <f>IF(ISNUMBER(S38),IF(MONTH(E38)&lt;&gt;MONTH(E37),"월 경계",""),"")</f>
      </c>
      <c r="U38" s="15">
        <f>IF(ISNUMBER(S38),S38*24,"")</f>
        <v>72</v>
      </c>
      <c r="V38" s="15">
        <f>IF(ISNUMBER(S38),MAX(0,(S38-1)*24),"")</f>
        <v>48</v>
      </c>
      <c r="W38" s="15">
        <f>IF(ISNUMBER(S38),(S38+1)*24,"")</f>
        <v>96</v>
      </c>
      <c r="X38" s="15">
        <f>IF(AND(ISNUMBER(E38),ROW()-6&gt;='01_Inputs'!$B$98),IF(ISNUMBER(INDEX($E$6:$E$99,ROW()-6+1-'01_Inputs'!$B$98)),E38-INDEX($E$6:$E$99,ROW()-6+1-'01_Inputs'!$B$98),""),"")</f>
        <v>12</v>
      </c>
      <c r="Y38" s="14">
        <f>IF(ISNUMBER(X38),(X38+1)*24/'01_Inputs'!$B$98,"")</f>
        <v>78</v>
      </c>
      <c r="Z38" s="9">
        <f>IF(ISNUMBER(Y38),IF(Y38&lt;('01_Inputs'!$B$15+'01_Inputs'!$B$16+N('01_Inputs'!$B$22)),"확인 필요: 점유 하한 미만",""),"")</f>
      </c>
    </row>
    <row r="39">
      <c r="A39" s="9" t="n">
        <v>34</v>
      </c>
      <c r="B39" s="9" t="inlineStr">
        <is>
          <t>SKTC_CpZr_Capacity_Reflux_Roadmap_2027_2028.pptx (첨부 원본·수정본)</t>
        </is>
      </c>
      <c r="C39" s="9" t="inlineStr">
        <is>
          <t>P3 달력 ← 원본 3장 노트·분포도</t>
        </is>
      </c>
      <c r="D39" s="3" t="n">
        <v>70</v>
      </c>
      <c r="E39" s="24">
        <f>IF(COUNTIF('P3_과거Batch_2026'!$C$6:$AG$13,D39)=0,"",IF(COUNTIF('P3_과거Batch_2026'!$C$6:$AG$13,D39)&gt;1,"중복 입력",SUMPRODUCT(('P3_과거Batch_2026'!$C$6:$AG$13=D39)*DATE('01_Inputs'!$B$100,ROW('P3_과거Batch_2026'!$C$6:$AG$13)-ROW('P3_과거Batch_2026'!$C$6)+5,COLUMN('P3_과거Batch_2026'!$C$6:$AG$13)-COLUMN('P3_과거Batch_2026'!$C$6)+1))))</f>
        <v>46262.0</v>
      </c>
      <c r="F39" s="5" t="n"/>
      <c r="G39" s="5" t="n"/>
      <c r="H39" s="9" t="inlineStr">
        <is>
          <t>생산계획 (원자료) — 실적 미검증</t>
        </is>
      </c>
      <c r="I39" s="3" t="inlineStr">
        <is>
          <t>주황</t>
        </is>
      </c>
      <c r="J39" s="5" t="n"/>
      <c r="K39" s="3" t="inlineStr">
        <is>
          <t>8/28</t>
        </is>
      </c>
      <c r="L39" s="3" t="n">
        <v>28</v>
      </c>
      <c r="M39" s="23" t="n">
        <v>46262</v>
      </c>
      <c r="N39" s="9" t="str">
        <f>IF(AND(ISNUMBER(E39),E39=M39,DAY(E39)=L39,K39=MONTH(E39)&amp;"/"&amp;DAY(E39)),"일치","차이 확인")</f>
        <v>일치</v>
      </c>
      <c r="O39" s="9">
        <f>IF(ISNUMBER(E39),MONTH(E39),"")</f>
        <v>8</v>
      </c>
      <c r="P39" s="9">
        <f>IF(AND(ISNUMBER(S39),D39&gt;'01_Inputs'!$B$96,D39&lt;='01_Inputs'!$B$97),1,0)</f>
        <v>1</v>
      </c>
      <c r="Q39" s="9">
        <f>IF(AND(ISNUMBER(E39),NOT(ISNUMBER(E38))),"확인","")</f>
      </c>
      <c r="R39" s="9" t="str">
        <f>IF(E39="중복 입력","중복","-")</f>
        <v>-</v>
      </c>
      <c r="S39" s="15">
        <f>IF(AND(ISNUMBER(E39),ISNUMBER(E38)),E39-E38,"")</f>
        <v>3</v>
      </c>
      <c r="T39" s="9">
        <f>IF(ISNUMBER(S39),IF(MONTH(E39)&lt;&gt;MONTH(E38),"월 경계",""),"")</f>
      </c>
      <c r="U39" s="15">
        <f>IF(ISNUMBER(S39),S39*24,"")</f>
        <v>72</v>
      </c>
      <c r="V39" s="15">
        <f>IF(ISNUMBER(S39),MAX(0,(S39-1)*24),"")</f>
        <v>48</v>
      </c>
      <c r="W39" s="15">
        <f>IF(ISNUMBER(S39),(S39+1)*24,"")</f>
        <v>96</v>
      </c>
      <c r="X39" s="15">
        <f>IF(AND(ISNUMBER(E39),ROW()-6&gt;='01_Inputs'!$B$98),IF(ISNUMBER(INDEX($E$6:$E$99,ROW()-6+1-'01_Inputs'!$B$98)),E39-INDEX($E$6:$E$99,ROW()-6+1-'01_Inputs'!$B$98),""),"")</f>
        <v>12</v>
      </c>
      <c r="Y39" s="14">
        <f>IF(ISNUMBER(X39),(X39+1)*24/'01_Inputs'!$B$98,"")</f>
        <v>78</v>
      </c>
      <c r="Z39" s="9">
        <f>IF(ISNUMBER(Y39),IF(Y39&lt;('01_Inputs'!$B$15+'01_Inputs'!$B$16+N('01_Inputs'!$B$22)),"확인 필요: 점유 하한 미만",""),"")</f>
      </c>
    </row>
    <row r="40">
      <c r="A40" s="9" t="n">
        <v>35</v>
      </c>
      <c r="B40" s="9" t="inlineStr">
        <is>
          <t>SKTC_CpZr_Capacity_Reflux_Roadmap_2027_2028.pptx (첨부 원본·수정본)</t>
        </is>
      </c>
      <c r="C40" s="9" t="inlineStr">
        <is>
          <t>P3 달력 ← 원본 3장 노트·분포도</t>
        </is>
      </c>
      <c r="D40" s="3" t="n">
        <v>71</v>
      </c>
      <c r="E40" s="24">
        <f>IF(COUNTIF('P3_과거Batch_2026'!$C$6:$AG$13,D40)=0,"",IF(COUNTIF('P3_과거Batch_2026'!$C$6:$AG$13,D40)&gt;1,"중복 입력",SUMPRODUCT(('P3_과거Batch_2026'!$C$6:$AG$13=D40)*DATE('01_Inputs'!$B$100,ROW('P3_과거Batch_2026'!$C$6:$AG$13)-ROW('P3_과거Batch_2026'!$C$6)+5,COLUMN('P3_과거Batch_2026'!$C$6:$AG$13)-COLUMN('P3_과거Batch_2026'!$C$6)+1))))</f>
        <v>46265.0</v>
      </c>
      <c r="F40" s="5" t="n"/>
      <c r="G40" s="5" t="n"/>
      <c r="H40" s="9" t="inlineStr">
        <is>
          <t>생산계획 (원자료) — 실적 미검증</t>
        </is>
      </c>
      <c r="I40" s="3" t="inlineStr">
        <is>
          <t>주황</t>
        </is>
      </c>
      <c r="J40" s="5" t="n"/>
      <c r="K40" s="3" t="inlineStr">
        <is>
          <t>8/31</t>
        </is>
      </c>
      <c r="L40" s="3" t="n">
        <v>31</v>
      </c>
      <c r="M40" s="23" t="n">
        <v>46265</v>
      </c>
      <c r="N40" s="9" t="str">
        <f>IF(AND(ISNUMBER(E40),E40=M40,DAY(E40)=L40,K40=MONTH(E40)&amp;"/"&amp;DAY(E40)),"일치","차이 확인")</f>
        <v>일치</v>
      </c>
      <c r="O40" s="9">
        <f>IF(ISNUMBER(E40),MONTH(E40),"")</f>
        <v>8</v>
      </c>
      <c r="P40" s="9">
        <f>IF(AND(ISNUMBER(S40),D40&gt;'01_Inputs'!$B$96,D40&lt;='01_Inputs'!$B$97),1,0)</f>
        <v>1</v>
      </c>
      <c r="Q40" s="9">
        <f>IF(AND(ISNUMBER(E40),NOT(ISNUMBER(E39))),"확인","")</f>
      </c>
      <c r="R40" s="9" t="str">
        <f>IF(E40="중복 입력","중복","-")</f>
        <v>-</v>
      </c>
      <c r="S40" s="15">
        <f>IF(AND(ISNUMBER(E40),ISNUMBER(E39)),E40-E39,"")</f>
        <v>3</v>
      </c>
      <c r="T40" s="9">
        <f>IF(ISNUMBER(S40),IF(MONTH(E40)&lt;&gt;MONTH(E39),"월 경계",""),"")</f>
      </c>
      <c r="U40" s="15">
        <f>IF(ISNUMBER(S40),S40*24,"")</f>
        <v>72</v>
      </c>
      <c r="V40" s="15">
        <f>IF(ISNUMBER(S40),MAX(0,(S40-1)*24),"")</f>
        <v>48</v>
      </c>
      <c r="W40" s="15">
        <f>IF(ISNUMBER(S40),(S40+1)*24,"")</f>
        <v>96</v>
      </c>
      <c r="X40" s="15">
        <f>IF(AND(ISNUMBER(E40),ROW()-6&gt;='01_Inputs'!$B$98),IF(ISNUMBER(INDEX($E$6:$E$99,ROW()-6+1-'01_Inputs'!$B$98)),E40-INDEX($E$6:$E$99,ROW()-6+1-'01_Inputs'!$B$98),""),"")</f>
        <v>12</v>
      </c>
      <c r="Y40" s="14">
        <f>IF(ISNUMBER(X40),(X40+1)*24/'01_Inputs'!$B$98,"")</f>
        <v>78</v>
      </c>
      <c r="Z40" s="9">
        <f>IF(ISNUMBER(Y40),IF(Y40&lt;('01_Inputs'!$B$15+'01_Inputs'!$B$16+N('01_Inputs'!$B$22)),"확인 필요: 점유 하한 미만",""),"")</f>
      </c>
    </row>
    <row r="41">
      <c r="A41" s="9" t="n">
        <v>36</v>
      </c>
      <c r="B41" s="9" t="inlineStr">
        <is>
          <t>SKTC_CpZr_Capacity_Reflux_Roadmap_2027_2028.pptx (첨부 원본·수정본)</t>
        </is>
      </c>
      <c r="C41" s="9" t="inlineStr">
        <is>
          <t>P3 달력 ← 원본 3장 노트·분포도</t>
        </is>
      </c>
      <c r="D41" s="3" t="n">
        <v>72</v>
      </c>
      <c r="E41" s="24">
        <f>IF(COUNTIF('P3_과거Batch_2026'!$C$6:$AG$13,D41)=0,"",IF(COUNTIF('P3_과거Batch_2026'!$C$6:$AG$13,D41)&gt;1,"중복 입력",SUMPRODUCT(('P3_과거Batch_2026'!$C$6:$AG$13=D41)*DATE('01_Inputs'!$B$100,ROW('P3_과거Batch_2026'!$C$6:$AG$13)-ROW('P3_과거Batch_2026'!$C$6)+5,COLUMN('P3_과거Batch_2026'!$C$6:$AG$13)-COLUMN('P3_과거Batch_2026'!$C$6)+1))))</f>
        <v>46268.0</v>
      </c>
      <c r="F41" s="5" t="n"/>
      <c r="G41" s="5" t="n"/>
      <c r="H41" s="9" t="inlineStr">
        <is>
          <t>생산계획 (원자료) — 실적 미검증</t>
        </is>
      </c>
      <c r="I41" s="3" t="inlineStr">
        <is>
          <t>주황</t>
        </is>
      </c>
      <c r="J41" s="5" t="n"/>
      <c r="K41" s="3" t="inlineStr">
        <is>
          <t>9/3</t>
        </is>
      </c>
      <c r="L41" s="3" t="n">
        <v>3</v>
      </c>
      <c r="M41" s="23" t="n">
        <v>46268</v>
      </c>
      <c r="N41" s="9" t="str">
        <f>IF(AND(ISNUMBER(E41),E41=M41,DAY(E41)=L41,K41=MONTH(E41)&amp;"/"&amp;DAY(E41)),"일치","차이 확인")</f>
        <v>일치</v>
      </c>
      <c r="O41" s="9">
        <f>IF(ISNUMBER(E41),MONTH(E41),"")</f>
        <v>9</v>
      </c>
      <c r="P41" s="9">
        <f>IF(AND(ISNUMBER(S41),D41&gt;'01_Inputs'!$B$96,D41&lt;='01_Inputs'!$B$97),1,0)</f>
        <v>1</v>
      </c>
      <c r="Q41" s="9">
        <f>IF(AND(ISNUMBER(E41),NOT(ISNUMBER(E40))),"확인","")</f>
      </c>
      <c r="R41" s="9" t="str">
        <f>IF(E41="중복 입력","중복","-")</f>
        <v>-</v>
      </c>
      <c r="S41" s="15">
        <f>IF(AND(ISNUMBER(E41),ISNUMBER(E40)),E41-E40,"")</f>
        <v>3</v>
      </c>
      <c r="T41" s="9" t="str">
        <f>IF(ISNUMBER(S41),IF(MONTH(E41)&lt;&gt;MONTH(E40),"월 경계",""),"")</f>
        <v>월 경계</v>
      </c>
      <c r="U41" s="15">
        <f>IF(ISNUMBER(S41),S41*24,"")</f>
        <v>72</v>
      </c>
      <c r="V41" s="15">
        <f>IF(ISNUMBER(S41),MAX(0,(S41-1)*24),"")</f>
        <v>48</v>
      </c>
      <c r="W41" s="15">
        <f>IF(ISNUMBER(S41),(S41+1)*24,"")</f>
        <v>96</v>
      </c>
      <c r="X41" s="15">
        <f>IF(AND(ISNUMBER(E41),ROW()-6&gt;='01_Inputs'!$B$98),IF(ISNUMBER(INDEX($E$6:$E$99,ROW()-6+1-'01_Inputs'!$B$98)),E41-INDEX($E$6:$E$99,ROW()-6+1-'01_Inputs'!$B$98),""),"")</f>
        <v>12</v>
      </c>
      <c r="Y41" s="14">
        <f>IF(ISNUMBER(X41),(X41+1)*24/'01_Inputs'!$B$98,"")</f>
        <v>78</v>
      </c>
      <c r="Z41" s="9">
        <f>IF(ISNUMBER(Y41),IF(Y41&lt;('01_Inputs'!$B$15+'01_Inputs'!$B$16+N('01_Inputs'!$B$22)),"확인 필요: 점유 하한 미만",""),"")</f>
      </c>
    </row>
    <row r="42">
      <c r="A42" s="9" t="n">
        <v>37</v>
      </c>
      <c r="B42" s="9" t="inlineStr">
        <is>
          <t>SKTC_CpZr_Capacity_Reflux_Roadmap_2027_2028.pptx (첨부 원본·수정본)</t>
        </is>
      </c>
      <c r="C42" s="9" t="inlineStr">
        <is>
          <t>P3 달력 ← 원본 3장 노트·분포도</t>
        </is>
      </c>
      <c r="D42" s="3" t="n">
        <v>73</v>
      </c>
      <c r="E42" s="24">
        <f>IF(COUNTIF('P3_과거Batch_2026'!$C$6:$AG$13,D42)=0,"",IF(COUNTIF('P3_과거Batch_2026'!$C$6:$AG$13,D42)&gt;1,"중복 입력",SUMPRODUCT(('P3_과거Batch_2026'!$C$6:$AG$13=D42)*DATE('01_Inputs'!$B$100,ROW('P3_과거Batch_2026'!$C$6:$AG$13)-ROW('P3_과거Batch_2026'!$C$6)+5,COLUMN('P3_과거Batch_2026'!$C$6:$AG$13)-COLUMN('P3_과거Batch_2026'!$C$6)+1))))</f>
        <v>46270.0</v>
      </c>
      <c r="F42" s="5" t="n"/>
      <c r="G42" s="5" t="n"/>
      <c r="H42" s="9" t="inlineStr">
        <is>
          <t>생산계획 (원자료) — 실적 미검증</t>
        </is>
      </c>
      <c r="I42" s="3" t="inlineStr">
        <is>
          <t>주황</t>
        </is>
      </c>
      <c r="J42" s="5" t="n"/>
      <c r="K42" s="3" t="inlineStr">
        <is>
          <t>9/5</t>
        </is>
      </c>
      <c r="L42" s="3" t="n">
        <v>5</v>
      </c>
      <c r="M42" s="23" t="n">
        <v>46270</v>
      </c>
      <c r="N42" s="9" t="str">
        <f>IF(AND(ISNUMBER(E42),E42=M42,DAY(E42)=L42,K42=MONTH(E42)&amp;"/"&amp;DAY(E42)),"일치","차이 확인")</f>
        <v>일치</v>
      </c>
      <c r="O42" s="9">
        <f>IF(ISNUMBER(E42),MONTH(E42),"")</f>
        <v>9</v>
      </c>
      <c r="P42" s="9">
        <f>IF(AND(ISNUMBER(S42),D42&gt;'01_Inputs'!$B$96,D42&lt;='01_Inputs'!$B$97),1,0)</f>
        <v>1</v>
      </c>
      <c r="Q42" s="9">
        <f>IF(AND(ISNUMBER(E42),NOT(ISNUMBER(E41))),"확인","")</f>
      </c>
      <c r="R42" s="9" t="str">
        <f>IF(E42="중복 입력","중복","-")</f>
        <v>-</v>
      </c>
      <c r="S42" s="15">
        <f>IF(AND(ISNUMBER(E42),ISNUMBER(E41)),E42-E41,"")</f>
        <v>2</v>
      </c>
      <c r="T42" s="9">
        <f>IF(ISNUMBER(S42),IF(MONTH(E42)&lt;&gt;MONTH(E41),"월 경계",""),"")</f>
      </c>
      <c r="U42" s="15">
        <f>IF(ISNUMBER(S42),S42*24,"")</f>
        <v>48</v>
      </c>
      <c r="V42" s="15">
        <f>IF(ISNUMBER(S42),MAX(0,(S42-1)*24),"")</f>
        <v>24</v>
      </c>
      <c r="W42" s="15">
        <f>IF(ISNUMBER(S42),(S42+1)*24,"")</f>
        <v>72</v>
      </c>
      <c r="X42" s="15">
        <f>IF(AND(ISNUMBER(E42),ROW()-6&gt;='01_Inputs'!$B$98),IF(ISNUMBER(INDEX($E$6:$E$99,ROW()-6+1-'01_Inputs'!$B$98)),E42-INDEX($E$6:$E$99,ROW()-6+1-'01_Inputs'!$B$98),""),"")</f>
        <v>11</v>
      </c>
      <c r="Y42" s="14">
        <f>IF(ISNUMBER(X42),(X42+1)*24/'01_Inputs'!$B$98,"")</f>
        <v>72</v>
      </c>
      <c r="Z42" s="9">
        <f>IF(ISNUMBER(Y42),IF(Y42&lt;('01_Inputs'!$B$15+'01_Inputs'!$B$16+N('01_Inputs'!$B$22)),"확인 필요: 점유 하한 미만",""),"")</f>
      </c>
    </row>
    <row r="43">
      <c r="A43" s="9" t="n">
        <v>38</v>
      </c>
      <c r="B43" s="9" t="inlineStr">
        <is>
          <t>SKTC_CpZr_Capacity_Reflux_Roadmap_2027_2028.pptx (첨부 원본·수정본)</t>
        </is>
      </c>
      <c r="C43" s="9" t="inlineStr">
        <is>
          <t>P3 달력 ← 원본 3장 노트·분포도</t>
        </is>
      </c>
      <c r="D43" s="3" t="n">
        <v>74</v>
      </c>
      <c r="E43" s="24">
        <f>IF(COUNTIF('P3_과거Batch_2026'!$C$6:$AG$13,D43)=0,"",IF(COUNTIF('P3_과거Batch_2026'!$C$6:$AG$13,D43)&gt;1,"중복 입력",SUMPRODUCT(('P3_과거Batch_2026'!$C$6:$AG$13=D43)*DATE('01_Inputs'!$B$100,ROW('P3_과거Batch_2026'!$C$6:$AG$13)-ROW('P3_과거Batch_2026'!$C$6)+5,COLUMN('P3_과거Batch_2026'!$C$6:$AG$13)-COLUMN('P3_과거Batch_2026'!$C$6)+1))))</f>
        <v>46272.0</v>
      </c>
      <c r="F43" s="5" t="n"/>
      <c r="G43" s="5" t="n"/>
      <c r="H43" s="9" t="inlineStr">
        <is>
          <t>생산계획 (원자료) — 실적 미검증</t>
        </is>
      </c>
      <c r="I43" s="3" t="inlineStr">
        <is>
          <t>주황</t>
        </is>
      </c>
      <c r="J43" s="5" t="n"/>
      <c r="K43" s="3" t="inlineStr">
        <is>
          <t>9/7</t>
        </is>
      </c>
      <c r="L43" s="3" t="n">
        <v>7</v>
      </c>
      <c r="M43" s="23" t="n">
        <v>46272</v>
      </c>
      <c r="N43" s="9" t="str">
        <f>IF(AND(ISNUMBER(E43),E43=M43,DAY(E43)=L43,K43=MONTH(E43)&amp;"/"&amp;DAY(E43)),"일치","차이 확인")</f>
        <v>일치</v>
      </c>
      <c r="O43" s="9">
        <f>IF(ISNUMBER(E43),MONTH(E43),"")</f>
        <v>9</v>
      </c>
      <c r="P43" s="9">
        <f>IF(AND(ISNUMBER(S43),D43&gt;'01_Inputs'!$B$96,D43&lt;='01_Inputs'!$B$97),1,0)</f>
        <v>1</v>
      </c>
      <c r="Q43" s="9">
        <f>IF(AND(ISNUMBER(E43),NOT(ISNUMBER(E42))),"확인","")</f>
      </c>
      <c r="R43" s="9" t="str">
        <f>IF(E43="중복 입력","중복","-")</f>
        <v>-</v>
      </c>
      <c r="S43" s="15">
        <f>IF(AND(ISNUMBER(E43),ISNUMBER(E42)),E43-E42,"")</f>
        <v>2</v>
      </c>
      <c r="T43" s="9">
        <f>IF(ISNUMBER(S43),IF(MONTH(E43)&lt;&gt;MONTH(E42),"월 경계",""),"")</f>
      </c>
      <c r="U43" s="15">
        <f>IF(ISNUMBER(S43),S43*24,"")</f>
        <v>48</v>
      </c>
      <c r="V43" s="15">
        <f>IF(ISNUMBER(S43),MAX(0,(S43-1)*24),"")</f>
        <v>24</v>
      </c>
      <c r="W43" s="15">
        <f>IF(ISNUMBER(S43),(S43+1)*24,"")</f>
        <v>72</v>
      </c>
      <c r="X43" s="15">
        <f>IF(AND(ISNUMBER(E43),ROW()-6&gt;='01_Inputs'!$B$98),IF(ISNUMBER(INDEX($E$6:$E$99,ROW()-6+1-'01_Inputs'!$B$98)),E43-INDEX($E$6:$E$99,ROW()-6+1-'01_Inputs'!$B$98),""),"")</f>
        <v>10</v>
      </c>
      <c r="Y43" s="14">
        <f>IF(ISNUMBER(X43),(X43+1)*24/'01_Inputs'!$B$98,"")</f>
        <v>66</v>
      </c>
      <c r="Z43" s="9">
        <f>IF(ISNUMBER(Y43),IF(Y43&lt;('01_Inputs'!$B$15+'01_Inputs'!$B$16+N('01_Inputs'!$B$22)),"확인 필요: 점유 하한 미만",""),"")</f>
      </c>
    </row>
    <row r="44">
      <c r="A44" s="9" t="n">
        <v>39</v>
      </c>
      <c r="B44" s="9" t="inlineStr">
        <is>
          <t>SKTC_CpZr_Capacity_Reflux_Roadmap_2027_2028.pptx (첨부 원본·수정본)</t>
        </is>
      </c>
      <c r="C44" s="9" t="inlineStr">
        <is>
          <t>P3 달력 ← 원본 3장 노트·분포도</t>
        </is>
      </c>
      <c r="D44" s="3" t="n">
        <v>75</v>
      </c>
      <c r="E44" s="24">
        <f>IF(COUNTIF('P3_과거Batch_2026'!$C$6:$AG$13,D44)=0,"",IF(COUNTIF('P3_과거Batch_2026'!$C$6:$AG$13,D44)&gt;1,"중복 입력",SUMPRODUCT(('P3_과거Batch_2026'!$C$6:$AG$13=D44)*DATE('01_Inputs'!$B$100,ROW('P3_과거Batch_2026'!$C$6:$AG$13)-ROW('P3_과거Batch_2026'!$C$6)+5,COLUMN('P3_과거Batch_2026'!$C$6:$AG$13)-COLUMN('P3_과거Batch_2026'!$C$6)+1))))</f>
        <v>46274.0</v>
      </c>
      <c r="F44" s="5" t="n"/>
      <c r="G44" s="5" t="n"/>
      <c r="H44" s="9" t="inlineStr">
        <is>
          <t>생산계획 (원자료) — 실적 미검증</t>
        </is>
      </c>
      <c r="I44" s="3" t="inlineStr">
        <is>
          <t>주황</t>
        </is>
      </c>
      <c r="J44" s="5" t="n"/>
      <c r="K44" s="3" t="inlineStr">
        <is>
          <t>9/9</t>
        </is>
      </c>
      <c r="L44" s="3" t="n">
        <v>9</v>
      </c>
      <c r="M44" s="23" t="n">
        <v>46274</v>
      </c>
      <c r="N44" s="9" t="str">
        <f>IF(AND(ISNUMBER(E44),E44=M44,DAY(E44)=L44,K44=MONTH(E44)&amp;"/"&amp;DAY(E44)),"일치","차이 확인")</f>
        <v>일치</v>
      </c>
      <c r="O44" s="9">
        <f>IF(ISNUMBER(E44),MONTH(E44),"")</f>
        <v>9</v>
      </c>
      <c r="P44" s="9">
        <f>IF(AND(ISNUMBER(S44),D44&gt;'01_Inputs'!$B$96,D44&lt;='01_Inputs'!$B$97),1,0)</f>
        <v>1</v>
      </c>
      <c r="Q44" s="9">
        <f>IF(AND(ISNUMBER(E44),NOT(ISNUMBER(E43))),"확인","")</f>
      </c>
      <c r="R44" s="9" t="str">
        <f>IF(E44="중복 입력","중복","-")</f>
        <v>-</v>
      </c>
      <c r="S44" s="15">
        <f>IF(AND(ISNUMBER(E44),ISNUMBER(E43)),E44-E43,"")</f>
        <v>2</v>
      </c>
      <c r="T44" s="9">
        <f>IF(ISNUMBER(S44),IF(MONTH(E44)&lt;&gt;MONTH(E43),"월 경계",""),"")</f>
      </c>
      <c r="U44" s="15">
        <f>IF(ISNUMBER(S44),S44*24,"")</f>
        <v>48</v>
      </c>
      <c r="V44" s="15">
        <f>IF(ISNUMBER(S44),MAX(0,(S44-1)*24),"")</f>
        <v>24</v>
      </c>
      <c r="W44" s="15">
        <f>IF(ISNUMBER(S44),(S44+1)*24,"")</f>
        <v>72</v>
      </c>
      <c r="X44" s="15">
        <f>IF(AND(ISNUMBER(E44),ROW()-6&gt;='01_Inputs'!$B$98),IF(ISNUMBER(INDEX($E$6:$E$99,ROW()-6+1-'01_Inputs'!$B$98)),E44-INDEX($E$6:$E$99,ROW()-6+1-'01_Inputs'!$B$98),""),"")</f>
        <v>9</v>
      </c>
      <c r="Y44" s="14">
        <f>IF(ISNUMBER(X44),(X44+1)*24/'01_Inputs'!$B$98,"")</f>
        <v>60</v>
      </c>
      <c r="Z44" s="9">
        <f>IF(ISNUMBER(Y44),IF(Y44&lt;('01_Inputs'!$B$15+'01_Inputs'!$B$16+N('01_Inputs'!$B$22)),"확인 필요: 점유 하한 미만",""),"")</f>
      </c>
    </row>
    <row r="45">
      <c r="A45" s="9" t="n">
        <v>40</v>
      </c>
      <c r="B45" s="9" t="inlineStr">
        <is>
          <t>SKTC_CpZr_Capacity_Reflux_Roadmap_2027_2028.pptx (첨부 원본·수정본)</t>
        </is>
      </c>
      <c r="C45" s="9" t="inlineStr">
        <is>
          <t>P3 달력 ← 원본 3장 노트·분포도</t>
        </is>
      </c>
      <c r="D45" s="3" t="n">
        <v>76</v>
      </c>
      <c r="E45" s="24">
        <f>IF(COUNTIF('P3_과거Batch_2026'!$C$6:$AG$13,D45)=0,"",IF(COUNTIF('P3_과거Batch_2026'!$C$6:$AG$13,D45)&gt;1,"중복 입력",SUMPRODUCT(('P3_과거Batch_2026'!$C$6:$AG$13=D45)*DATE('01_Inputs'!$B$100,ROW('P3_과거Batch_2026'!$C$6:$AG$13)-ROW('P3_과거Batch_2026'!$C$6)+5,COLUMN('P3_과거Batch_2026'!$C$6:$AG$13)-COLUMN('P3_과거Batch_2026'!$C$6)+1))))</f>
        <v>46276.0</v>
      </c>
      <c r="F45" s="5" t="n"/>
      <c r="G45" s="5" t="n"/>
      <c r="H45" s="9" t="inlineStr">
        <is>
          <t>생산계획 (원자료) — 실적 미검증</t>
        </is>
      </c>
      <c r="I45" s="3" t="inlineStr">
        <is>
          <t>주황</t>
        </is>
      </c>
      <c r="J45" s="5" t="n"/>
      <c r="K45" s="3" t="inlineStr">
        <is>
          <t>9/11</t>
        </is>
      </c>
      <c r="L45" s="3" t="n">
        <v>11</v>
      </c>
      <c r="M45" s="23" t="n">
        <v>46276</v>
      </c>
      <c r="N45" s="9" t="str">
        <f>IF(AND(ISNUMBER(E45),E45=M45,DAY(E45)=L45,K45=MONTH(E45)&amp;"/"&amp;DAY(E45)),"일치","차이 확인")</f>
        <v>일치</v>
      </c>
      <c r="O45" s="9">
        <f>IF(ISNUMBER(E45),MONTH(E45),"")</f>
        <v>9</v>
      </c>
      <c r="P45" s="9">
        <f>IF(AND(ISNUMBER(S45),D45&gt;'01_Inputs'!$B$96,D45&lt;='01_Inputs'!$B$97),1,0)</f>
        <v>1</v>
      </c>
      <c r="Q45" s="9">
        <f>IF(AND(ISNUMBER(E45),NOT(ISNUMBER(E44))),"확인","")</f>
      </c>
      <c r="R45" s="9" t="str">
        <f>IF(E45="중복 입력","중복","-")</f>
        <v>-</v>
      </c>
      <c r="S45" s="15">
        <f>IF(AND(ISNUMBER(E45),ISNUMBER(E44)),E45-E44,"")</f>
        <v>2</v>
      </c>
      <c r="T45" s="9">
        <f>IF(ISNUMBER(S45),IF(MONTH(E45)&lt;&gt;MONTH(E44),"월 경계",""),"")</f>
      </c>
      <c r="U45" s="15">
        <f>IF(ISNUMBER(S45),S45*24,"")</f>
        <v>48</v>
      </c>
      <c r="V45" s="15">
        <f>IF(ISNUMBER(S45),MAX(0,(S45-1)*24),"")</f>
        <v>24</v>
      </c>
      <c r="W45" s="15">
        <f>IF(ISNUMBER(S45),(S45+1)*24,"")</f>
        <v>72</v>
      </c>
      <c r="X45" s="15">
        <f>IF(AND(ISNUMBER(E45),ROW()-6&gt;='01_Inputs'!$B$98),IF(ISNUMBER(INDEX($E$6:$E$99,ROW()-6+1-'01_Inputs'!$B$98)),E45-INDEX($E$6:$E$99,ROW()-6+1-'01_Inputs'!$B$98),""),"")</f>
        <v>8</v>
      </c>
      <c r="Y45" s="14">
        <f>IF(ISNUMBER(X45),(X45+1)*24/'01_Inputs'!$B$98,"")</f>
        <v>54</v>
      </c>
      <c r="Z45" s="9">
        <f>IF(ISNUMBER(Y45),IF(Y45&lt;('01_Inputs'!$B$15+'01_Inputs'!$B$16+N('01_Inputs'!$B$22)),"확인 필요: 점유 하한 미만",""),"")</f>
      </c>
    </row>
    <row r="46">
      <c r="A46" s="9" t="n">
        <v>41</v>
      </c>
      <c r="B46" s="9" t="inlineStr">
        <is>
          <t>SKTC_CpZr_Capacity_Reflux_Roadmap_2027_2028.pptx (첨부 원본·수정본)</t>
        </is>
      </c>
      <c r="C46" s="9" t="inlineStr">
        <is>
          <t>P3 달력 ← 원본 3장 노트·분포도</t>
        </is>
      </c>
      <c r="D46" s="3" t="n">
        <v>77</v>
      </c>
      <c r="E46" s="24">
        <f>IF(COUNTIF('P3_과거Batch_2026'!$C$6:$AG$13,D46)=0,"",IF(COUNTIF('P3_과거Batch_2026'!$C$6:$AG$13,D46)&gt;1,"중복 입력",SUMPRODUCT(('P3_과거Batch_2026'!$C$6:$AG$13=D46)*DATE('01_Inputs'!$B$100,ROW('P3_과거Batch_2026'!$C$6:$AG$13)-ROW('P3_과거Batch_2026'!$C$6)+5,COLUMN('P3_과거Batch_2026'!$C$6:$AG$13)-COLUMN('P3_과거Batch_2026'!$C$6)+1))))</f>
        <v>46279.0</v>
      </c>
      <c r="F46" s="5" t="n"/>
      <c r="G46" s="5" t="n"/>
      <c r="H46" s="9" t="inlineStr">
        <is>
          <t>생산계획 (원자료) — 실적 미검증</t>
        </is>
      </c>
      <c r="I46" s="3" t="inlineStr">
        <is>
          <t>주황</t>
        </is>
      </c>
      <c r="J46" s="5" t="n"/>
      <c r="K46" s="3" t="inlineStr">
        <is>
          <t>9/14</t>
        </is>
      </c>
      <c r="L46" s="3" t="n">
        <v>14</v>
      </c>
      <c r="M46" s="23" t="n">
        <v>46279</v>
      </c>
      <c r="N46" s="9" t="str">
        <f>IF(AND(ISNUMBER(E46),E46=M46,DAY(E46)=L46,K46=MONTH(E46)&amp;"/"&amp;DAY(E46)),"일치","차이 확인")</f>
        <v>일치</v>
      </c>
      <c r="O46" s="9">
        <f>IF(ISNUMBER(E46),MONTH(E46),"")</f>
        <v>9</v>
      </c>
      <c r="P46" s="9">
        <f>IF(AND(ISNUMBER(S46),D46&gt;'01_Inputs'!$B$96,D46&lt;='01_Inputs'!$B$97),1,0)</f>
        <v>1</v>
      </c>
      <c r="Q46" s="9">
        <f>IF(AND(ISNUMBER(E46),NOT(ISNUMBER(E45))),"확인","")</f>
      </c>
      <c r="R46" s="9" t="str">
        <f>IF(E46="중복 입력","중복","-")</f>
        <v>-</v>
      </c>
      <c r="S46" s="15">
        <f>IF(AND(ISNUMBER(E46),ISNUMBER(E45)),E46-E45,"")</f>
        <v>3</v>
      </c>
      <c r="T46" s="9">
        <f>IF(ISNUMBER(S46),IF(MONTH(E46)&lt;&gt;MONTH(E45),"월 경계",""),"")</f>
      </c>
      <c r="U46" s="15">
        <f>IF(ISNUMBER(S46),S46*24,"")</f>
        <v>72</v>
      </c>
      <c r="V46" s="15">
        <f>IF(ISNUMBER(S46),MAX(0,(S46-1)*24),"")</f>
        <v>48</v>
      </c>
      <c r="W46" s="15">
        <f>IF(ISNUMBER(S46),(S46+1)*24,"")</f>
        <v>96</v>
      </c>
      <c r="X46" s="15">
        <f>IF(AND(ISNUMBER(E46),ROW()-6&gt;='01_Inputs'!$B$98),IF(ISNUMBER(INDEX($E$6:$E$99,ROW()-6+1-'01_Inputs'!$B$98)),E46-INDEX($E$6:$E$99,ROW()-6+1-'01_Inputs'!$B$98),""),"")</f>
        <v>9</v>
      </c>
      <c r="Y46" s="14">
        <f>IF(ISNUMBER(X46),(X46+1)*24/'01_Inputs'!$B$98,"")</f>
        <v>60</v>
      </c>
      <c r="Z46" s="9">
        <f>IF(ISNUMBER(Y46),IF(Y46&lt;('01_Inputs'!$B$15+'01_Inputs'!$B$16+N('01_Inputs'!$B$22)),"확인 필요: 점유 하한 미만",""),"")</f>
      </c>
    </row>
    <row r="47">
      <c r="A47" s="9" t="n">
        <v>42</v>
      </c>
      <c r="B47" s="9" t="inlineStr">
        <is>
          <t>SKTC_CpZr_Capacity_Reflux_Roadmap_2027_2028.pptx (첨부 원본·수정본)</t>
        </is>
      </c>
      <c r="C47" s="9" t="inlineStr">
        <is>
          <t>P3 달력 ← 원본 3장 노트·분포도</t>
        </is>
      </c>
      <c r="D47" s="3" t="n">
        <v>78</v>
      </c>
      <c r="E47" s="24">
        <f>IF(COUNTIF('P3_과거Batch_2026'!$C$6:$AG$13,D47)=0,"",IF(COUNTIF('P3_과거Batch_2026'!$C$6:$AG$13,D47)&gt;1,"중복 입력",SUMPRODUCT(('P3_과거Batch_2026'!$C$6:$AG$13=D47)*DATE('01_Inputs'!$B$100,ROW('P3_과거Batch_2026'!$C$6:$AG$13)-ROW('P3_과거Batch_2026'!$C$6)+5,COLUMN('P3_과거Batch_2026'!$C$6:$AG$13)-COLUMN('P3_과거Batch_2026'!$C$6)+1))))</f>
        <v>46284.0</v>
      </c>
      <c r="F47" s="5" t="n"/>
      <c r="G47" s="5" t="n"/>
      <c r="H47" s="9" t="inlineStr">
        <is>
          <t>생산계획 (원자료) — 실적 미검증</t>
        </is>
      </c>
      <c r="I47" s="3" t="inlineStr">
        <is>
          <t>주황</t>
        </is>
      </c>
      <c r="J47" s="5" t="n"/>
      <c r="K47" s="3" t="inlineStr">
        <is>
          <t>9/19</t>
        </is>
      </c>
      <c r="L47" s="3" t="n">
        <v>19</v>
      </c>
      <c r="M47" s="23" t="n">
        <v>46284</v>
      </c>
      <c r="N47" s="9" t="str">
        <f>IF(AND(ISNUMBER(E47),E47=M47,DAY(E47)=L47,K47=MONTH(E47)&amp;"/"&amp;DAY(E47)),"일치","차이 확인")</f>
        <v>일치</v>
      </c>
      <c r="O47" s="9">
        <f>IF(ISNUMBER(E47),MONTH(E47),"")</f>
        <v>9</v>
      </c>
      <c r="P47" s="9">
        <f>IF(AND(ISNUMBER(S47),D47&gt;'01_Inputs'!$B$96,D47&lt;='01_Inputs'!$B$97),1,0)</f>
        <v>1</v>
      </c>
      <c r="Q47" s="9">
        <f>IF(AND(ISNUMBER(E47),NOT(ISNUMBER(E46))),"확인","")</f>
      </c>
      <c r="R47" s="9" t="str">
        <f>IF(E47="중복 입력","중복","-")</f>
        <v>-</v>
      </c>
      <c r="S47" s="15">
        <f>IF(AND(ISNUMBER(E47),ISNUMBER(E46)),E47-E46,"")</f>
        <v>5</v>
      </c>
      <c r="T47" s="9">
        <f>IF(ISNUMBER(S47),IF(MONTH(E47)&lt;&gt;MONTH(E46),"월 경계",""),"")</f>
      </c>
      <c r="U47" s="15">
        <f>IF(ISNUMBER(S47),S47*24,"")</f>
        <v>120</v>
      </c>
      <c r="V47" s="15">
        <f>IF(ISNUMBER(S47),MAX(0,(S47-1)*24),"")</f>
        <v>96</v>
      </c>
      <c r="W47" s="15">
        <f>IF(ISNUMBER(S47),(S47+1)*24,"")</f>
        <v>144</v>
      </c>
      <c r="X47" s="15">
        <f>IF(AND(ISNUMBER(E47),ROW()-6&gt;='01_Inputs'!$B$98),IF(ISNUMBER(INDEX($E$6:$E$99,ROW()-6+1-'01_Inputs'!$B$98)),E47-INDEX($E$6:$E$99,ROW()-6+1-'01_Inputs'!$B$98),""),"")</f>
        <v>12</v>
      </c>
      <c r="Y47" s="14">
        <f>IF(ISNUMBER(X47),(X47+1)*24/'01_Inputs'!$B$98,"")</f>
        <v>78</v>
      </c>
      <c r="Z47" s="9">
        <f>IF(ISNUMBER(Y47),IF(Y47&lt;('01_Inputs'!$B$15+'01_Inputs'!$B$16+N('01_Inputs'!$B$22)),"확인 필요: 점유 하한 미만",""),"")</f>
      </c>
    </row>
    <row r="48">
      <c r="A48" s="9" t="n">
        <v>43</v>
      </c>
      <c r="B48" s="9" t="inlineStr">
        <is>
          <t>SKTC_CpZr_Capacity_Reflux_Roadmap_2027_2028.pptx (첨부 원본·수정본)</t>
        </is>
      </c>
      <c r="C48" s="9" t="inlineStr">
        <is>
          <t>P3 달력 ← 원본 3장 노트·분포도</t>
        </is>
      </c>
      <c r="D48" s="3" t="n">
        <v>79</v>
      </c>
      <c r="E48" s="24">
        <f>IF(COUNTIF('P3_과거Batch_2026'!$C$6:$AG$13,D48)=0,"",IF(COUNTIF('P3_과거Batch_2026'!$C$6:$AG$13,D48)&gt;1,"중복 입력",SUMPRODUCT(('P3_과거Batch_2026'!$C$6:$AG$13=D48)*DATE('01_Inputs'!$B$100,ROW('P3_과거Batch_2026'!$C$6:$AG$13)-ROW('P3_과거Batch_2026'!$C$6)+5,COLUMN('P3_과거Batch_2026'!$C$6:$AG$13)-COLUMN('P3_과거Batch_2026'!$C$6)+1))))</f>
        <v>46288.0</v>
      </c>
      <c r="F48" s="5" t="n"/>
      <c r="G48" s="5" t="n"/>
      <c r="H48" s="9" t="inlineStr">
        <is>
          <t>생산계획 (원자료) — 실적 미검증</t>
        </is>
      </c>
      <c r="I48" s="3" t="inlineStr">
        <is>
          <t>주황</t>
        </is>
      </c>
      <c r="J48" s="5" t="n"/>
      <c r="K48" s="3" t="inlineStr">
        <is>
          <t>9/23</t>
        </is>
      </c>
      <c r="L48" s="3" t="n">
        <v>23</v>
      </c>
      <c r="M48" s="23" t="n">
        <v>46288</v>
      </c>
      <c r="N48" s="9" t="str">
        <f>IF(AND(ISNUMBER(E48),E48=M48,DAY(E48)=L48,K48=MONTH(E48)&amp;"/"&amp;DAY(E48)),"일치","차이 확인")</f>
        <v>일치</v>
      </c>
      <c r="O48" s="9">
        <f>IF(ISNUMBER(E48),MONTH(E48),"")</f>
        <v>9</v>
      </c>
      <c r="P48" s="9">
        <f>IF(AND(ISNUMBER(S48),D48&gt;'01_Inputs'!$B$96,D48&lt;='01_Inputs'!$B$97),1,0)</f>
        <v>1</v>
      </c>
      <c r="Q48" s="9">
        <f>IF(AND(ISNUMBER(E48),NOT(ISNUMBER(E47))),"확인","")</f>
      </c>
      <c r="R48" s="9" t="str">
        <f>IF(E48="중복 입력","중복","-")</f>
        <v>-</v>
      </c>
      <c r="S48" s="15">
        <f>IF(AND(ISNUMBER(E48),ISNUMBER(E47)),E48-E47,"")</f>
        <v>4</v>
      </c>
      <c r="T48" s="9">
        <f>IF(ISNUMBER(S48),IF(MONTH(E48)&lt;&gt;MONTH(E47),"월 경계",""),"")</f>
      </c>
      <c r="U48" s="15">
        <f>IF(ISNUMBER(S48),S48*24,"")</f>
        <v>96</v>
      </c>
      <c r="V48" s="15">
        <f>IF(ISNUMBER(S48),MAX(0,(S48-1)*24),"")</f>
        <v>72</v>
      </c>
      <c r="W48" s="15">
        <f>IF(ISNUMBER(S48),(S48+1)*24,"")</f>
        <v>120</v>
      </c>
      <c r="X48" s="15">
        <f>IF(AND(ISNUMBER(E48),ROW()-6&gt;='01_Inputs'!$B$98),IF(ISNUMBER(INDEX($E$6:$E$99,ROW()-6+1-'01_Inputs'!$B$98)),E48-INDEX($E$6:$E$99,ROW()-6+1-'01_Inputs'!$B$98),""),"")</f>
        <v>14</v>
      </c>
      <c r="Y48" s="14">
        <f>IF(ISNUMBER(X48),(X48+1)*24/'01_Inputs'!$B$98,"")</f>
        <v>90</v>
      </c>
      <c r="Z48" s="9">
        <f>IF(ISNUMBER(Y48),IF(Y48&lt;('01_Inputs'!$B$15+'01_Inputs'!$B$16+N('01_Inputs'!$B$22)),"확인 필요: 점유 하한 미만",""),"")</f>
      </c>
    </row>
    <row r="49">
      <c r="A49" s="9" t="n">
        <v>44</v>
      </c>
      <c r="B49" s="9" t="inlineStr">
        <is>
          <t>SKTC_CpZr_Capacity_Reflux_Roadmap_2027_2028.pptx (첨부 원본·수정본)</t>
        </is>
      </c>
      <c r="C49" s="9" t="inlineStr">
        <is>
          <t>P3 달력 ← 원본 3장 노트·분포도</t>
        </is>
      </c>
      <c r="D49" s="3" t="n">
        <v>80</v>
      </c>
      <c r="E49" s="24">
        <f>IF(COUNTIF('P3_과거Batch_2026'!$C$6:$AG$13,D49)=0,"",IF(COUNTIF('P3_과거Batch_2026'!$C$6:$AG$13,D49)&gt;1,"중복 입력",SUMPRODUCT(('P3_과거Batch_2026'!$C$6:$AG$13=D49)*DATE('01_Inputs'!$B$100,ROW('P3_과거Batch_2026'!$C$6:$AG$13)-ROW('P3_과거Batch_2026'!$C$6)+5,COLUMN('P3_과거Batch_2026'!$C$6:$AG$13)-COLUMN('P3_과거Batch_2026'!$C$6)+1))))</f>
        <v>46291.0</v>
      </c>
      <c r="F49" s="5" t="n"/>
      <c r="G49" s="5" t="n"/>
      <c r="H49" s="9" t="inlineStr">
        <is>
          <t>생산계획 (원자료) — 실적 미검증</t>
        </is>
      </c>
      <c r="I49" s="3" t="inlineStr">
        <is>
          <t>주황</t>
        </is>
      </c>
      <c r="J49" s="5" t="n"/>
      <c r="K49" s="3" t="inlineStr">
        <is>
          <t>9/26</t>
        </is>
      </c>
      <c r="L49" s="3" t="n">
        <v>26</v>
      </c>
      <c r="M49" s="23" t="n">
        <v>46291</v>
      </c>
      <c r="N49" s="9" t="str">
        <f>IF(AND(ISNUMBER(E49),E49=M49,DAY(E49)=L49,K49=MONTH(E49)&amp;"/"&amp;DAY(E49)),"일치","차이 확인")</f>
        <v>일치</v>
      </c>
      <c r="O49" s="9">
        <f>IF(ISNUMBER(E49),MONTH(E49),"")</f>
        <v>9</v>
      </c>
      <c r="P49" s="9">
        <f>IF(AND(ISNUMBER(S49),D49&gt;'01_Inputs'!$B$96,D49&lt;='01_Inputs'!$B$97),1,0)</f>
        <v>1</v>
      </c>
      <c r="Q49" s="9">
        <f>IF(AND(ISNUMBER(E49),NOT(ISNUMBER(E48))),"확인","")</f>
      </c>
      <c r="R49" s="9" t="str">
        <f>IF(E49="중복 입력","중복","-")</f>
        <v>-</v>
      </c>
      <c r="S49" s="15">
        <f>IF(AND(ISNUMBER(E49),ISNUMBER(E48)),E49-E48,"")</f>
        <v>3</v>
      </c>
      <c r="T49" s="9">
        <f>IF(ISNUMBER(S49),IF(MONTH(E49)&lt;&gt;MONTH(E48),"월 경계",""),"")</f>
      </c>
      <c r="U49" s="15">
        <f>IF(ISNUMBER(S49),S49*24,"")</f>
        <v>72</v>
      </c>
      <c r="V49" s="15">
        <f>IF(ISNUMBER(S49),MAX(0,(S49-1)*24),"")</f>
        <v>48</v>
      </c>
      <c r="W49" s="15">
        <f>IF(ISNUMBER(S49),(S49+1)*24,"")</f>
        <v>96</v>
      </c>
      <c r="X49" s="15">
        <f>IF(AND(ISNUMBER(E49),ROW()-6&gt;='01_Inputs'!$B$98),IF(ISNUMBER(INDEX($E$6:$E$99,ROW()-6+1-'01_Inputs'!$B$98)),E49-INDEX($E$6:$E$99,ROW()-6+1-'01_Inputs'!$B$98),""),"")</f>
        <v>15</v>
      </c>
      <c r="Y49" s="14">
        <f>IF(ISNUMBER(X49),(X49+1)*24/'01_Inputs'!$B$98,"")</f>
        <v>96</v>
      </c>
      <c r="Z49" s="9">
        <f>IF(ISNUMBER(Y49),IF(Y49&lt;('01_Inputs'!$B$15+'01_Inputs'!$B$16+N('01_Inputs'!$B$22)),"확인 필요: 점유 하한 미만",""),"")</f>
      </c>
    </row>
    <row r="50">
      <c r="A50" s="9" t="n">
        <v>45</v>
      </c>
      <c r="B50" s="9" t="inlineStr">
        <is>
          <t>SKTC_CpZr_Capacity_Reflux_Roadmap_2027_2028.pptx (첨부 원본·수정본)</t>
        </is>
      </c>
      <c r="C50" s="9" t="inlineStr">
        <is>
          <t>P3 달력 ← 원본 3장 노트·분포도</t>
        </is>
      </c>
      <c r="D50" s="3" t="n">
        <v>81</v>
      </c>
      <c r="E50" s="24">
        <f>IF(COUNTIF('P3_과거Batch_2026'!$C$6:$AG$13,D50)=0,"",IF(COUNTIF('P3_과거Batch_2026'!$C$6:$AG$13,D50)&gt;1,"중복 입력",SUMPRODUCT(('P3_과거Batch_2026'!$C$6:$AG$13=D50)*DATE('01_Inputs'!$B$100,ROW('P3_과거Batch_2026'!$C$6:$AG$13)-ROW('P3_과거Batch_2026'!$C$6)+5,COLUMN('P3_과거Batch_2026'!$C$6:$AG$13)-COLUMN('P3_과거Batch_2026'!$C$6)+1))))</f>
        <v>46293.0</v>
      </c>
      <c r="F50" s="5" t="n"/>
      <c r="G50" s="5" t="n"/>
      <c r="H50" s="9" t="inlineStr">
        <is>
          <t>생산계획 (원자료) — 실적 미검증</t>
        </is>
      </c>
      <c r="I50" s="3" t="inlineStr">
        <is>
          <t>주황</t>
        </is>
      </c>
      <c r="J50" s="5" t="n"/>
      <c r="K50" s="3" t="inlineStr">
        <is>
          <t>9/28</t>
        </is>
      </c>
      <c r="L50" s="3" t="n">
        <v>28</v>
      </c>
      <c r="M50" s="23" t="n">
        <v>46293</v>
      </c>
      <c r="N50" s="9" t="str">
        <f>IF(AND(ISNUMBER(E50),E50=M50,DAY(E50)=L50,K50=MONTH(E50)&amp;"/"&amp;DAY(E50)),"일치","차이 확인")</f>
        <v>일치</v>
      </c>
      <c r="O50" s="9">
        <f>IF(ISNUMBER(E50),MONTH(E50),"")</f>
        <v>9</v>
      </c>
      <c r="P50" s="9">
        <f>IF(AND(ISNUMBER(S50),D50&gt;'01_Inputs'!$B$96,D50&lt;='01_Inputs'!$B$97),1,0)</f>
        <v>1</v>
      </c>
      <c r="Q50" s="9">
        <f>IF(AND(ISNUMBER(E50),NOT(ISNUMBER(E49))),"확인","")</f>
      </c>
      <c r="R50" s="9" t="str">
        <f>IF(E50="중복 입력","중복","-")</f>
        <v>-</v>
      </c>
      <c r="S50" s="15">
        <f>IF(AND(ISNUMBER(E50),ISNUMBER(E49)),E50-E49,"")</f>
        <v>2</v>
      </c>
      <c r="T50" s="9">
        <f>IF(ISNUMBER(S50),IF(MONTH(E50)&lt;&gt;MONTH(E49),"월 경계",""),"")</f>
      </c>
      <c r="U50" s="15">
        <f>IF(ISNUMBER(S50),S50*24,"")</f>
        <v>48</v>
      </c>
      <c r="V50" s="15">
        <f>IF(ISNUMBER(S50),MAX(0,(S50-1)*24),"")</f>
        <v>24</v>
      </c>
      <c r="W50" s="15">
        <f>IF(ISNUMBER(S50),(S50+1)*24,"")</f>
        <v>72</v>
      </c>
      <c r="X50" s="15">
        <f>IF(AND(ISNUMBER(E50),ROW()-6&gt;='01_Inputs'!$B$98),IF(ISNUMBER(INDEX($E$6:$E$99,ROW()-6+1-'01_Inputs'!$B$98)),E50-INDEX($E$6:$E$99,ROW()-6+1-'01_Inputs'!$B$98),""),"")</f>
        <v>14</v>
      </c>
      <c r="Y50" s="14">
        <f>IF(ISNUMBER(X50),(X50+1)*24/'01_Inputs'!$B$98,"")</f>
        <v>90</v>
      </c>
      <c r="Z50" s="9">
        <f>IF(ISNUMBER(Y50),IF(Y50&lt;('01_Inputs'!$B$15+'01_Inputs'!$B$16+N('01_Inputs'!$B$22)),"확인 필요: 점유 하한 미만",""),"")</f>
      </c>
    </row>
    <row r="51">
      <c r="A51" s="9" t="n">
        <v>46</v>
      </c>
      <c r="B51" s="9" t="inlineStr">
        <is>
          <t>SKTC_CpZr_Capacity_Reflux_Roadmap_2027_2028.pptx (첨부 원본·수정본)</t>
        </is>
      </c>
      <c r="C51" s="9" t="inlineStr">
        <is>
          <t>P3 달력 ← 원본 3장 노트·분포도</t>
        </is>
      </c>
      <c r="D51" s="3" t="n">
        <v>82</v>
      </c>
      <c r="E51" s="24">
        <f>IF(COUNTIF('P3_과거Batch_2026'!$C$6:$AG$13,D51)=0,"",IF(COUNTIF('P3_과거Batch_2026'!$C$6:$AG$13,D51)&gt;1,"중복 입력",SUMPRODUCT(('P3_과거Batch_2026'!$C$6:$AG$13=D51)*DATE('01_Inputs'!$B$100,ROW('P3_과거Batch_2026'!$C$6:$AG$13)-ROW('P3_과거Batch_2026'!$C$6)+5,COLUMN('P3_과거Batch_2026'!$C$6:$AG$13)-COLUMN('P3_과거Batch_2026'!$C$6)+1))))</f>
        <v>46296.0</v>
      </c>
      <c r="F51" s="5" t="n"/>
      <c r="G51" s="5" t="n"/>
      <c r="H51" s="9" t="inlineStr">
        <is>
          <t>생산계획 (원자료) — 실적 미검증</t>
        </is>
      </c>
      <c r="I51" s="3" t="inlineStr">
        <is>
          <t>주황</t>
        </is>
      </c>
      <c r="J51" s="5" t="n"/>
      <c r="K51" s="3" t="inlineStr">
        <is>
          <t>10/1</t>
        </is>
      </c>
      <c r="L51" s="3" t="n">
        <v>1</v>
      </c>
      <c r="M51" s="23" t="n">
        <v>46296</v>
      </c>
      <c r="N51" s="9" t="str">
        <f>IF(AND(ISNUMBER(E51),E51=M51,DAY(E51)=L51,K51=MONTH(E51)&amp;"/"&amp;DAY(E51)),"일치","차이 확인")</f>
        <v>일치</v>
      </c>
      <c r="O51" s="9">
        <f>IF(ISNUMBER(E51),MONTH(E51),"")</f>
        <v>10</v>
      </c>
      <c r="P51" s="9">
        <f>IF(AND(ISNUMBER(S51),D51&gt;'01_Inputs'!$B$96,D51&lt;='01_Inputs'!$B$97),1,0)</f>
        <v>1</v>
      </c>
      <c r="Q51" s="9">
        <f>IF(AND(ISNUMBER(E51),NOT(ISNUMBER(E50))),"확인","")</f>
      </c>
      <c r="R51" s="9" t="str">
        <f>IF(E51="중복 입력","중복","-")</f>
        <v>-</v>
      </c>
      <c r="S51" s="15">
        <f>IF(AND(ISNUMBER(E51),ISNUMBER(E50)),E51-E50,"")</f>
        <v>3</v>
      </c>
      <c r="T51" s="9" t="str">
        <f>IF(ISNUMBER(S51),IF(MONTH(E51)&lt;&gt;MONTH(E50),"월 경계",""),"")</f>
        <v>월 경계</v>
      </c>
      <c r="U51" s="15">
        <f>IF(ISNUMBER(S51),S51*24,"")</f>
        <v>72</v>
      </c>
      <c r="V51" s="15">
        <f>IF(ISNUMBER(S51),MAX(0,(S51-1)*24),"")</f>
        <v>48</v>
      </c>
      <c r="W51" s="15">
        <f>IF(ISNUMBER(S51),(S51+1)*24,"")</f>
        <v>96</v>
      </c>
      <c r="X51" s="15">
        <f>IF(AND(ISNUMBER(E51),ROW()-6&gt;='01_Inputs'!$B$98),IF(ISNUMBER(INDEX($E$6:$E$99,ROW()-6+1-'01_Inputs'!$B$98)),E51-INDEX($E$6:$E$99,ROW()-6+1-'01_Inputs'!$B$98),""),"")</f>
        <v>12</v>
      </c>
      <c r="Y51" s="14">
        <f>IF(ISNUMBER(X51),(X51+1)*24/'01_Inputs'!$B$98,"")</f>
        <v>78</v>
      </c>
      <c r="Z51" s="9">
        <f>IF(ISNUMBER(Y51),IF(Y51&lt;('01_Inputs'!$B$15+'01_Inputs'!$B$16+N('01_Inputs'!$B$22)),"확인 필요: 점유 하한 미만",""),"")</f>
      </c>
    </row>
    <row r="52">
      <c r="A52" s="9" t="n">
        <v>47</v>
      </c>
      <c r="B52" s="9" t="inlineStr">
        <is>
          <t>SKTC_CpZr_Capacity_Reflux_Roadmap_2027_2028.pptx (첨부 원본·수정본)</t>
        </is>
      </c>
      <c r="C52" s="9" t="inlineStr">
        <is>
          <t>P3 달력 ← 원본 3장 노트·분포도</t>
        </is>
      </c>
      <c r="D52" s="3" t="n">
        <v>83</v>
      </c>
      <c r="E52" s="24">
        <f>IF(COUNTIF('P3_과거Batch_2026'!$C$6:$AG$13,D52)=0,"",IF(COUNTIF('P3_과거Batch_2026'!$C$6:$AG$13,D52)&gt;1,"중복 입력",SUMPRODUCT(('P3_과거Batch_2026'!$C$6:$AG$13=D52)*DATE('01_Inputs'!$B$100,ROW('P3_과거Batch_2026'!$C$6:$AG$13)-ROW('P3_과거Batch_2026'!$C$6)+5,COLUMN('P3_과거Batch_2026'!$C$6:$AG$13)-COLUMN('P3_과거Batch_2026'!$C$6)+1))))</f>
        <v>46299.0</v>
      </c>
      <c r="F52" s="5" t="n"/>
      <c r="G52" s="5" t="n"/>
      <c r="H52" s="9" t="inlineStr">
        <is>
          <t>생산계획 (원자료) — 실적 미검증</t>
        </is>
      </c>
      <c r="I52" s="3" t="inlineStr">
        <is>
          <t>주황</t>
        </is>
      </c>
      <c r="J52" s="5" t="n"/>
      <c r="K52" s="3" t="inlineStr">
        <is>
          <t>10/4</t>
        </is>
      </c>
      <c r="L52" s="3" t="n">
        <v>4</v>
      </c>
      <c r="M52" s="23" t="n">
        <v>46299</v>
      </c>
      <c r="N52" s="9" t="str">
        <f>IF(AND(ISNUMBER(E52),E52=M52,DAY(E52)=L52,K52=MONTH(E52)&amp;"/"&amp;DAY(E52)),"일치","차이 확인")</f>
        <v>일치</v>
      </c>
      <c r="O52" s="9">
        <f>IF(ISNUMBER(E52),MONTH(E52),"")</f>
        <v>10</v>
      </c>
      <c r="P52" s="9">
        <f>IF(AND(ISNUMBER(S52),D52&gt;'01_Inputs'!$B$96,D52&lt;='01_Inputs'!$B$97),1,0)</f>
        <v>1</v>
      </c>
      <c r="Q52" s="9">
        <f>IF(AND(ISNUMBER(E52),NOT(ISNUMBER(E51))),"확인","")</f>
      </c>
      <c r="R52" s="9" t="str">
        <f>IF(E52="중복 입력","중복","-")</f>
        <v>-</v>
      </c>
      <c r="S52" s="15">
        <f>IF(AND(ISNUMBER(E52),ISNUMBER(E51)),E52-E51,"")</f>
        <v>3</v>
      </c>
      <c r="T52" s="9">
        <f>IF(ISNUMBER(S52),IF(MONTH(E52)&lt;&gt;MONTH(E51),"월 경계",""),"")</f>
      </c>
      <c r="U52" s="15">
        <f>IF(ISNUMBER(S52),S52*24,"")</f>
        <v>72</v>
      </c>
      <c r="V52" s="15">
        <f>IF(ISNUMBER(S52),MAX(0,(S52-1)*24),"")</f>
        <v>48</v>
      </c>
      <c r="W52" s="15">
        <f>IF(ISNUMBER(S52),(S52+1)*24,"")</f>
        <v>96</v>
      </c>
      <c r="X52" s="15">
        <f>IF(AND(ISNUMBER(E52),ROW()-6&gt;='01_Inputs'!$B$98),IF(ISNUMBER(INDEX($E$6:$E$99,ROW()-6+1-'01_Inputs'!$B$98)),E52-INDEX($E$6:$E$99,ROW()-6+1-'01_Inputs'!$B$98),""),"")</f>
        <v>11</v>
      </c>
      <c r="Y52" s="14">
        <f>IF(ISNUMBER(X52),(X52+1)*24/'01_Inputs'!$B$98,"")</f>
        <v>72</v>
      </c>
      <c r="Z52" s="9">
        <f>IF(ISNUMBER(Y52),IF(Y52&lt;('01_Inputs'!$B$15+'01_Inputs'!$B$16+N('01_Inputs'!$B$22)),"확인 필요: 점유 하한 미만",""),"")</f>
      </c>
    </row>
    <row r="53">
      <c r="A53" s="9" t="n">
        <v>48</v>
      </c>
      <c r="B53" s="9" t="inlineStr">
        <is>
          <t>SKTC_CpZr_Capacity_Reflux_Roadmap_2027_2028.pptx (첨부 원본·수정본)</t>
        </is>
      </c>
      <c r="C53" s="9" t="inlineStr">
        <is>
          <t>P3 달력 ← 원본 3장 노트·분포도</t>
        </is>
      </c>
      <c r="D53" s="3" t="n">
        <v>84</v>
      </c>
      <c r="E53" s="24">
        <f>IF(COUNTIF('P3_과거Batch_2026'!$C$6:$AG$13,D53)=0,"",IF(COUNTIF('P3_과거Batch_2026'!$C$6:$AG$13,D53)&gt;1,"중복 입력",SUMPRODUCT(('P3_과거Batch_2026'!$C$6:$AG$13=D53)*DATE('01_Inputs'!$B$100,ROW('P3_과거Batch_2026'!$C$6:$AG$13)-ROW('P3_과거Batch_2026'!$C$6)+5,COLUMN('P3_과거Batch_2026'!$C$6:$AG$13)-COLUMN('P3_과거Batch_2026'!$C$6)+1))))</f>
        <v>46302.0</v>
      </c>
      <c r="F53" s="5" t="n"/>
      <c r="G53" s="5" t="n"/>
      <c r="H53" s="9" t="inlineStr">
        <is>
          <t>생산계획 (원자료) — 실적 미검증</t>
        </is>
      </c>
      <c r="I53" s="3" t="inlineStr">
        <is>
          <t>주황</t>
        </is>
      </c>
      <c r="J53" s="5" t="n"/>
      <c r="K53" s="3" t="inlineStr">
        <is>
          <t>10/7</t>
        </is>
      </c>
      <c r="L53" s="3" t="n">
        <v>7</v>
      </c>
      <c r="M53" s="23" t="n">
        <v>46302</v>
      </c>
      <c r="N53" s="9" t="str">
        <f>IF(AND(ISNUMBER(E53),E53=M53,DAY(E53)=L53,K53=MONTH(E53)&amp;"/"&amp;DAY(E53)),"일치","차이 확인")</f>
        <v>일치</v>
      </c>
      <c r="O53" s="9">
        <f>IF(ISNUMBER(E53),MONTH(E53),"")</f>
        <v>10</v>
      </c>
      <c r="P53" s="9">
        <f>IF(AND(ISNUMBER(S53),D53&gt;'01_Inputs'!$B$96,D53&lt;='01_Inputs'!$B$97),1,0)</f>
        <v>1</v>
      </c>
      <c r="Q53" s="9">
        <f>IF(AND(ISNUMBER(E53),NOT(ISNUMBER(E52))),"확인","")</f>
      </c>
      <c r="R53" s="9" t="str">
        <f>IF(E53="중복 입력","중복","-")</f>
        <v>-</v>
      </c>
      <c r="S53" s="15">
        <f>IF(AND(ISNUMBER(E53),ISNUMBER(E52)),E53-E52,"")</f>
        <v>3</v>
      </c>
      <c r="T53" s="9">
        <f>IF(ISNUMBER(S53),IF(MONTH(E53)&lt;&gt;MONTH(E52),"월 경계",""),"")</f>
      </c>
      <c r="U53" s="15">
        <f>IF(ISNUMBER(S53),S53*24,"")</f>
        <v>72</v>
      </c>
      <c r="V53" s="15">
        <f>IF(ISNUMBER(S53),MAX(0,(S53-1)*24),"")</f>
        <v>48</v>
      </c>
      <c r="W53" s="15">
        <f>IF(ISNUMBER(S53),(S53+1)*24,"")</f>
        <v>96</v>
      </c>
      <c r="X53" s="15">
        <f>IF(AND(ISNUMBER(E53),ROW()-6&gt;='01_Inputs'!$B$98),IF(ISNUMBER(INDEX($E$6:$E$99,ROW()-6+1-'01_Inputs'!$B$98)),E53-INDEX($E$6:$E$99,ROW()-6+1-'01_Inputs'!$B$98),""),"")</f>
        <v>11</v>
      </c>
      <c r="Y53" s="14">
        <f>IF(ISNUMBER(X53),(X53+1)*24/'01_Inputs'!$B$98,"")</f>
        <v>72</v>
      </c>
      <c r="Z53" s="9">
        <f>IF(ISNUMBER(Y53),IF(Y53&lt;('01_Inputs'!$B$15+'01_Inputs'!$B$16+N('01_Inputs'!$B$22)),"확인 필요: 점유 하한 미만",""),"")</f>
      </c>
    </row>
    <row r="54">
      <c r="A54" s="9" t="n">
        <v>49</v>
      </c>
      <c r="B54" s="9" t="inlineStr">
        <is>
          <t>SKTC_CpZr_Capacity_Reflux_Roadmap_2027_2028.pptx (첨부 원본·수정본)</t>
        </is>
      </c>
      <c r="C54" s="9" t="inlineStr">
        <is>
          <t>P3 달력 ← 원본 3장 노트·분포도</t>
        </is>
      </c>
      <c r="D54" s="3" t="n">
        <v>85</v>
      </c>
      <c r="E54" s="24">
        <f>IF(COUNTIF('P3_과거Batch_2026'!$C$6:$AG$13,D54)=0,"",IF(COUNTIF('P3_과거Batch_2026'!$C$6:$AG$13,D54)&gt;1,"중복 입력",SUMPRODUCT(('P3_과거Batch_2026'!$C$6:$AG$13=D54)*DATE('01_Inputs'!$B$100,ROW('P3_과거Batch_2026'!$C$6:$AG$13)-ROW('P3_과거Batch_2026'!$C$6)+5,COLUMN('P3_과거Batch_2026'!$C$6:$AG$13)-COLUMN('P3_과거Batch_2026'!$C$6)+1))))</f>
        <v>46305.0</v>
      </c>
      <c r="F54" s="5" t="n"/>
      <c r="G54" s="5" t="n"/>
      <c r="H54" s="9" t="inlineStr">
        <is>
          <t>생산계획 (원자료) — 실적 미검증</t>
        </is>
      </c>
      <c r="I54" s="3" t="inlineStr">
        <is>
          <t>주황</t>
        </is>
      </c>
      <c r="J54" s="5" t="n"/>
      <c r="K54" s="3" t="inlineStr">
        <is>
          <t>10/10</t>
        </is>
      </c>
      <c r="L54" s="3" t="n">
        <v>10</v>
      </c>
      <c r="M54" s="23" t="n">
        <v>46305</v>
      </c>
      <c r="N54" s="9" t="str">
        <f>IF(AND(ISNUMBER(E54),E54=M54,DAY(E54)=L54,K54=MONTH(E54)&amp;"/"&amp;DAY(E54)),"일치","차이 확인")</f>
        <v>일치</v>
      </c>
      <c r="O54" s="9">
        <f>IF(ISNUMBER(E54),MONTH(E54),"")</f>
        <v>10</v>
      </c>
      <c r="P54" s="9">
        <f>IF(AND(ISNUMBER(S54),D54&gt;'01_Inputs'!$B$96,D54&lt;='01_Inputs'!$B$97),1,0)</f>
        <v>1</v>
      </c>
      <c r="Q54" s="9">
        <f>IF(AND(ISNUMBER(E54),NOT(ISNUMBER(E53))),"확인","")</f>
      </c>
      <c r="R54" s="9" t="str">
        <f>IF(E54="중복 입력","중복","-")</f>
        <v>-</v>
      </c>
      <c r="S54" s="15">
        <f>IF(AND(ISNUMBER(E54),ISNUMBER(E53)),E54-E53,"")</f>
        <v>3</v>
      </c>
      <c r="T54" s="9">
        <f>IF(ISNUMBER(S54),IF(MONTH(E54)&lt;&gt;MONTH(E53),"월 경계",""),"")</f>
      </c>
      <c r="U54" s="15">
        <f>IF(ISNUMBER(S54),S54*24,"")</f>
        <v>72</v>
      </c>
      <c r="V54" s="15">
        <f>IF(ISNUMBER(S54),MAX(0,(S54-1)*24),"")</f>
        <v>48</v>
      </c>
      <c r="W54" s="15">
        <f>IF(ISNUMBER(S54),(S54+1)*24,"")</f>
        <v>96</v>
      </c>
      <c r="X54" s="15">
        <f>IF(AND(ISNUMBER(E54),ROW()-6&gt;='01_Inputs'!$B$98),IF(ISNUMBER(INDEX($E$6:$E$99,ROW()-6+1-'01_Inputs'!$B$98)),E54-INDEX($E$6:$E$99,ROW()-6+1-'01_Inputs'!$B$98),""),"")</f>
        <v>12</v>
      </c>
      <c r="Y54" s="14">
        <f>IF(ISNUMBER(X54),(X54+1)*24/'01_Inputs'!$B$98,"")</f>
        <v>78</v>
      </c>
      <c r="Z54" s="9">
        <f>IF(ISNUMBER(Y54),IF(Y54&lt;('01_Inputs'!$B$15+'01_Inputs'!$B$16+N('01_Inputs'!$B$22)),"확인 필요: 점유 하한 미만",""),"")</f>
      </c>
    </row>
    <row r="55">
      <c r="A55" s="9" t="n">
        <v>50</v>
      </c>
      <c r="B55" s="9" t="inlineStr">
        <is>
          <t>SKTC_CpZr_Capacity_Reflux_Roadmap_2027_2028.pptx (첨부 원본·수정본)</t>
        </is>
      </c>
      <c r="C55" s="9" t="inlineStr">
        <is>
          <t>P3 달력 ← 원본 3장 노트·분포도</t>
        </is>
      </c>
      <c r="D55" s="3" t="n">
        <v>86</v>
      </c>
      <c r="E55" s="24">
        <f>IF(COUNTIF('P3_과거Batch_2026'!$C$6:$AG$13,D55)=0,"",IF(COUNTIF('P3_과거Batch_2026'!$C$6:$AG$13,D55)&gt;1,"중복 입력",SUMPRODUCT(('P3_과거Batch_2026'!$C$6:$AG$13=D55)*DATE('01_Inputs'!$B$100,ROW('P3_과거Batch_2026'!$C$6:$AG$13)-ROW('P3_과거Batch_2026'!$C$6)+5,COLUMN('P3_과거Batch_2026'!$C$6:$AG$13)-COLUMN('P3_과거Batch_2026'!$C$6)+1))))</f>
        <v>46307.0</v>
      </c>
      <c r="F55" s="5" t="n"/>
      <c r="G55" s="5" t="n"/>
      <c r="H55" s="9" t="inlineStr">
        <is>
          <t>생산계획 (원자료) — 실적 미검증</t>
        </is>
      </c>
      <c r="I55" s="3" t="inlineStr">
        <is>
          <t>주황</t>
        </is>
      </c>
      <c r="J55" s="5" t="n"/>
      <c r="K55" s="3" t="inlineStr">
        <is>
          <t>10/12</t>
        </is>
      </c>
      <c r="L55" s="3" t="n">
        <v>12</v>
      </c>
      <c r="M55" s="23" t="n">
        <v>46307</v>
      </c>
      <c r="N55" s="9" t="str">
        <f>IF(AND(ISNUMBER(E55),E55=M55,DAY(E55)=L55,K55=MONTH(E55)&amp;"/"&amp;DAY(E55)),"일치","차이 확인")</f>
        <v>일치</v>
      </c>
      <c r="O55" s="9">
        <f>IF(ISNUMBER(E55),MONTH(E55),"")</f>
        <v>10</v>
      </c>
      <c r="P55" s="9">
        <f>IF(AND(ISNUMBER(S55),D55&gt;'01_Inputs'!$B$96,D55&lt;='01_Inputs'!$B$97),1,0)</f>
        <v>1</v>
      </c>
      <c r="Q55" s="9">
        <f>IF(AND(ISNUMBER(E55),NOT(ISNUMBER(E54))),"확인","")</f>
      </c>
      <c r="R55" s="9" t="str">
        <f>IF(E55="중복 입력","중복","-")</f>
        <v>-</v>
      </c>
      <c r="S55" s="15">
        <f>IF(AND(ISNUMBER(E55),ISNUMBER(E54)),E55-E54,"")</f>
        <v>2</v>
      </c>
      <c r="T55" s="9">
        <f>IF(ISNUMBER(S55),IF(MONTH(E55)&lt;&gt;MONTH(E54),"월 경계",""),"")</f>
      </c>
      <c r="U55" s="15">
        <f>IF(ISNUMBER(S55),S55*24,"")</f>
        <v>48</v>
      </c>
      <c r="V55" s="15">
        <f>IF(ISNUMBER(S55),MAX(0,(S55-1)*24),"")</f>
        <v>24</v>
      </c>
      <c r="W55" s="15">
        <f>IF(ISNUMBER(S55),(S55+1)*24,"")</f>
        <v>72</v>
      </c>
      <c r="X55" s="15">
        <f>IF(AND(ISNUMBER(E55),ROW()-6&gt;='01_Inputs'!$B$98),IF(ISNUMBER(INDEX($E$6:$E$99,ROW()-6+1-'01_Inputs'!$B$98)),E55-INDEX($E$6:$E$99,ROW()-6+1-'01_Inputs'!$B$98),""),"")</f>
        <v>11</v>
      </c>
      <c r="Y55" s="14">
        <f>IF(ISNUMBER(X55),(X55+1)*24/'01_Inputs'!$B$98,"")</f>
        <v>72</v>
      </c>
      <c r="Z55" s="9">
        <f>IF(ISNUMBER(Y55),IF(Y55&lt;('01_Inputs'!$B$15+'01_Inputs'!$B$16+N('01_Inputs'!$B$22)),"확인 필요: 점유 하한 미만",""),"")</f>
      </c>
    </row>
    <row r="56">
      <c r="A56" s="9" t="n">
        <v>51</v>
      </c>
      <c r="B56" s="9" t="inlineStr">
        <is>
          <t>SKTC_CpZr_Capacity_Reflux_Roadmap_2027_2028.pptx (첨부 원본·수정본)</t>
        </is>
      </c>
      <c r="C56" s="9" t="inlineStr">
        <is>
          <t>P3 달력 ← 원본 3장 노트·분포도</t>
        </is>
      </c>
      <c r="D56" s="3" t="n">
        <v>87</v>
      </c>
      <c r="E56" s="24">
        <f>IF(COUNTIF('P3_과거Batch_2026'!$C$6:$AG$13,D56)=0,"",IF(COUNTIF('P3_과거Batch_2026'!$C$6:$AG$13,D56)&gt;1,"중복 입력",SUMPRODUCT(('P3_과거Batch_2026'!$C$6:$AG$13=D56)*DATE('01_Inputs'!$B$100,ROW('P3_과거Batch_2026'!$C$6:$AG$13)-ROW('P3_과거Batch_2026'!$C$6)+5,COLUMN('P3_과거Batch_2026'!$C$6:$AG$13)-COLUMN('P3_과거Batch_2026'!$C$6)+1))))</f>
        <v>46310.0</v>
      </c>
      <c r="F56" s="5" t="n"/>
      <c r="G56" s="5" t="n"/>
      <c r="H56" s="9" t="inlineStr">
        <is>
          <t>생산계획 (원자료) — 실적 미검증</t>
        </is>
      </c>
      <c r="I56" s="3" t="inlineStr">
        <is>
          <t>주황</t>
        </is>
      </c>
      <c r="J56" s="5" t="n"/>
      <c r="K56" s="3" t="inlineStr">
        <is>
          <t>10/15</t>
        </is>
      </c>
      <c r="L56" s="3" t="n">
        <v>15</v>
      </c>
      <c r="M56" s="23" t="n">
        <v>46310</v>
      </c>
      <c r="N56" s="9" t="str">
        <f>IF(AND(ISNUMBER(E56),E56=M56,DAY(E56)=L56,K56=MONTH(E56)&amp;"/"&amp;DAY(E56)),"일치","차이 확인")</f>
        <v>일치</v>
      </c>
      <c r="O56" s="9">
        <f>IF(ISNUMBER(E56),MONTH(E56),"")</f>
        <v>10</v>
      </c>
      <c r="P56" s="9">
        <f>IF(AND(ISNUMBER(S56),D56&gt;'01_Inputs'!$B$96,D56&lt;='01_Inputs'!$B$97),1,0)</f>
        <v>1</v>
      </c>
      <c r="Q56" s="9">
        <f>IF(AND(ISNUMBER(E56),NOT(ISNUMBER(E55))),"확인","")</f>
      </c>
      <c r="R56" s="9" t="str">
        <f>IF(E56="중복 입력","중복","-")</f>
        <v>-</v>
      </c>
      <c r="S56" s="15">
        <f>IF(AND(ISNUMBER(E56),ISNUMBER(E55)),E56-E55,"")</f>
        <v>3</v>
      </c>
      <c r="T56" s="9">
        <f>IF(ISNUMBER(S56),IF(MONTH(E56)&lt;&gt;MONTH(E55),"월 경계",""),"")</f>
      </c>
      <c r="U56" s="15">
        <f>IF(ISNUMBER(S56),S56*24,"")</f>
        <v>72</v>
      </c>
      <c r="V56" s="15">
        <f>IF(ISNUMBER(S56),MAX(0,(S56-1)*24),"")</f>
        <v>48</v>
      </c>
      <c r="W56" s="15">
        <f>IF(ISNUMBER(S56),(S56+1)*24,"")</f>
        <v>96</v>
      </c>
      <c r="X56" s="15">
        <f>IF(AND(ISNUMBER(E56),ROW()-6&gt;='01_Inputs'!$B$98),IF(ISNUMBER(INDEX($E$6:$E$99,ROW()-6+1-'01_Inputs'!$B$98)),E56-INDEX($E$6:$E$99,ROW()-6+1-'01_Inputs'!$B$98),""),"")</f>
        <v>11</v>
      </c>
      <c r="Y56" s="14">
        <f>IF(ISNUMBER(X56),(X56+1)*24/'01_Inputs'!$B$98,"")</f>
        <v>72</v>
      </c>
      <c r="Z56" s="9">
        <f>IF(ISNUMBER(Y56),IF(Y56&lt;('01_Inputs'!$B$15+'01_Inputs'!$B$16+N('01_Inputs'!$B$22)),"확인 필요: 점유 하한 미만",""),"")</f>
      </c>
    </row>
    <row r="57">
      <c r="A57" s="9" t="n">
        <v>52</v>
      </c>
      <c r="B57" s="9" t="inlineStr">
        <is>
          <t>SKTC_CpZr_Capacity_Reflux_Roadmap_2027_2028.pptx (첨부 원본·수정본)</t>
        </is>
      </c>
      <c r="C57" s="9" t="inlineStr">
        <is>
          <t>P3 달력 ← 원본 3장 노트·분포도</t>
        </is>
      </c>
      <c r="D57" s="3" t="n">
        <v>88</v>
      </c>
      <c r="E57" s="24">
        <f>IF(COUNTIF('P3_과거Batch_2026'!$C$6:$AG$13,D57)=0,"",IF(COUNTIF('P3_과거Batch_2026'!$C$6:$AG$13,D57)&gt;1,"중복 입력",SUMPRODUCT(('P3_과거Batch_2026'!$C$6:$AG$13=D57)*DATE('01_Inputs'!$B$100,ROW('P3_과거Batch_2026'!$C$6:$AG$13)-ROW('P3_과거Batch_2026'!$C$6)+5,COLUMN('P3_과거Batch_2026'!$C$6:$AG$13)-COLUMN('P3_과거Batch_2026'!$C$6)+1))))</f>
        <v>46313.0</v>
      </c>
      <c r="F57" s="5" t="n"/>
      <c r="G57" s="5" t="n"/>
      <c r="H57" s="9" t="inlineStr">
        <is>
          <t>생산계획 (원자료) — 실적 미검증</t>
        </is>
      </c>
      <c r="I57" s="3" t="inlineStr">
        <is>
          <t>주황</t>
        </is>
      </c>
      <c r="J57" s="5" t="n"/>
      <c r="K57" s="3" t="inlineStr">
        <is>
          <t>10/18</t>
        </is>
      </c>
      <c r="L57" s="3" t="n">
        <v>18</v>
      </c>
      <c r="M57" s="23" t="n">
        <v>46313</v>
      </c>
      <c r="N57" s="9" t="str">
        <f>IF(AND(ISNUMBER(E57),E57=M57,DAY(E57)=L57,K57=MONTH(E57)&amp;"/"&amp;DAY(E57)),"일치","차이 확인")</f>
        <v>일치</v>
      </c>
      <c r="O57" s="9">
        <f>IF(ISNUMBER(E57),MONTH(E57),"")</f>
        <v>10</v>
      </c>
      <c r="P57" s="9">
        <f>IF(AND(ISNUMBER(S57),D57&gt;'01_Inputs'!$B$96,D57&lt;='01_Inputs'!$B$97),1,0)</f>
        <v>1</v>
      </c>
      <c r="Q57" s="9">
        <f>IF(AND(ISNUMBER(E57),NOT(ISNUMBER(E56))),"확인","")</f>
      </c>
      <c r="R57" s="9" t="str">
        <f>IF(E57="중복 입력","중복","-")</f>
        <v>-</v>
      </c>
      <c r="S57" s="15">
        <f>IF(AND(ISNUMBER(E57),ISNUMBER(E56)),E57-E56,"")</f>
        <v>3</v>
      </c>
      <c r="T57" s="9">
        <f>IF(ISNUMBER(S57),IF(MONTH(E57)&lt;&gt;MONTH(E56),"월 경계",""),"")</f>
      </c>
      <c r="U57" s="15">
        <f>IF(ISNUMBER(S57),S57*24,"")</f>
        <v>72</v>
      </c>
      <c r="V57" s="15">
        <f>IF(ISNUMBER(S57),MAX(0,(S57-1)*24),"")</f>
        <v>48</v>
      </c>
      <c r="W57" s="15">
        <f>IF(ISNUMBER(S57),(S57+1)*24,"")</f>
        <v>96</v>
      </c>
      <c r="X57" s="15">
        <f>IF(AND(ISNUMBER(E57),ROW()-6&gt;='01_Inputs'!$B$98),IF(ISNUMBER(INDEX($E$6:$E$99,ROW()-6+1-'01_Inputs'!$B$98)),E57-INDEX($E$6:$E$99,ROW()-6+1-'01_Inputs'!$B$98),""),"")</f>
        <v>11</v>
      </c>
      <c r="Y57" s="14">
        <f>IF(ISNUMBER(X57),(X57+1)*24/'01_Inputs'!$B$98,"")</f>
        <v>72</v>
      </c>
      <c r="Z57" s="9">
        <f>IF(ISNUMBER(Y57),IF(Y57&lt;('01_Inputs'!$B$15+'01_Inputs'!$B$16+N('01_Inputs'!$B$22)),"확인 필요: 점유 하한 미만",""),"")</f>
      </c>
    </row>
    <row r="58">
      <c r="A58" s="9" t="n">
        <v>53</v>
      </c>
      <c r="B58" s="9" t="inlineStr">
        <is>
          <t>SKTC_CpZr_Capacity_Reflux_Roadmap_2027_2028.pptx (첨부 원본·수정본)</t>
        </is>
      </c>
      <c r="C58" s="9" t="inlineStr">
        <is>
          <t>P3 달력 ← 원본 3장 노트·분포도</t>
        </is>
      </c>
      <c r="D58" s="3" t="n">
        <v>89</v>
      </c>
      <c r="E58" s="24">
        <f>IF(COUNTIF('P3_과거Batch_2026'!$C$6:$AG$13,D58)=0,"",IF(COUNTIF('P3_과거Batch_2026'!$C$6:$AG$13,D58)&gt;1,"중복 입력",SUMPRODUCT(('P3_과거Batch_2026'!$C$6:$AG$13=D58)*DATE('01_Inputs'!$B$100,ROW('P3_과거Batch_2026'!$C$6:$AG$13)-ROW('P3_과거Batch_2026'!$C$6)+5,COLUMN('P3_과거Batch_2026'!$C$6:$AG$13)-COLUMN('P3_과거Batch_2026'!$C$6)+1))))</f>
        <v>46315.0</v>
      </c>
      <c r="F58" s="5" t="n"/>
      <c r="G58" s="5" t="n"/>
      <c r="H58" s="9" t="inlineStr">
        <is>
          <t>생산계획 (원자료) — 실적 미검증</t>
        </is>
      </c>
      <c r="I58" s="3" t="inlineStr">
        <is>
          <t>주황</t>
        </is>
      </c>
      <c r="J58" s="5" t="n"/>
      <c r="K58" s="3" t="inlineStr">
        <is>
          <t>10/20</t>
        </is>
      </c>
      <c r="L58" s="3" t="n">
        <v>20</v>
      </c>
      <c r="M58" s="23" t="n">
        <v>46315</v>
      </c>
      <c r="N58" s="9" t="str">
        <f>IF(AND(ISNUMBER(E58),E58=M58,DAY(E58)=L58,K58=MONTH(E58)&amp;"/"&amp;DAY(E58)),"일치","차이 확인")</f>
        <v>일치</v>
      </c>
      <c r="O58" s="9">
        <f>IF(ISNUMBER(E58),MONTH(E58),"")</f>
        <v>10</v>
      </c>
      <c r="P58" s="9">
        <f>IF(AND(ISNUMBER(S58),D58&gt;'01_Inputs'!$B$96,D58&lt;='01_Inputs'!$B$97),1,0)</f>
        <v>1</v>
      </c>
      <c r="Q58" s="9">
        <f>IF(AND(ISNUMBER(E58),NOT(ISNUMBER(E57))),"확인","")</f>
      </c>
      <c r="R58" s="9" t="str">
        <f>IF(E58="중복 입력","중복","-")</f>
        <v>-</v>
      </c>
      <c r="S58" s="15">
        <f>IF(AND(ISNUMBER(E58),ISNUMBER(E57)),E58-E57,"")</f>
        <v>2</v>
      </c>
      <c r="T58" s="9">
        <f>IF(ISNUMBER(S58),IF(MONTH(E58)&lt;&gt;MONTH(E57),"월 경계",""),"")</f>
      </c>
      <c r="U58" s="15">
        <f>IF(ISNUMBER(S58),S58*24,"")</f>
        <v>48</v>
      </c>
      <c r="V58" s="15">
        <f>IF(ISNUMBER(S58),MAX(0,(S58-1)*24),"")</f>
        <v>24</v>
      </c>
      <c r="W58" s="15">
        <f>IF(ISNUMBER(S58),(S58+1)*24,"")</f>
        <v>72</v>
      </c>
      <c r="X58" s="15">
        <f>IF(AND(ISNUMBER(E58),ROW()-6&gt;='01_Inputs'!$B$98),IF(ISNUMBER(INDEX($E$6:$E$99,ROW()-6+1-'01_Inputs'!$B$98)),E58-INDEX($E$6:$E$99,ROW()-6+1-'01_Inputs'!$B$98),""),"")</f>
        <v>10</v>
      </c>
      <c r="Y58" s="14">
        <f>IF(ISNUMBER(X58),(X58+1)*24/'01_Inputs'!$B$98,"")</f>
        <v>66</v>
      </c>
      <c r="Z58" s="9">
        <f>IF(ISNUMBER(Y58),IF(Y58&lt;('01_Inputs'!$B$15+'01_Inputs'!$B$16+N('01_Inputs'!$B$22)),"확인 필요: 점유 하한 미만",""),"")</f>
      </c>
    </row>
    <row r="59">
      <c r="A59" s="9" t="n">
        <v>54</v>
      </c>
      <c r="B59" s="9" t="inlineStr">
        <is>
          <t>SKTC_CpZr_Capacity_Reflux_Roadmap_2027_2028.pptx (첨부 원본·수정본)</t>
        </is>
      </c>
      <c r="C59" s="9" t="inlineStr">
        <is>
          <t>P3 달력 ← 원본 3장 노트·분포도</t>
        </is>
      </c>
      <c r="D59" s="3" t="n">
        <v>90</v>
      </c>
      <c r="E59" s="24">
        <f>IF(COUNTIF('P3_과거Batch_2026'!$C$6:$AG$13,D59)=0,"",IF(COUNTIF('P3_과거Batch_2026'!$C$6:$AG$13,D59)&gt;1,"중복 입력",SUMPRODUCT(('P3_과거Batch_2026'!$C$6:$AG$13=D59)*DATE('01_Inputs'!$B$100,ROW('P3_과거Batch_2026'!$C$6:$AG$13)-ROW('P3_과거Batch_2026'!$C$6)+5,COLUMN('P3_과거Batch_2026'!$C$6:$AG$13)-COLUMN('P3_과거Batch_2026'!$C$6)+1))))</f>
        <v>46318.0</v>
      </c>
      <c r="F59" s="5" t="n"/>
      <c r="G59" s="5" t="n"/>
      <c r="H59" s="9" t="inlineStr">
        <is>
          <t>생산계획 (원자료) — 실적 미검증</t>
        </is>
      </c>
      <c r="I59" s="3" t="inlineStr">
        <is>
          <t>주황</t>
        </is>
      </c>
      <c r="J59" s="5" t="n"/>
      <c r="K59" s="3" t="inlineStr">
        <is>
          <t>10/23</t>
        </is>
      </c>
      <c r="L59" s="3" t="n">
        <v>23</v>
      </c>
      <c r="M59" s="23" t="n">
        <v>46318</v>
      </c>
      <c r="N59" s="9" t="str">
        <f>IF(AND(ISNUMBER(E59),E59=M59,DAY(E59)=L59,K59=MONTH(E59)&amp;"/"&amp;DAY(E59)),"일치","차이 확인")</f>
        <v>일치</v>
      </c>
      <c r="O59" s="9">
        <f>IF(ISNUMBER(E59),MONTH(E59),"")</f>
        <v>10</v>
      </c>
      <c r="P59" s="9">
        <f>IF(AND(ISNUMBER(S59),D59&gt;'01_Inputs'!$B$96,D59&lt;='01_Inputs'!$B$97),1,0)</f>
        <v>1</v>
      </c>
      <c r="Q59" s="9">
        <f>IF(AND(ISNUMBER(E59),NOT(ISNUMBER(E58))),"확인","")</f>
      </c>
      <c r="R59" s="9" t="str">
        <f>IF(E59="중복 입력","중복","-")</f>
        <v>-</v>
      </c>
      <c r="S59" s="15">
        <f>IF(AND(ISNUMBER(E59),ISNUMBER(E58)),E59-E58,"")</f>
        <v>3</v>
      </c>
      <c r="T59" s="9">
        <f>IF(ISNUMBER(S59),IF(MONTH(E59)&lt;&gt;MONTH(E58),"월 경계",""),"")</f>
      </c>
      <c r="U59" s="15">
        <f>IF(ISNUMBER(S59),S59*24,"")</f>
        <v>72</v>
      </c>
      <c r="V59" s="15">
        <f>IF(ISNUMBER(S59),MAX(0,(S59-1)*24),"")</f>
        <v>48</v>
      </c>
      <c r="W59" s="15">
        <f>IF(ISNUMBER(S59),(S59+1)*24,"")</f>
        <v>96</v>
      </c>
      <c r="X59" s="15">
        <f>IF(AND(ISNUMBER(E59),ROW()-6&gt;='01_Inputs'!$B$98),IF(ISNUMBER(INDEX($E$6:$E$99,ROW()-6+1-'01_Inputs'!$B$98)),E59-INDEX($E$6:$E$99,ROW()-6+1-'01_Inputs'!$B$98),""),"")</f>
        <v>11</v>
      </c>
      <c r="Y59" s="14">
        <f>IF(ISNUMBER(X59),(X59+1)*24/'01_Inputs'!$B$98,"")</f>
        <v>72</v>
      </c>
      <c r="Z59" s="9">
        <f>IF(ISNUMBER(Y59),IF(Y59&lt;('01_Inputs'!$B$15+'01_Inputs'!$B$16+N('01_Inputs'!$B$22)),"확인 필요: 점유 하한 미만",""),"")</f>
      </c>
    </row>
    <row r="60">
      <c r="A60" s="9" t="n">
        <v>55</v>
      </c>
      <c r="B60" s="9" t="inlineStr">
        <is>
          <t>SKTC_CpZr_Capacity_Reflux_Roadmap_2027_2028.pptx (첨부 원본·수정본)</t>
        </is>
      </c>
      <c r="C60" s="9" t="inlineStr">
        <is>
          <t>P3 달력 ← 원본 3장 노트·분포도</t>
        </is>
      </c>
      <c r="D60" s="3" t="n">
        <v>91</v>
      </c>
      <c r="E60" s="24">
        <f>IF(COUNTIF('P3_과거Batch_2026'!$C$6:$AG$13,D60)=0,"",IF(COUNTIF('P3_과거Batch_2026'!$C$6:$AG$13,D60)&gt;1,"중복 입력",SUMPRODUCT(('P3_과거Batch_2026'!$C$6:$AG$13=D60)*DATE('01_Inputs'!$B$100,ROW('P3_과거Batch_2026'!$C$6:$AG$13)-ROW('P3_과거Batch_2026'!$C$6)+5,COLUMN('P3_과거Batch_2026'!$C$6:$AG$13)-COLUMN('P3_과거Batch_2026'!$C$6)+1))))</f>
        <v>46321.0</v>
      </c>
      <c r="F60" s="5" t="n"/>
      <c r="G60" s="5" t="n"/>
      <c r="H60" s="9" t="inlineStr">
        <is>
          <t>생산계획 (원자료) — 실적 미검증</t>
        </is>
      </c>
      <c r="I60" s="3" t="inlineStr">
        <is>
          <t>주황</t>
        </is>
      </c>
      <c r="J60" s="5" t="n"/>
      <c r="K60" s="3" t="inlineStr">
        <is>
          <t>10/26</t>
        </is>
      </c>
      <c r="L60" s="3" t="n">
        <v>26</v>
      </c>
      <c r="M60" s="23" t="n">
        <v>46321</v>
      </c>
      <c r="N60" s="9" t="str">
        <f>IF(AND(ISNUMBER(E60),E60=M60,DAY(E60)=L60,K60=MONTH(E60)&amp;"/"&amp;DAY(E60)),"일치","차이 확인")</f>
        <v>일치</v>
      </c>
      <c r="O60" s="9">
        <f>IF(ISNUMBER(E60),MONTH(E60),"")</f>
        <v>10</v>
      </c>
      <c r="P60" s="9">
        <f>IF(AND(ISNUMBER(S60),D60&gt;'01_Inputs'!$B$96,D60&lt;='01_Inputs'!$B$97),1,0)</f>
        <v>1</v>
      </c>
      <c r="Q60" s="9">
        <f>IF(AND(ISNUMBER(E60),NOT(ISNUMBER(E59))),"확인","")</f>
      </c>
      <c r="R60" s="9" t="str">
        <f>IF(E60="중복 입력","중복","-")</f>
        <v>-</v>
      </c>
      <c r="S60" s="15">
        <f>IF(AND(ISNUMBER(E60),ISNUMBER(E59)),E60-E59,"")</f>
        <v>3</v>
      </c>
      <c r="T60" s="9">
        <f>IF(ISNUMBER(S60),IF(MONTH(E60)&lt;&gt;MONTH(E59),"월 경계",""),"")</f>
      </c>
      <c r="U60" s="15">
        <f>IF(ISNUMBER(S60),S60*24,"")</f>
        <v>72</v>
      </c>
      <c r="V60" s="15">
        <f>IF(ISNUMBER(S60),MAX(0,(S60-1)*24),"")</f>
        <v>48</v>
      </c>
      <c r="W60" s="15">
        <f>IF(ISNUMBER(S60),(S60+1)*24,"")</f>
        <v>96</v>
      </c>
      <c r="X60" s="15">
        <f>IF(AND(ISNUMBER(E60),ROW()-6&gt;='01_Inputs'!$B$98),IF(ISNUMBER(INDEX($E$6:$E$99,ROW()-6+1-'01_Inputs'!$B$98)),E60-INDEX($E$6:$E$99,ROW()-6+1-'01_Inputs'!$B$98),""),"")</f>
        <v>11</v>
      </c>
      <c r="Y60" s="14">
        <f>IF(ISNUMBER(X60),(X60+1)*24/'01_Inputs'!$B$98,"")</f>
        <v>72</v>
      </c>
      <c r="Z60" s="9">
        <f>IF(ISNUMBER(Y60),IF(Y60&lt;('01_Inputs'!$B$15+'01_Inputs'!$B$16+N('01_Inputs'!$B$22)),"확인 필요: 점유 하한 미만",""),"")</f>
      </c>
    </row>
    <row r="61">
      <c r="A61" s="9" t="n">
        <v>56</v>
      </c>
      <c r="B61" s="9" t="inlineStr">
        <is>
          <t>SKTC_CpZr_Capacity_Reflux_Roadmap_2027_2028.pptx (첨부 원본·수정본)</t>
        </is>
      </c>
      <c r="C61" s="9" t="inlineStr">
        <is>
          <t>P3 달력 ← 원본 3장 노트·분포도</t>
        </is>
      </c>
      <c r="D61" s="3" t="n">
        <v>92</v>
      </c>
      <c r="E61" s="24">
        <f>IF(COUNTIF('P3_과거Batch_2026'!$C$6:$AG$13,D61)=0,"",IF(COUNTIF('P3_과거Batch_2026'!$C$6:$AG$13,D61)&gt;1,"중복 입력",SUMPRODUCT(('P3_과거Batch_2026'!$C$6:$AG$13=D61)*DATE('01_Inputs'!$B$100,ROW('P3_과거Batch_2026'!$C$6:$AG$13)-ROW('P3_과거Batch_2026'!$C$6)+5,COLUMN('P3_과거Batch_2026'!$C$6:$AG$13)-COLUMN('P3_과거Batch_2026'!$C$6)+1))))</f>
        <v>46324.0</v>
      </c>
      <c r="F61" s="5" t="n"/>
      <c r="G61" s="5" t="n"/>
      <c r="H61" s="9" t="inlineStr">
        <is>
          <t>생산계획 (원자료) — 실적 미검증</t>
        </is>
      </c>
      <c r="I61" s="3" t="inlineStr">
        <is>
          <t>주황</t>
        </is>
      </c>
      <c r="J61" s="5" t="n"/>
      <c r="K61" s="3" t="inlineStr">
        <is>
          <t>10/29</t>
        </is>
      </c>
      <c r="L61" s="3" t="n">
        <v>29</v>
      </c>
      <c r="M61" s="23" t="n">
        <v>46324</v>
      </c>
      <c r="N61" s="9" t="str">
        <f>IF(AND(ISNUMBER(E61),E61=M61,DAY(E61)=L61,K61=MONTH(E61)&amp;"/"&amp;DAY(E61)),"일치","차이 확인")</f>
        <v>일치</v>
      </c>
      <c r="O61" s="9">
        <f>IF(ISNUMBER(E61),MONTH(E61),"")</f>
        <v>10</v>
      </c>
      <c r="P61" s="9">
        <f>IF(AND(ISNUMBER(S61),D61&gt;'01_Inputs'!$B$96,D61&lt;='01_Inputs'!$B$97),1,0)</f>
        <v>1</v>
      </c>
      <c r="Q61" s="9">
        <f>IF(AND(ISNUMBER(E61),NOT(ISNUMBER(E60))),"확인","")</f>
      </c>
      <c r="R61" s="9" t="str">
        <f>IF(E61="중복 입력","중복","-")</f>
        <v>-</v>
      </c>
      <c r="S61" s="15">
        <f>IF(AND(ISNUMBER(E61),ISNUMBER(E60)),E61-E60,"")</f>
        <v>3</v>
      </c>
      <c r="T61" s="9">
        <f>IF(ISNUMBER(S61),IF(MONTH(E61)&lt;&gt;MONTH(E60),"월 경계",""),"")</f>
      </c>
      <c r="U61" s="15">
        <f>IF(ISNUMBER(S61),S61*24,"")</f>
        <v>72</v>
      </c>
      <c r="V61" s="15">
        <f>IF(ISNUMBER(S61),MAX(0,(S61-1)*24),"")</f>
        <v>48</v>
      </c>
      <c r="W61" s="15">
        <f>IF(ISNUMBER(S61),(S61+1)*24,"")</f>
        <v>96</v>
      </c>
      <c r="X61" s="15">
        <f>IF(AND(ISNUMBER(E61),ROW()-6&gt;='01_Inputs'!$B$98),IF(ISNUMBER(INDEX($E$6:$E$99,ROW()-6+1-'01_Inputs'!$B$98)),E61-INDEX($E$6:$E$99,ROW()-6+1-'01_Inputs'!$B$98),""),"")</f>
        <v>11</v>
      </c>
      <c r="Y61" s="14">
        <f>IF(ISNUMBER(X61),(X61+1)*24/'01_Inputs'!$B$98,"")</f>
        <v>72</v>
      </c>
      <c r="Z61" s="9">
        <f>IF(ISNUMBER(Y61),IF(Y61&lt;('01_Inputs'!$B$15+'01_Inputs'!$B$16+N('01_Inputs'!$B$22)),"확인 필요: 점유 하한 미만",""),"")</f>
      </c>
    </row>
    <row r="62">
      <c r="A62" s="9" t="n">
        <v>57</v>
      </c>
      <c r="B62" s="9" t="inlineStr">
        <is>
          <t>P3 달력 입력</t>
        </is>
      </c>
      <c r="C62" s="9" t="inlineStr">
        <is>
          <t>P3_과거Batch_2026 달력</t>
        </is>
      </c>
      <c r="D62" s="3" t="n">
        <v>93</v>
      </c>
      <c r="E62" s="24">
        <f>IF(COUNTIF('P3_과거Batch_2026'!$C$6:$AG$13,D62)=0,"",IF(COUNTIF('P3_과거Batch_2026'!$C$6:$AG$13,D62)&gt;1,"중복 입력",SUMPRODUCT(('P3_과거Batch_2026'!$C$6:$AG$13=D62)*DATE('01_Inputs'!$B$100,ROW('P3_과거Batch_2026'!$C$6:$AG$13)-ROW('P3_과거Batch_2026'!$C$6)+5,COLUMN('P3_과거Batch_2026'!$C$6:$AG$13)-COLUMN('P3_과거Batch_2026'!$C$6)+1))))</f>
      </c>
      <c r="F62" s="5" t="n"/>
      <c r="G62" s="5" t="n"/>
      <c r="H62" s="9" t="inlineStr">
        <is>
          <t>생산계획 (원자료) — 실적 미검증</t>
        </is>
      </c>
      <c r="I62" s="3" t="n"/>
      <c r="J62" s="5" t="n"/>
      <c r="K62" s="3" t="inlineStr">
        <is>
          <t>-</t>
        </is>
      </c>
      <c r="L62" s="3" t="n"/>
      <c r="M62" s="23" t="n"/>
      <c r="N62" s="9">
        <f>IF(ISNUMBER(E62),"신규 입력","")</f>
      </c>
      <c r="O62" s="9">
        <f>IF(ISNUMBER(E62),MONTH(E62),"")</f>
      </c>
      <c r="P62" s="9">
        <f>IF(AND(ISNUMBER(S62),D62&gt;'01_Inputs'!$B$96,D62&lt;='01_Inputs'!$B$97),1,0)</f>
        <v>0</v>
      </c>
      <c r="Q62" s="9">
        <f>IF(AND(ISNUMBER(E62),NOT(ISNUMBER(E61))),"확인","")</f>
      </c>
      <c r="R62" s="9" t="str">
        <f>IF(E62="중복 입력","중복","-")</f>
        <v>-</v>
      </c>
      <c r="S62" s="15">
        <f>IF(AND(ISNUMBER(E62),ISNUMBER(E61)),E62-E61,"")</f>
      </c>
      <c r="T62" s="9">
        <f>IF(ISNUMBER(S62),IF(MONTH(E62)&lt;&gt;MONTH(E61),"월 경계",""),"")</f>
      </c>
      <c r="U62" s="15">
        <f>IF(ISNUMBER(S62),S62*24,"")</f>
      </c>
      <c r="V62" s="15">
        <f>IF(ISNUMBER(S62),MAX(0,(S62-1)*24),"")</f>
      </c>
      <c r="W62" s="15">
        <f>IF(ISNUMBER(S62),(S62+1)*24,"")</f>
      </c>
      <c r="X62" s="15">
        <f>IF(AND(ISNUMBER(E62),ROW()-6&gt;='01_Inputs'!$B$98),IF(ISNUMBER(INDEX($E$6:$E$99,ROW()-6+1-'01_Inputs'!$B$98)),E62-INDEX($E$6:$E$99,ROW()-6+1-'01_Inputs'!$B$98),""),"")</f>
      </c>
      <c r="Y62" s="14">
        <f>IF(ISNUMBER(X62),(X62+1)*24/'01_Inputs'!$B$98,"")</f>
      </c>
      <c r="Z62" s="9">
        <f>IF(ISNUMBER(Y62),IF(Y62&lt;('01_Inputs'!$B$15+'01_Inputs'!$B$16+N('01_Inputs'!$B$22)),"확인 필요: 점유 하한 미만",""),"")</f>
      </c>
    </row>
    <row r="63">
      <c r="A63" s="9" t="n">
        <v>58</v>
      </c>
      <c r="B63" s="9" t="inlineStr">
        <is>
          <t>P3 달력 입력</t>
        </is>
      </c>
      <c r="C63" s="9" t="inlineStr">
        <is>
          <t>P3_과거Batch_2026 달력</t>
        </is>
      </c>
      <c r="D63" s="3" t="n">
        <v>94</v>
      </c>
      <c r="E63" s="24">
        <f>IF(COUNTIF('P3_과거Batch_2026'!$C$6:$AG$13,D63)=0,"",IF(COUNTIF('P3_과거Batch_2026'!$C$6:$AG$13,D63)&gt;1,"중복 입력",SUMPRODUCT(('P3_과거Batch_2026'!$C$6:$AG$13=D63)*DATE('01_Inputs'!$B$100,ROW('P3_과거Batch_2026'!$C$6:$AG$13)-ROW('P3_과거Batch_2026'!$C$6)+5,COLUMN('P3_과거Batch_2026'!$C$6:$AG$13)-COLUMN('P3_과거Batch_2026'!$C$6)+1))))</f>
      </c>
      <c r="F63" s="5" t="n"/>
      <c r="G63" s="5" t="n"/>
      <c r="H63" s="9" t="inlineStr">
        <is>
          <t>생산계획 (원자료) — 실적 미검증</t>
        </is>
      </c>
      <c r="I63" s="3" t="n"/>
      <c r="J63" s="5" t="n"/>
      <c r="K63" s="3" t="inlineStr">
        <is>
          <t>-</t>
        </is>
      </c>
      <c r="L63" s="3" t="n"/>
      <c r="M63" s="23" t="n"/>
      <c r="N63" s="9">
        <f>IF(ISNUMBER(E63),"신규 입력","")</f>
      </c>
      <c r="O63" s="9">
        <f>IF(ISNUMBER(E63),MONTH(E63),"")</f>
      </c>
      <c r="P63" s="9">
        <f>IF(AND(ISNUMBER(S63),D63&gt;'01_Inputs'!$B$96,D63&lt;='01_Inputs'!$B$97),1,0)</f>
        <v>0</v>
      </c>
      <c r="Q63" s="9">
        <f>IF(AND(ISNUMBER(E63),NOT(ISNUMBER(E62))),"확인","")</f>
      </c>
      <c r="R63" s="9" t="str">
        <f>IF(E63="중복 입력","중복","-")</f>
        <v>-</v>
      </c>
      <c r="S63" s="15">
        <f>IF(AND(ISNUMBER(E63),ISNUMBER(E62)),E63-E62,"")</f>
      </c>
      <c r="T63" s="9">
        <f>IF(ISNUMBER(S63),IF(MONTH(E63)&lt;&gt;MONTH(E62),"월 경계",""),"")</f>
      </c>
      <c r="U63" s="15">
        <f>IF(ISNUMBER(S63),S63*24,"")</f>
      </c>
      <c r="V63" s="15">
        <f>IF(ISNUMBER(S63),MAX(0,(S63-1)*24),"")</f>
      </c>
      <c r="W63" s="15">
        <f>IF(ISNUMBER(S63),(S63+1)*24,"")</f>
      </c>
      <c r="X63" s="15">
        <f>IF(AND(ISNUMBER(E63),ROW()-6&gt;='01_Inputs'!$B$98),IF(ISNUMBER(INDEX($E$6:$E$99,ROW()-6+1-'01_Inputs'!$B$98)),E63-INDEX($E$6:$E$99,ROW()-6+1-'01_Inputs'!$B$98),""),"")</f>
      </c>
      <c r="Y63" s="14">
        <f>IF(ISNUMBER(X63),(X63+1)*24/'01_Inputs'!$B$98,"")</f>
      </c>
      <c r="Z63" s="9">
        <f>IF(ISNUMBER(Y63),IF(Y63&lt;('01_Inputs'!$B$15+'01_Inputs'!$B$16+N('01_Inputs'!$B$22)),"확인 필요: 점유 하한 미만",""),"")</f>
      </c>
    </row>
    <row r="64">
      <c r="A64" s="9" t="n">
        <v>59</v>
      </c>
      <c r="B64" s="9" t="inlineStr">
        <is>
          <t>P3 달력 입력</t>
        </is>
      </c>
      <c r="C64" s="9" t="inlineStr">
        <is>
          <t>P3_과거Batch_2026 달력</t>
        </is>
      </c>
      <c r="D64" s="3" t="n">
        <v>95</v>
      </c>
      <c r="E64" s="24">
        <f>IF(COUNTIF('P3_과거Batch_2026'!$C$6:$AG$13,D64)=0,"",IF(COUNTIF('P3_과거Batch_2026'!$C$6:$AG$13,D64)&gt;1,"중복 입력",SUMPRODUCT(('P3_과거Batch_2026'!$C$6:$AG$13=D64)*DATE('01_Inputs'!$B$100,ROW('P3_과거Batch_2026'!$C$6:$AG$13)-ROW('P3_과거Batch_2026'!$C$6)+5,COLUMN('P3_과거Batch_2026'!$C$6:$AG$13)-COLUMN('P3_과거Batch_2026'!$C$6)+1))))</f>
      </c>
      <c r="F64" s="5" t="n"/>
      <c r="G64" s="5" t="n"/>
      <c r="H64" s="9" t="inlineStr">
        <is>
          <t>생산계획 (원자료) — 실적 미검증</t>
        </is>
      </c>
      <c r="I64" s="3" t="n"/>
      <c r="J64" s="5" t="n"/>
      <c r="K64" s="3" t="inlineStr">
        <is>
          <t>-</t>
        </is>
      </c>
      <c r="L64" s="3" t="n"/>
      <c r="M64" s="23" t="n"/>
      <c r="N64" s="9">
        <f>IF(ISNUMBER(E64),"신규 입력","")</f>
      </c>
      <c r="O64" s="9">
        <f>IF(ISNUMBER(E64),MONTH(E64),"")</f>
      </c>
      <c r="P64" s="9">
        <f>IF(AND(ISNUMBER(S64),D64&gt;'01_Inputs'!$B$96,D64&lt;='01_Inputs'!$B$97),1,0)</f>
        <v>0</v>
      </c>
      <c r="Q64" s="9">
        <f>IF(AND(ISNUMBER(E64),NOT(ISNUMBER(E63))),"확인","")</f>
      </c>
      <c r="R64" s="9" t="str">
        <f>IF(E64="중복 입력","중복","-")</f>
        <v>-</v>
      </c>
      <c r="S64" s="15">
        <f>IF(AND(ISNUMBER(E64),ISNUMBER(E63)),E64-E63,"")</f>
      </c>
      <c r="T64" s="9">
        <f>IF(ISNUMBER(S64),IF(MONTH(E64)&lt;&gt;MONTH(E63),"월 경계",""),"")</f>
      </c>
      <c r="U64" s="15">
        <f>IF(ISNUMBER(S64),S64*24,"")</f>
      </c>
      <c r="V64" s="15">
        <f>IF(ISNUMBER(S64),MAX(0,(S64-1)*24),"")</f>
      </c>
      <c r="W64" s="15">
        <f>IF(ISNUMBER(S64),(S64+1)*24,"")</f>
      </c>
      <c r="X64" s="15">
        <f>IF(AND(ISNUMBER(E64),ROW()-6&gt;='01_Inputs'!$B$98),IF(ISNUMBER(INDEX($E$6:$E$99,ROW()-6+1-'01_Inputs'!$B$98)),E64-INDEX($E$6:$E$99,ROW()-6+1-'01_Inputs'!$B$98),""),"")</f>
      </c>
      <c r="Y64" s="14">
        <f>IF(ISNUMBER(X64),(X64+1)*24/'01_Inputs'!$B$98,"")</f>
      </c>
      <c r="Z64" s="9">
        <f>IF(ISNUMBER(Y64),IF(Y64&lt;('01_Inputs'!$B$15+'01_Inputs'!$B$16+N('01_Inputs'!$B$22)),"확인 필요: 점유 하한 미만",""),"")</f>
      </c>
    </row>
    <row r="65">
      <c r="A65" s="9" t="n">
        <v>60</v>
      </c>
      <c r="B65" s="9" t="inlineStr">
        <is>
          <t>P3 달력 입력</t>
        </is>
      </c>
      <c r="C65" s="9" t="inlineStr">
        <is>
          <t>P3_과거Batch_2026 달력</t>
        </is>
      </c>
      <c r="D65" s="3" t="n">
        <v>96</v>
      </c>
      <c r="E65" s="24">
        <f>IF(COUNTIF('P3_과거Batch_2026'!$C$6:$AG$13,D65)=0,"",IF(COUNTIF('P3_과거Batch_2026'!$C$6:$AG$13,D65)&gt;1,"중복 입력",SUMPRODUCT(('P3_과거Batch_2026'!$C$6:$AG$13=D65)*DATE('01_Inputs'!$B$100,ROW('P3_과거Batch_2026'!$C$6:$AG$13)-ROW('P3_과거Batch_2026'!$C$6)+5,COLUMN('P3_과거Batch_2026'!$C$6:$AG$13)-COLUMN('P3_과거Batch_2026'!$C$6)+1))))</f>
      </c>
      <c r="F65" s="5" t="n"/>
      <c r="G65" s="5" t="n"/>
      <c r="H65" s="9" t="inlineStr">
        <is>
          <t>생산계획 (원자료) — 실적 미검증</t>
        </is>
      </c>
      <c r="I65" s="3" t="n"/>
      <c r="J65" s="5" t="n"/>
      <c r="K65" s="3" t="inlineStr">
        <is>
          <t>-</t>
        </is>
      </c>
      <c r="L65" s="3" t="n"/>
      <c r="M65" s="23" t="n"/>
      <c r="N65" s="9">
        <f>IF(ISNUMBER(E65),"신규 입력","")</f>
      </c>
      <c r="O65" s="9">
        <f>IF(ISNUMBER(E65),MONTH(E65),"")</f>
      </c>
      <c r="P65" s="9">
        <f>IF(AND(ISNUMBER(S65),D65&gt;'01_Inputs'!$B$96,D65&lt;='01_Inputs'!$B$97),1,0)</f>
        <v>0</v>
      </c>
      <c r="Q65" s="9">
        <f>IF(AND(ISNUMBER(E65),NOT(ISNUMBER(E64))),"확인","")</f>
      </c>
      <c r="R65" s="9" t="str">
        <f>IF(E65="중복 입력","중복","-")</f>
        <v>-</v>
      </c>
      <c r="S65" s="15">
        <f>IF(AND(ISNUMBER(E65),ISNUMBER(E64)),E65-E64,"")</f>
      </c>
      <c r="T65" s="9">
        <f>IF(ISNUMBER(S65),IF(MONTH(E65)&lt;&gt;MONTH(E64),"월 경계",""),"")</f>
      </c>
      <c r="U65" s="15">
        <f>IF(ISNUMBER(S65),S65*24,"")</f>
      </c>
      <c r="V65" s="15">
        <f>IF(ISNUMBER(S65),MAX(0,(S65-1)*24),"")</f>
      </c>
      <c r="W65" s="15">
        <f>IF(ISNUMBER(S65),(S65+1)*24,"")</f>
      </c>
      <c r="X65" s="15">
        <f>IF(AND(ISNUMBER(E65),ROW()-6&gt;='01_Inputs'!$B$98),IF(ISNUMBER(INDEX($E$6:$E$99,ROW()-6+1-'01_Inputs'!$B$98)),E65-INDEX($E$6:$E$99,ROW()-6+1-'01_Inputs'!$B$98),""),"")</f>
      </c>
      <c r="Y65" s="14">
        <f>IF(ISNUMBER(X65),(X65+1)*24/'01_Inputs'!$B$98,"")</f>
      </c>
      <c r="Z65" s="9">
        <f>IF(ISNUMBER(Y65),IF(Y65&lt;('01_Inputs'!$B$15+'01_Inputs'!$B$16+N('01_Inputs'!$B$22)),"확인 필요: 점유 하한 미만",""),"")</f>
      </c>
    </row>
    <row r="66">
      <c r="A66" s="9" t="n">
        <v>61</v>
      </c>
      <c r="B66" s="9" t="inlineStr">
        <is>
          <t>P3 달력 입력</t>
        </is>
      </c>
      <c r="C66" s="9" t="inlineStr">
        <is>
          <t>P3_과거Batch_2026 달력</t>
        </is>
      </c>
      <c r="D66" s="3" t="n">
        <v>97</v>
      </c>
      <c r="E66" s="24">
        <f>IF(COUNTIF('P3_과거Batch_2026'!$C$6:$AG$13,D66)=0,"",IF(COUNTIF('P3_과거Batch_2026'!$C$6:$AG$13,D66)&gt;1,"중복 입력",SUMPRODUCT(('P3_과거Batch_2026'!$C$6:$AG$13=D66)*DATE('01_Inputs'!$B$100,ROW('P3_과거Batch_2026'!$C$6:$AG$13)-ROW('P3_과거Batch_2026'!$C$6)+5,COLUMN('P3_과거Batch_2026'!$C$6:$AG$13)-COLUMN('P3_과거Batch_2026'!$C$6)+1))))</f>
      </c>
      <c r="F66" s="5" t="n"/>
      <c r="G66" s="5" t="n"/>
      <c r="H66" s="9" t="inlineStr">
        <is>
          <t>생산계획 (원자료) — 실적 미검증</t>
        </is>
      </c>
      <c r="I66" s="3" t="n"/>
      <c r="J66" s="5" t="n"/>
      <c r="K66" s="3" t="inlineStr">
        <is>
          <t>-</t>
        </is>
      </c>
      <c r="L66" s="3" t="n"/>
      <c r="M66" s="23" t="n"/>
      <c r="N66" s="9">
        <f>IF(ISNUMBER(E66),"신규 입력","")</f>
      </c>
      <c r="O66" s="9">
        <f>IF(ISNUMBER(E66),MONTH(E66),"")</f>
      </c>
      <c r="P66" s="9">
        <f>IF(AND(ISNUMBER(S66),D66&gt;'01_Inputs'!$B$96,D66&lt;='01_Inputs'!$B$97),1,0)</f>
        <v>0</v>
      </c>
      <c r="Q66" s="9">
        <f>IF(AND(ISNUMBER(E66),NOT(ISNUMBER(E65))),"확인","")</f>
      </c>
      <c r="R66" s="9" t="str">
        <f>IF(E66="중복 입력","중복","-")</f>
        <v>-</v>
      </c>
      <c r="S66" s="15">
        <f>IF(AND(ISNUMBER(E66),ISNUMBER(E65)),E66-E65,"")</f>
      </c>
      <c r="T66" s="9">
        <f>IF(ISNUMBER(S66),IF(MONTH(E66)&lt;&gt;MONTH(E65),"월 경계",""),"")</f>
      </c>
      <c r="U66" s="15">
        <f>IF(ISNUMBER(S66),S66*24,"")</f>
      </c>
      <c r="V66" s="15">
        <f>IF(ISNUMBER(S66),MAX(0,(S66-1)*24),"")</f>
      </c>
      <c r="W66" s="15">
        <f>IF(ISNUMBER(S66),(S66+1)*24,"")</f>
      </c>
      <c r="X66" s="15">
        <f>IF(AND(ISNUMBER(E66),ROW()-6&gt;='01_Inputs'!$B$98),IF(ISNUMBER(INDEX($E$6:$E$99,ROW()-6+1-'01_Inputs'!$B$98)),E66-INDEX($E$6:$E$99,ROW()-6+1-'01_Inputs'!$B$98),""),"")</f>
      </c>
      <c r="Y66" s="14">
        <f>IF(ISNUMBER(X66),(X66+1)*24/'01_Inputs'!$B$98,"")</f>
      </c>
      <c r="Z66" s="9">
        <f>IF(ISNUMBER(Y66),IF(Y66&lt;('01_Inputs'!$B$15+'01_Inputs'!$B$16+N('01_Inputs'!$B$22)),"확인 필요: 점유 하한 미만",""),"")</f>
      </c>
    </row>
    <row r="67">
      <c r="A67" s="9" t="n">
        <v>62</v>
      </c>
      <c r="B67" s="9" t="inlineStr">
        <is>
          <t>P3 달력 입력</t>
        </is>
      </c>
      <c r="C67" s="9" t="inlineStr">
        <is>
          <t>P3_과거Batch_2026 달력</t>
        </is>
      </c>
      <c r="D67" s="3" t="n">
        <v>98</v>
      </c>
      <c r="E67" s="24">
        <f>IF(COUNTIF('P3_과거Batch_2026'!$C$6:$AG$13,D67)=0,"",IF(COUNTIF('P3_과거Batch_2026'!$C$6:$AG$13,D67)&gt;1,"중복 입력",SUMPRODUCT(('P3_과거Batch_2026'!$C$6:$AG$13=D67)*DATE('01_Inputs'!$B$100,ROW('P3_과거Batch_2026'!$C$6:$AG$13)-ROW('P3_과거Batch_2026'!$C$6)+5,COLUMN('P3_과거Batch_2026'!$C$6:$AG$13)-COLUMN('P3_과거Batch_2026'!$C$6)+1))))</f>
      </c>
      <c r="F67" s="5" t="n"/>
      <c r="G67" s="5" t="n"/>
      <c r="H67" s="9" t="inlineStr">
        <is>
          <t>생산계획 (원자료) — 실적 미검증</t>
        </is>
      </c>
      <c r="I67" s="3" t="n"/>
      <c r="J67" s="5" t="n"/>
      <c r="K67" s="3" t="inlineStr">
        <is>
          <t>-</t>
        </is>
      </c>
      <c r="L67" s="3" t="n"/>
      <c r="M67" s="23" t="n"/>
      <c r="N67" s="9">
        <f>IF(ISNUMBER(E67),"신규 입력","")</f>
      </c>
      <c r="O67" s="9">
        <f>IF(ISNUMBER(E67),MONTH(E67),"")</f>
      </c>
      <c r="P67" s="9">
        <f>IF(AND(ISNUMBER(S67),D67&gt;'01_Inputs'!$B$96,D67&lt;='01_Inputs'!$B$97),1,0)</f>
        <v>0</v>
      </c>
      <c r="Q67" s="9">
        <f>IF(AND(ISNUMBER(E67),NOT(ISNUMBER(E66))),"확인","")</f>
      </c>
      <c r="R67" s="9" t="str">
        <f>IF(E67="중복 입력","중복","-")</f>
        <v>-</v>
      </c>
      <c r="S67" s="15">
        <f>IF(AND(ISNUMBER(E67),ISNUMBER(E66)),E67-E66,"")</f>
      </c>
      <c r="T67" s="9">
        <f>IF(ISNUMBER(S67),IF(MONTH(E67)&lt;&gt;MONTH(E66),"월 경계",""),"")</f>
      </c>
      <c r="U67" s="15">
        <f>IF(ISNUMBER(S67),S67*24,"")</f>
      </c>
      <c r="V67" s="15">
        <f>IF(ISNUMBER(S67),MAX(0,(S67-1)*24),"")</f>
      </c>
      <c r="W67" s="15">
        <f>IF(ISNUMBER(S67),(S67+1)*24,"")</f>
      </c>
      <c r="X67" s="15">
        <f>IF(AND(ISNUMBER(E67),ROW()-6&gt;='01_Inputs'!$B$98),IF(ISNUMBER(INDEX($E$6:$E$99,ROW()-6+1-'01_Inputs'!$B$98)),E67-INDEX($E$6:$E$99,ROW()-6+1-'01_Inputs'!$B$98),""),"")</f>
      </c>
      <c r="Y67" s="14">
        <f>IF(ISNUMBER(X67),(X67+1)*24/'01_Inputs'!$B$98,"")</f>
      </c>
      <c r="Z67" s="9">
        <f>IF(ISNUMBER(Y67),IF(Y67&lt;('01_Inputs'!$B$15+'01_Inputs'!$B$16+N('01_Inputs'!$B$22)),"확인 필요: 점유 하한 미만",""),"")</f>
      </c>
    </row>
    <row r="68">
      <c r="A68" s="9" t="n">
        <v>63</v>
      </c>
      <c r="B68" s="9" t="inlineStr">
        <is>
          <t>P3 달력 입력</t>
        </is>
      </c>
      <c r="C68" s="9" t="inlineStr">
        <is>
          <t>P3_과거Batch_2026 달력</t>
        </is>
      </c>
      <c r="D68" s="3" t="n">
        <v>99</v>
      </c>
      <c r="E68" s="24">
        <f>IF(COUNTIF('P3_과거Batch_2026'!$C$6:$AG$13,D68)=0,"",IF(COUNTIF('P3_과거Batch_2026'!$C$6:$AG$13,D68)&gt;1,"중복 입력",SUMPRODUCT(('P3_과거Batch_2026'!$C$6:$AG$13=D68)*DATE('01_Inputs'!$B$100,ROW('P3_과거Batch_2026'!$C$6:$AG$13)-ROW('P3_과거Batch_2026'!$C$6)+5,COLUMN('P3_과거Batch_2026'!$C$6:$AG$13)-COLUMN('P3_과거Batch_2026'!$C$6)+1))))</f>
      </c>
      <c r="F68" s="5" t="n"/>
      <c r="G68" s="5" t="n"/>
      <c r="H68" s="9" t="inlineStr">
        <is>
          <t>생산계획 (원자료) — 실적 미검증</t>
        </is>
      </c>
      <c r="I68" s="3" t="n"/>
      <c r="J68" s="5" t="n"/>
      <c r="K68" s="3" t="inlineStr">
        <is>
          <t>-</t>
        </is>
      </c>
      <c r="L68" s="3" t="n"/>
      <c r="M68" s="23" t="n"/>
      <c r="N68" s="9">
        <f>IF(ISNUMBER(E68),"신규 입력","")</f>
      </c>
      <c r="O68" s="9">
        <f>IF(ISNUMBER(E68),MONTH(E68),"")</f>
      </c>
      <c r="P68" s="9">
        <f>IF(AND(ISNUMBER(S68),D68&gt;'01_Inputs'!$B$96,D68&lt;='01_Inputs'!$B$97),1,0)</f>
        <v>0</v>
      </c>
      <c r="Q68" s="9">
        <f>IF(AND(ISNUMBER(E68),NOT(ISNUMBER(E67))),"확인","")</f>
      </c>
      <c r="R68" s="9" t="str">
        <f>IF(E68="중복 입력","중복","-")</f>
        <v>-</v>
      </c>
      <c r="S68" s="15">
        <f>IF(AND(ISNUMBER(E68),ISNUMBER(E67)),E68-E67,"")</f>
      </c>
      <c r="T68" s="9">
        <f>IF(ISNUMBER(S68),IF(MONTH(E68)&lt;&gt;MONTH(E67),"월 경계",""),"")</f>
      </c>
      <c r="U68" s="15">
        <f>IF(ISNUMBER(S68),S68*24,"")</f>
      </c>
      <c r="V68" s="15">
        <f>IF(ISNUMBER(S68),MAX(0,(S68-1)*24),"")</f>
      </c>
      <c r="W68" s="15">
        <f>IF(ISNUMBER(S68),(S68+1)*24,"")</f>
      </c>
      <c r="X68" s="15">
        <f>IF(AND(ISNUMBER(E68),ROW()-6&gt;='01_Inputs'!$B$98),IF(ISNUMBER(INDEX($E$6:$E$99,ROW()-6+1-'01_Inputs'!$B$98)),E68-INDEX($E$6:$E$99,ROW()-6+1-'01_Inputs'!$B$98),""),"")</f>
      </c>
      <c r="Y68" s="14">
        <f>IF(ISNUMBER(X68),(X68+1)*24/'01_Inputs'!$B$98,"")</f>
      </c>
      <c r="Z68" s="9">
        <f>IF(ISNUMBER(Y68),IF(Y68&lt;('01_Inputs'!$B$15+'01_Inputs'!$B$16+N('01_Inputs'!$B$22)),"확인 필요: 점유 하한 미만",""),"")</f>
      </c>
    </row>
    <row r="69">
      <c r="A69" s="9" t="n">
        <v>64</v>
      </c>
      <c r="B69" s="9" t="inlineStr">
        <is>
          <t>P3 달력 입력</t>
        </is>
      </c>
      <c r="C69" s="9" t="inlineStr">
        <is>
          <t>P3_과거Batch_2026 달력</t>
        </is>
      </c>
      <c r="D69" s="3" t="n">
        <v>100</v>
      </c>
      <c r="E69" s="24">
        <f>IF(COUNTIF('P3_과거Batch_2026'!$C$6:$AG$13,D69)=0,"",IF(COUNTIF('P3_과거Batch_2026'!$C$6:$AG$13,D69)&gt;1,"중복 입력",SUMPRODUCT(('P3_과거Batch_2026'!$C$6:$AG$13=D69)*DATE('01_Inputs'!$B$100,ROW('P3_과거Batch_2026'!$C$6:$AG$13)-ROW('P3_과거Batch_2026'!$C$6)+5,COLUMN('P3_과거Batch_2026'!$C$6:$AG$13)-COLUMN('P3_과거Batch_2026'!$C$6)+1))))</f>
      </c>
      <c r="F69" s="5" t="n"/>
      <c r="G69" s="5" t="n"/>
      <c r="H69" s="9" t="inlineStr">
        <is>
          <t>생산계획 (원자료) — 실적 미검증</t>
        </is>
      </c>
      <c r="I69" s="3" t="n"/>
      <c r="J69" s="5" t="n"/>
      <c r="K69" s="3" t="inlineStr">
        <is>
          <t>-</t>
        </is>
      </c>
      <c r="L69" s="3" t="n"/>
      <c r="M69" s="23" t="n"/>
      <c r="N69" s="9">
        <f>IF(ISNUMBER(E69),"신규 입력","")</f>
      </c>
      <c r="O69" s="9">
        <f>IF(ISNUMBER(E69),MONTH(E69),"")</f>
      </c>
      <c r="P69" s="9">
        <f>IF(AND(ISNUMBER(S69),D69&gt;'01_Inputs'!$B$96,D69&lt;='01_Inputs'!$B$97),1,0)</f>
        <v>0</v>
      </c>
      <c r="Q69" s="9">
        <f>IF(AND(ISNUMBER(E69),NOT(ISNUMBER(E68))),"확인","")</f>
      </c>
      <c r="R69" s="9" t="str">
        <f>IF(E69="중복 입력","중복","-")</f>
        <v>-</v>
      </c>
      <c r="S69" s="15">
        <f>IF(AND(ISNUMBER(E69),ISNUMBER(E68)),E69-E68,"")</f>
      </c>
      <c r="T69" s="9">
        <f>IF(ISNUMBER(S69),IF(MONTH(E69)&lt;&gt;MONTH(E68),"월 경계",""),"")</f>
      </c>
      <c r="U69" s="15">
        <f>IF(ISNUMBER(S69),S69*24,"")</f>
      </c>
      <c r="V69" s="15">
        <f>IF(ISNUMBER(S69),MAX(0,(S69-1)*24),"")</f>
      </c>
      <c r="W69" s="15">
        <f>IF(ISNUMBER(S69),(S69+1)*24,"")</f>
      </c>
      <c r="X69" s="15">
        <f>IF(AND(ISNUMBER(E69),ROW()-6&gt;='01_Inputs'!$B$98),IF(ISNUMBER(INDEX($E$6:$E$99,ROW()-6+1-'01_Inputs'!$B$98)),E69-INDEX($E$6:$E$99,ROW()-6+1-'01_Inputs'!$B$98),""),"")</f>
      </c>
      <c r="Y69" s="14">
        <f>IF(ISNUMBER(X69),(X69+1)*24/'01_Inputs'!$B$98,"")</f>
      </c>
      <c r="Z69" s="9">
        <f>IF(ISNUMBER(Y69),IF(Y69&lt;('01_Inputs'!$B$15+'01_Inputs'!$B$16+N('01_Inputs'!$B$22)),"확인 필요: 점유 하한 미만",""),"")</f>
      </c>
    </row>
    <row r="70">
      <c r="A70" s="9" t="n">
        <v>65</v>
      </c>
      <c r="B70" s="9" t="inlineStr">
        <is>
          <t>P3 달력 입력</t>
        </is>
      </c>
      <c r="C70" s="9" t="inlineStr">
        <is>
          <t>P3_과거Batch_2026 달력</t>
        </is>
      </c>
      <c r="D70" s="3" t="n">
        <v>101</v>
      </c>
      <c r="E70" s="24">
        <f>IF(COUNTIF('P3_과거Batch_2026'!$C$6:$AG$13,D70)=0,"",IF(COUNTIF('P3_과거Batch_2026'!$C$6:$AG$13,D70)&gt;1,"중복 입력",SUMPRODUCT(('P3_과거Batch_2026'!$C$6:$AG$13=D70)*DATE('01_Inputs'!$B$100,ROW('P3_과거Batch_2026'!$C$6:$AG$13)-ROW('P3_과거Batch_2026'!$C$6)+5,COLUMN('P3_과거Batch_2026'!$C$6:$AG$13)-COLUMN('P3_과거Batch_2026'!$C$6)+1))))</f>
      </c>
      <c r="F70" s="5" t="n"/>
      <c r="G70" s="5" t="n"/>
      <c r="H70" s="9" t="inlineStr">
        <is>
          <t>생산계획 (원자료) — 실적 미검증</t>
        </is>
      </c>
      <c r="I70" s="3" t="n"/>
      <c r="J70" s="5" t="n"/>
      <c r="K70" s="3" t="inlineStr">
        <is>
          <t>-</t>
        </is>
      </c>
      <c r="L70" s="3" t="n"/>
      <c r="M70" s="23" t="n"/>
      <c r="N70" s="9">
        <f>IF(ISNUMBER(E70),"신규 입력","")</f>
      </c>
      <c r="O70" s="9">
        <f>IF(ISNUMBER(E70),MONTH(E70),"")</f>
      </c>
      <c r="P70" s="9">
        <f>IF(AND(ISNUMBER(S70),D70&gt;'01_Inputs'!$B$96,D70&lt;='01_Inputs'!$B$97),1,0)</f>
        <v>0</v>
      </c>
      <c r="Q70" s="9">
        <f>IF(AND(ISNUMBER(E70),NOT(ISNUMBER(E69))),"확인","")</f>
      </c>
      <c r="R70" s="9" t="str">
        <f>IF(E70="중복 입력","중복","-")</f>
        <v>-</v>
      </c>
      <c r="S70" s="15">
        <f>IF(AND(ISNUMBER(E70),ISNUMBER(E69)),E70-E69,"")</f>
      </c>
      <c r="T70" s="9">
        <f>IF(ISNUMBER(S70),IF(MONTH(E70)&lt;&gt;MONTH(E69),"월 경계",""),"")</f>
      </c>
      <c r="U70" s="15">
        <f>IF(ISNUMBER(S70),S70*24,"")</f>
      </c>
      <c r="V70" s="15">
        <f>IF(ISNUMBER(S70),MAX(0,(S70-1)*24),"")</f>
      </c>
      <c r="W70" s="15">
        <f>IF(ISNUMBER(S70),(S70+1)*24,"")</f>
      </c>
      <c r="X70" s="15">
        <f>IF(AND(ISNUMBER(E70),ROW()-6&gt;='01_Inputs'!$B$98),IF(ISNUMBER(INDEX($E$6:$E$99,ROW()-6+1-'01_Inputs'!$B$98)),E70-INDEX($E$6:$E$99,ROW()-6+1-'01_Inputs'!$B$98),""),"")</f>
      </c>
      <c r="Y70" s="14">
        <f>IF(ISNUMBER(X70),(X70+1)*24/'01_Inputs'!$B$98,"")</f>
      </c>
      <c r="Z70" s="9">
        <f>IF(ISNUMBER(Y70),IF(Y70&lt;('01_Inputs'!$B$15+'01_Inputs'!$B$16+N('01_Inputs'!$B$22)),"확인 필요: 점유 하한 미만",""),"")</f>
      </c>
    </row>
    <row r="71">
      <c r="A71" s="9" t="n">
        <v>66</v>
      </c>
      <c r="B71" s="9" t="inlineStr">
        <is>
          <t>P3 달력 입력</t>
        </is>
      </c>
      <c r="C71" s="9" t="inlineStr">
        <is>
          <t>P3_과거Batch_2026 달력</t>
        </is>
      </c>
      <c r="D71" s="3" t="n">
        <v>102</v>
      </c>
      <c r="E71" s="24">
        <f>IF(COUNTIF('P3_과거Batch_2026'!$C$6:$AG$13,D71)=0,"",IF(COUNTIF('P3_과거Batch_2026'!$C$6:$AG$13,D71)&gt;1,"중복 입력",SUMPRODUCT(('P3_과거Batch_2026'!$C$6:$AG$13=D71)*DATE('01_Inputs'!$B$100,ROW('P3_과거Batch_2026'!$C$6:$AG$13)-ROW('P3_과거Batch_2026'!$C$6)+5,COLUMN('P3_과거Batch_2026'!$C$6:$AG$13)-COLUMN('P3_과거Batch_2026'!$C$6)+1))))</f>
      </c>
      <c r="F71" s="5" t="n"/>
      <c r="G71" s="5" t="n"/>
      <c r="H71" s="9" t="inlineStr">
        <is>
          <t>생산계획 (원자료) — 실적 미검증</t>
        </is>
      </c>
      <c r="I71" s="3" t="n"/>
      <c r="J71" s="5" t="n"/>
      <c r="K71" s="3" t="inlineStr">
        <is>
          <t>-</t>
        </is>
      </c>
      <c r="L71" s="3" t="n"/>
      <c r="M71" s="23" t="n"/>
      <c r="N71" s="9">
        <f>IF(ISNUMBER(E71),"신규 입력","")</f>
      </c>
      <c r="O71" s="9">
        <f>IF(ISNUMBER(E71),MONTH(E71),"")</f>
      </c>
      <c r="P71" s="9">
        <f>IF(AND(ISNUMBER(S71),D71&gt;'01_Inputs'!$B$96,D71&lt;='01_Inputs'!$B$97),1,0)</f>
        <v>0</v>
      </c>
      <c r="Q71" s="9">
        <f>IF(AND(ISNUMBER(E71),NOT(ISNUMBER(E70))),"확인","")</f>
      </c>
      <c r="R71" s="9" t="str">
        <f>IF(E71="중복 입력","중복","-")</f>
        <v>-</v>
      </c>
      <c r="S71" s="15">
        <f>IF(AND(ISNUMBER(E71),ISNUMBER(E70)),E71-E70,"")</f>
      </c>
      <c r="T71" s="9">
        <f>IF(ISNUMBER(S71),IF(MONTH(E71)&lt;&gt;MONTH(E70),"월 경계",""),"")</f>
      </c>
      <c r="U71" s="15">
        <f>IF(ISNUMBER(S71),S71*24,"")</f>
      </c>
      <c r="V71" s="15">
        <f>IF(ISNUMBER(S71),MAX(0,(S71-1)*24),"")</f>
      </c>
      <c r="W71" s="15">
        <f>IF(ISNUMBER(S71),(S71+1)*24,"")</f>
      </c>
      <c r="X71" s="15">
        <f>IF(AND(ISNUMBER(E71),ROW()-6&gt;='01_Inputs'!$B$98),IF(ISNUMBER(INDEX($E$6:$E$99,ROW()-6+1-'01_Inputs'!$B$98)),E71-INDEX($E$6:$E$99,ROW()-6+1-'01_Inputs'!$B$98),""),"")</f>
      </c>
      <c r="Y71" s="14">
        <f>IF(ISNUMBER(X71),(X71+1)*24/'01_Inputs'!$B$98,"")</f>
      </c>
      <c r="Z71" s="9">
        <f>IF(ISNUMBER(Y71),IF(Y71&lt;('01_Inputs'!$B$15+'01_Inputs'!$B$16+N('01_Inputs'!$B$22)),"확인 필요: 점유 하한 미만",""),"")</f>
      </c>
    </row>
    <row r="72">
      <c r="A72" s="9" t="n">
        <v>67</v>
      </c>
      <c r="B72" s="9" t="inlineStr">
        <is>
          <t>P3 달력 입력</t>
        </is>
      </c>
      <c r="C72" s="9" t="inlineStr">
        <is>
          <t>P3_과거Batch_2026 달력</t>
        </is>
      </c>
      <c r="D72" s="3" t="n">
        <v>103</v>
      </c>
      <c r="E72" s="24">
        <f>IF(COUNTIF('P3_과거Batch_2026'!$C$6:$AG$13,D72)=0,"",IF(COUNTIF('P3_과거Batch_2026'!$C$6:$AG$13,D72)&gt;1,"중복 입력",SUMPRODUCT(('P3_과거Batch_2026'!$C$6:$AG$13=D72)*DATE('01_Inputs'!$B$100,ROW('P3_과거Batch_2026'!$C$6:$AG$13)-ROW('P3_과거Batch_2026'!$C$6)+5,COLUMN('P3_과거Batch_2026'!$C$6:$AG$13)-COLUMN('P3_과거Batch_2026'!$C$6)+1))))</f>
      </c>
      <c r="F72" s="5" t="n"/>
      <c r="G72" s="5" t="n"/>
      <c r="H72" s="9" t="inlineStr">
        <is>
          <t>생산계획 (원자료) — 실적 미검증</t>
        </is>
      </c>
      <c r="I72" s="3" t="n"/>
      <c r="J72" s="5" t="n"/>
      <c r="K72" s="3" t="inlineStr">
        <is>
          <t>-</t>
        </is>
      </c>
      <c r="L72" s="3" t="n"/>
      <c r="M72" s="23" t="n"/>
      <c r="N72" s="9">
        <f>IF(ISNUMBER(E72),"신규 입력","")</f>
      </c>
      <c r="O72" s="9">
        <f>IF(ISNUMBER(E72),MONTH(E72),"")</f>
      </c>
      <c r="P72" s="9">
        <f>IF(AND(ISNUMBER(S72),D72&gt;'01_Inputs'!$B$96,D72&lt;='01_Inputs'!$B$97),1,0)</f>
        <v>0</v>
      </c>
      <c r="Q72" s="9">
        <f>IF(AND(ISNUMBER(E72),NOT(ISNUMBER(E71))),"확인","")</f>
      </c>
      <c r="R72" s="9" t="str">
        <f>IF(E72="중복 입력","중복","-")</f>
        <v>-</v>
      </c>
      <c r="S72" s="15">
        <f>IF(AND(ISNUMBER(E72),ISNUMBER(E71)),E72-E71,"")</f>
      </c>
      <c r="T72" s="9">
        <f>IF(ISNUMBER(S72),IF(MONTH(E72)&lt;&gt;MONTH(E71),"월 경계",""),"")</f>
      </c>
      <c r="U72" s="15">
        <f>IF(ISNUMBER(S72),S72*24,"")</f>
      </c>
      <c r="V72" s="15">
        <f>IF(ISNUMBER(S72),MAX(0,(S72-1)*24),"")</f>
      </c>
      <c r="W72" s="15">
        <f>IF(ISNUMBER(S72),(S72+1)*24,"")</f>
      </c>
      <c r="X72" s="15">
        <f>IF(AND(ISNUMBER(E72),ROW()-6&gt;='01_Inputs'!$B$98),IF(ISNUMBER(INDEX($E$6:$E$99,ROW()-6+1-'01_Inputs'!$B$98)),E72-INDEX($E$6:$E$99,ROW()-6+1-'01_Inputs'!$B$98),""),"")</f>
      </c>
      <c r="Y72" s="14">
        <f>IF(ISNUMBER(X72),(X72+1)*24/'01_Inputs'!$B$98,"")</f>
      </c>
      <c r="Z72" s="9">
        <f>IF(ISNUMBER(Y72),IF(Y72&lt;('01_Inputs'!$B$15+'01_Inputs'!$B$16+N('01_Inputs'!$B$22)),"확인 필요: 점유 하한 미만",""),"")</f>
      </c>
    </row>
    <row r="73">
      <c r="A73" s="9" t="n">
        <v>68</v>
      </c>
      <c r="B73" s="9" t="inlineStr">
        <is>
          <t>P3 달력 입력</t>
        </is>
      </c>
      <c r="C73" s="9" t="inlineStr">
        <is>
          <t>P3_과거Batch_2026 달력</t>
        </is>
      </c>
      <c r="D73" s="3" t="n">
        <v>104</v>
      </c>
      <c r="E73" s="24">
        <f>IF(COUNTIF('P3_과거Batch_2026'!$C$6:$AG$13,D73)=0,"",IF(COUNTIF('P3_과거Batch_2026'!$C$6:$AG$13,D73)&gt;1,"중복 입력",SUMPRODUCT(('P3_과거Batch_2026'!$C$6:$AG$13=D73)*DATE('01_Inputs'!$B$100,ROW('P3_과거Batch_2026'!$C$6:$AG$13)-ROW('P3_과거Batch_2026'!$C$6)+5,COLUMN('P3_과거Batch_2026'!$C$6:$AG$13)-COLUMN('P3_과거Batch_2026'!$C$6)+1))))</f>
      </c>
      <c r="F73" s="5" t="n"/>
      <c r="G73" s="5" t="n"/>
      <c r="H73" s="9" t="inlineStr">
        <is>
          <t>생산계획 (원자료) — 실적 미검증</t>
        </is>
      </c>
      <c r="I73" s="3" t="n"/>
      <c r="J73" s="5" t="n"/>
      <c r="K73" s="3" t="inlineStr">
        <is>
          <t>-</t>
        </is>
      </c>
      <c r="L73" s="3" t="n"/>
      <c r="M73" s="23" t="n"/>
      <c r="N73" s="9">
        <f>IF(ISNUMBER(E73),"신규 입력","")</f>
      </c>
      <c r="O73" s="9">
        <f>IF(ISNUMBER(E73),MONTH(E73),"")</f>
      </c>
      <c r="P73" s="9">
        <f>IF(AND(ISNUMBER(S73),D73&gt;'01_Inputs'!$B$96,D73&lt;='01_Inputs'!$B$97),1,0)</f>
        <v>0</v>
      </c>
      <c r="Q73" s="9">
        <f>IF(AND(ISNUMBER(E73),NOT(ISNUMBER(E72))),"확인","")</f>
      </c>
      <c r="R73" s="9" t="str">
        <f>IF(E73="중복 입력","중복","-")</f>
        <v>-</v>
      </c>
      <c r="S73" s="15">
        <f>IF(AND(ISNUMBER(E73),ISNUMBER(E72)),E73-E72,"")</f>
      </c>
      <c r="T73" s="9">
        <f>IF(ISNUMBER(S73),IF(MONTH(E73)&lt;&gt;MONTH(E72),"월 경계",""),"")</f>
      </c>
      <c r="U73" s="15">
        <f>IF(ISNUMBER(S73),S73*24,"")</f>
      </c>
      <c r="V73" s="15">
        <f>IF(ISNUMBER(S73),MAX(0,(S73-1)*24),"")</f>
      </c>
      <c r="W73" s="15">
        <f>IF(ISNUMBER(S73),(S73+1)*24,"")</f>
      </c>
      <c r="X73" s="15">
        <f>IF(AND(ISNUMBER(E73),ROW()-6&gt;='01_Inputs'!$B$98),IF(ISNUMBER(INDEX($E$6:$E$99,ROW()-6+1-'01_Inputs'!$B$98)),E73-INDEX($E$6:$E$99,ROW()-6+1-'01_Inputs'!$B$98),""),"")</f>
      </c>
      <c r="Y73" s="14">
        <f>IF(ISNUMBER(X73),(X73+1)*24/'01_Inputs'!$B$98,"")</f>
      </c>
      <c r="Z73" s="9">
        <f>IF(ISNUMBER(Y73),IF(Y73&lt;('01_Inputs'!$B$15+'01_Inputs'!$B$16+N('01_Inputs'!$B$22)),"확인 필요: 점유 하한 미만",""),"")</f>
      </c>
    </row>
    <row r="74">
      <c r="A74" s="9" t="n">
        <v>69</v>
      </c>
      <c r="B74" s="9" t="inlineStr">
        <is>
          <t>P3 달력 입력</t>
        </is>
      </c>
      <c r="C74" s="9" t="inlineStr">
        <is>
          <t>P3_과거Batch_2026 달력</t>
        </is>
      </c>
      <c r="D74" s="3" t="n">
        <v>105</v>
      </c>
      <c r="E74" s="24">
        <f>IF(COUNTIF('P3_과거Batch_2026'!$C$6:$AG$13,D74)=0,"",IF(COUNTIF('P3_과거Batch_2026'!$C$6:$AG$13,D74)&gt;1,"중복 입력",SUMPRODUCT(('P3_과거Batch_2026'!$C$6:$AG$13=D74)*DATE('01_Inputs'!$B$100,ROW('P3_과거Batch_2026'!$C$6:$AG$13)-ROW('P3_과거Batch_2026'!$C$6)+5,COLUMN('P3_과거Batch_2026'!$C$6:$AG$13)-COLUMN('P3_과거Batch_2026'!$C$6)+1))))</f>
      </c>
      <c r="F74" s="5" t="n"/>
      <c r="G74" s="5" t="n"/>
      <c r="H74" s="9" t="inlineStr">
        <is>
          <t>생산계획 (원자료) — 실적 미검증</t>
        </is>
      </c>
      <c r="I74" s="3" t="n"/>
      <c r="J74" s="5" t="n"/>
      <c r="K74" s="3" t="inlineStr">
        <is>
          <t>-</t>
        </is>
      </c>
      <c r="L74" s="3" t="n"/>
      <c r="M74" s="23" t="n"/>
      <c r="N74" s="9">
        <f>IF(ISNUMBER(E74),"신규 입력","")</f>
      </c>
      <c r="O74" s="9">
        <f>IF(ISNUMBER(E74),MONTH(E74),"")</f>
      </c>
      <c r="P74" s="9">
        <f>IF(AND(ISNUMBER(S74),D74&gt;'01_Inputs'!$B$96,D74&lt;='01_Inputs'!$B$97),1,0)</f>
        <v>0</v>
      </c>
      <c r="Q74" s="9">
        <f>IF(AND(ISNUMBER(E74),NOT(ISNUMBER(E73))),"확인","")</f>
      </c>
      <c r="R74" s="9" t="str">
        <f>IF(E74="중복 입력","중복","-")</f>
        <v>-</v>
      </c>
      <c r="S74" s="15">
        <f>IF(AND(ISNUMBER(E74),ISNUMBER(E73)),E74-E73,"")</f>
      </c>
      <c r="T74" s="9">
        <f>IF(ISNUMBER(S74),IF(MONTH(E74)&lt;&gt;MONTH(E73),"월 경계",""),"")</f>
      </c>
      <c r="U74" s="15">
        <f>IF(ISNUMBER(S74),S74*24,"")</f>
      </c>
      <c r="V74" s="15">
        <f>IF(ISNUMBER(S74),MAX(0,(S74-1)*24),"")</f>
      </c>
      <c r="W74" s="15">
        <f>IF(ISNUMBER(S74),(S74+1)*24,"")</f>
      </c>
      <c r="X74" s="15">
        <f>IF(AND(ISNUMBER(E74),ROW()-6&gt;='01_Inputs'!$B$98),IF(ISNUMBER(INDEX($E$6:$E$99,ROW()-6+1-'01_Inputs'!$B$98)),E74-INDEX($E$6:$E$99,ROW()-6+1-'01_Inputs'!$B$98),""),"")</f>
      </c>
      <c r="Y74" s="14">
        <f>IF(ISNUMBER(X74),(X74+1)*24/'01_Inputs'!$B$98,"")</f>
      </c>
      <c r="Z74" s="9">
        <f>IF(ISNUMBER(Y74),IF(Y74&lt;('01_Inputs'!$B$15+'01_Inputs'!$B$16+N('01_Inputs'!$B$22)),"확인 필요: 점유 하한 미만",""),"")</f>
      </c>
    </row>
    <row r="75">
      <c r="A75" s="9" t="n">
        <v>70</v>
      </c>
      <c r="B75" s="9" t="inlineStr">
        <is>
          <t>P3 달력 입력</t>
        </is>
      </c>
      <c r="C75" s="9" t="inlineStr">
        <is>
          <t>P3_과거Batch_2026 달력</t>
        </is>
      </c>
      <c r="D75" s="3" t="n">
        <v>106</v>
      </c>
      <c r="E75" s="24">
        <f>IF(COUNTIF('P3_과거Batch_2026'!$C$6:$AG$13,D75)=0,"",IF(COUNTIF('P3_과거Batch_2026'!$C$6:$AG$13,D75)&gt;1,"중복 입력",SUMPRODUCT(('P3_과거Batch_2026'!$C$6:$AG$13=D75)*DATE('01_Inputs'!$B$100,ROW('P3_과거Batch_2026'!$C$6:$AG$13)-ROW('P3_과거Batch_2026'!$C$6)+5,COLUMN('P3_과거Batch_2026'!$C$6:$AG$13)-COLUMN('P3_과거Batch_2026'!$C$6)+1))))</f>
      </c>
      <c r="F75" s="5" t="n"/>
      <c r="G75" s="5" t="n"/>
      <c r="H75" s="9" t="inlineStr">
        <is>
          <t>생산계획 (원자료) — 실적 미검증</t>
        </is>
      </c>
      <c r="I75" s="3" t="n"/>
      <c r="J75" s="5" t="n"/>
      <c r="K75" s="3" t="inlineStr">
        <is>
          <t>-</t>
        </is>
      </c>
      <c r="L75" s="3" t="n"/>
      <c r="M75" s="23" t="n"/>
      <c r="N75" s="9">
        <f>IF(ISNUMBER(E75),"신규 입력","")</f>
      </c>
      <c r="O75" s="9">
        <f>IF(ISNUMBER(E75),MONTH(E75),"")</f>
      </c>
      <c r="P75" s="9">
        <f>IF(AND(ISNUMBER(S75),D75&gt;'01_Inputs'!$B$96,D75&lt;='01_Inputs'!$B$97),1,0)</f>
        <v>0</v>
      </c>
      <c r="Q75" s="9">
        <f>IF(AND(ISNUMBER(E75),NOT(ISNUMBER(E74))),"확인","")</f>
      </c>
      <c r="R75" s="9" t="str">
        <f>IF(E75="중복 입력","중복","-")</f>
        <v>-</v>
      </c>
      <c r="S75" s="15">
        <f>IF(AND(ISNUMBER(E75),ISNUMBER(E74)),E75-E74,"")</f>
      </c>
      <c r="T75" s="9">
        <f>IF(ISNUMBER(S75),IF(MONTH(E75)&lt;&gt;MONTH(E74),"월 경계",""),"")</f>
      </c>
      <c r="U75" s="15">
        <f>IF(ISNUMBER(S75),S75*24,"")</f>
      </c>
      <c r="V75" s="15">
        <f>IF(ISNUMBER(S75),MAX(0,(S75-1)*24),"")</f>
      </c>
      <c r="W75" s="15">
        <f>IF(ISNUMBER(S75),(S75+1)*24,"")</f>
      </c>
      <c r="X75" s="15">
        <f>IF(AND(ISNUMBER(E75),ROW()-6&gt;='01_Inputs'!$B$98),IF(ISNUMBER(INDEX($E$6:$E$99,ROW()-6+1-'01_Inputs'!$B$98)),E75-INDEX($E$6:$E$99,ROW()-6+1-'01_Inputs'!$B$98),""),"")</f>
      </c>
      <c r="Y75" s="14">
        <f>IF(ISNUMBER(X75),(X75+1)*24/'01_Inputs'!$B$98,"")</f>
      </c>
      <c r="Z75" s="9">
        <f>IF(ISNUMBER(Y75),IF(Y75&lt;('01_Inputs'!$B$15+'01_Inputs'!$B$16+N('01_Inputs'!$B$22)),"확인 필요: 점유 하한 미만",""),"")</f>
      </c>
    </row>
    <row r="76">
      <c r="A76" s="9" t="n">
        <v>71</v>
      </c>
      <c r="B76" s="9" t="inlineStr">
        <is>
          <t>P3 달력 입력</t>
        </is>
      </c>
      <c r="C76" s="9" t="inlineStr">
        <is>
          <t>P3_과거Batch_2026 달력</t>
        </is>
      </c>
      <c r="D76" s="3" t="n">
        <v>107</v>
      </c>
      <c r="E76" s="24">
        <f>IF(COUNTIF('P3_과거Batch_2026'!$C$6:$AG$13,D76)=0,"",IF(COUNTIF('P3_과거Batch_2026'!$C$6:$AG$13,D76)&gt;1,"중복 입력",SUMPRODUCT(('P3_과거Batch_2026'!$C$6:$AG$13=D76)*DATE('01_Inputs'!$B$100,ROW('P3_과거Batch_2026'!$C$6:$AG$13)-ROW('P3_과거Batch_2026'!$C$6)+5,COLUMN('P3_과거Batch_2026'!$C$6:$AG$13)-COLUMN('P3_과거Batch_2026'!$C$6)+1))))</f>
      </c>
      <c r="F76" s="5" t="n"/>
      <c r="G76" s="5" t="n"/>
      <c r="H76" s="9" t="inlineStr">
        <is>
          <t>생산계획 (원자료) — 실적 미검증</t>
        </is>
      </c>
      <c r="I76" s="3" t="n"/>
      <c r="J76" s="5" t="n"/>
      <c r="K76" s="3" t="inlineStr">
        <is>
          <t>-</t>
        </is>
      </c>
      <c r="L76" s="3" t="n"/>
      <c r="M76" s="23" t="n"/>
      <c r="N76" s="9">
        <f>IF(ISNUMBER(E76),"신규 입력","")</f>
      </c>
      <c r="O76" s="9">
        <f>IF(ISNUMBER(E76),MONTH(E76),"")</f>
      </c>
      <c r="P76" s="9">
        <f>IF(AND(ISNUMBER(S76),D76&gt;'01_Inputs'!$B$96,D76&lt;='01_Inputs'!$B$97),1,0)</f>
        <v>0</v>
      </c>
      <c r="Q76" s="9">
        <f>IF(AND(ISNUMBER(E76),NOT(ISNUMBER(E75))),"확인","")</f>
      </c>
      <c r="R76" s="9" t="str">
        <f>IF(E76="중복 입력","중복","-")</f>
        <v>-</v>
      </c>
      <c r="S76" s="15">
        <f>IF(AND(ISNUMBER(E76),ISNUMBER(E75)),E76-E75,"")</f>
      </c>
      <c r="T76" s="9">
        <f>IF(ISNUMBER(S76),IF(MONTH(E76)&lt;&gt;MONTH(E75),"월 경계",""),"")</f>
      </c>
      <c r="U76" s="15">
        <f>IF(ISNUMBER(S76),S76*24,"")</f>
      </c>
      <c r="V76" s="15">
        <f>IF(ISNUMBER(S76),MAX(0,(S76-1)*24),"")</f>
      </c>
      <c r="W76" s="15">
        <f>IF(ISNUMBER(S76),(S76+1)*24,"")</f>
      </c>
      <c r="X76" s="15">
        <f>IF(AND(ISNUMBER(E76),ROW()-6&gt;='01_Inputs'!$B$98),IF(ISNUMBER(INDEX($E$6:$E$99,ROW()-6+1-'01_Inputs'!$B$98)),E76-INDEX($E$6:$E$99,ROW()-6+1-'01_Inputs'!$B$98),""),"")</f>
      </c>
      <c r="Y76" s="14">
        <f>IF(ISNUMBER(X76),(X76+1)*24/'01_Inputs'!$B$98,"")</f>
      </c>
      <c r="Z76" s="9">
        <f>IF(ISNUMBER(Y76),IF(Y76&lt;('01_Inputs'!$B$15+'01_Inputs'!$B$16+N('01_Inputs'!$B$22)),"확인 필요: 점유 하한 미만",""),"")</f>
      </c>
    </row>
    <row r="77">
      <c r="A77" s="9" t="n">
        <v>72</v>
      </c>
      <c r="B77" s="9" t="inlineStr">
        <is>
          <t>P3 달력 입력</t>
        </is>
      </c>
      <c r="C77" s="9" t="inlineStr">
        <is>
          <t>P3_과거Batch_2026 달력</t>
        </is>
      </c>
      <c r="D77" s="3" t="n">
        <v>108</v>
      </c>
      <c r="E77" s="24">
        <f>IF(COUNTIF('P3_과거Batch_2026'!$C$6:$AG$13,D77)=0,"",IF(COUNTIF('P3_과거Batch_2026'!$C$6:$AG$13,D77)&gt;1,"중복 입력",SUMPRODUCT(('P3_과거Batch_2026'!$C$6:$AG$13=D77)*DATE('01_Inputs'!$B$100,ROW('P3_과거Batch_2026'!$C$6:$AG$13)-ROW('P3_과거Batch_2026'!$C$6)+5,COLUMN('P3_과거Batch_2026'!$C$6:$AG$13)-COLUMN('P3_과거Batch_2026'!$C$6)+1))))</f>
      </c>
      <c r="F77" s="5" t="n"/>
      <c r="G77" s="5" t="n"/>
      <c r="H77" s="9" t="inlineStr">
        <is>
          <t>생산계획 (원자료) — 실적 미검증</t>
        </is>
      </c>
      <c r="I77" s="3" t="n"/>
      <c r="J77" s="5" t="n"/>
      <c r="K77" s="3" t="inlineStr">
        <is>
          <t>-</t>
        </is>
      </c>
      <c r="L77" s="3" t="n"/>
      <c r="M77" s="23" t="n"/>
      <c r="N77" s="9">
        <f>IF(ISNUMBER(E77),"신규 입력","")</f>
      </c>
      <c r="O77" s="9">
        <f>IF(ISNUMBER(E77),MONTH(E77),"")</f>
      </c>
      <c r="P77" s="9">
        <f>IF(AND(ISNUMBER(S77),D77&gt;'01_Inputs'!$B$96,D77&lt;='01_Inputs'!$B$97),1,0)</f>
        <v>0</v>
      </c>
      <c r="Q77" s="9">
        <f>IF(AND(ISNUMBER(E77),NOT(ISNUMBER(E76))),"확인","")</f>
      </c>
      <c r="R77" s="9" t="str">
        <f>IF(E77="중복 입력","중복","-")</f>
        <v>-</v>
      </c>
      <c r="S77" s="15">
        <f>IF(AND(ISNUMBER(E77),ISNUMBER(E76)),E77-E76,"")</f>
      </c>
      <c r="T77" s="9">
        <f>IF(ISNUMBER(S77),IF(MONTH(E77)&lt;&gt;MONTH(E76),"월 경계",""),"")</f>
      </c>
      <c r="U77" s="15">
        <f>IF(ISNUMBER(S77),S77*24,"")</f>
      </c>
      <c r="V77" s="15">
        <f>IF(ISNUMBER(S77),MAX(0,(S77-1)*24),"")</f>
      </c>
      <c r="W77" s="15">
        <f>IF(ISNUMBER(S77),(S77+1)*24,"")</f>
      </c>
      <c r="X77" s="15">
        <f>IF(AND(ISNUMBER(E77),ROW()-6&gt;='01_Inputs'!$B$98),IF(ISNUMBER(INDEX($E$6:$E$99,ROW()-6+1-'01_Inputs'!$B$98)),E77-INDEX($E$6:$E$99,ROW()-6+1-'01_Inputs'!$B$98),""),"")</f>
      </c>
      <c r="Y77" s="14">
        <f>IF(ISNUMBER(X77),(X77+1)*24/'01_Inputs'!$B$98,"")</f>
      </c>
      <c r="Z77" s="9">
        <f>IF(ISNUMBER(Y77),IF(Y77&lt;('01_Inputs'!$B$15+'01_Inputs'!$B$16+N('01_Inputs'!$B$22)),"확인 필요: 점유 하한 미만",""),"")</f>
      </c>
    </row>
    <row r="78">
      <c r="A78" s="9" t="n">
        <v>73</v>
      </c>
      <c r="B78" s="9" t="inlineStr">
        <is>
          <t>P3 달력 입력</t>
        </is>
      </c>
      <c r="C78" s="9" t="inlineStr">
        <is>
          <t>P3_과거Batch_2026 달력</t>
        </is>
      </c>
      <c r="D78" s="3" t="n">
        <v>109</v>
      </c>
      <c r="E78" s="24">
        <f>IF(COUNTIF('P3_과거Batch_2026'!$C$6:$AG$13,D78)=0,"",IF(COUNTIF('P3_과거Batch_2026'!$C$6:$AG$13,D78)&gt;1,"중복 입력",SUMPRODUCT(('P3_과거Batch_2026'!$C$6:$AG$13=D78)*DATE('01_Inputs'!$B$100,ROW('P3_과거Batch_2026'!$C$6:$AG$13)-ROW('P3_과거Batch_2026'!$C$6)+5,COLUMN('P3_과거Batch_2026'!$C$6:$AG$13)-COLUMN('P3_과거Batch_2026'!$C$6)+1))))</f>
      </c>
      <c r="F78" s="5" t="n"/>
      <c r="G78" s="5" t="n"/>
      <c r="H78" s="9" t="inlineStr">
        <is>
          <t>생산계획 (원자료) — 실적 미검증</t>
        </is>
      </c>
      <c r="I78" s="3" t="n"/>
      <c r="J78" s="5" t="n"/>
      <c r="K78" s="3" t="inlineStr">
        <is>
          <t>-</t>
        </is>
      </c>
      <c r="L78" s="3" t="n"/>
      <c r="M78" s="23" t="n"/>
      <c r="N78" s="9">
        <f>IF(ISNUMBER(E78),"신규 입력","")</f>
      </c>
      <c r="O78" s="9">
        <f>IF(ISNUMBER(E78),MONTH(E78),"")</f>
      </c>
      <c r="P78" s="9">
        <f>IF(AND(ISNUMBER(S78),D78&gt;'01_Inputs'!$B$96,D78&lt;='01_Inputs'!$B$97),1,0)</f>
        <v>0</v>
      </c>
      <c r="Q78" s="9">
        <f>IF(AND(ISNUMBER(E78),NOT(ISNUMBER(E77))),"확인","")</f>
      </c>
      <c r="R78" s="9" t="str">
        <f>IF(E78="중복 입력","중복","-")</f>
        <v>-</v>
      </c>
      <c r="S78" s="15">
        <f>IF(AND(ISNUMBER(E78),ISNUMBER(E77)),E78-E77,"")</f>
      </c>
      <c r="T78" s="9">
        <f>IF(ISNUMBER(S78),IF(MONTH(E78)&lt;&gt;MONTH(E77),"월 경계",""),"")</f>
      </c>
      <c r="U78" s="15">
        <f>IF(ISNUMBER(S78),S78*24,"")</f>
      </c>
      <c r="V78" s="15">
        <f>IF(ISNUMBER(S78),MAX(0,(S78-1)*24),"")</f>
      </c>
      <c r="W78" s="15">
        <f>IF(ISNUMBER(S78),(S78+1)*24,"")</f>
      </c>
      <c r="X78" s="15">
        <f>IF(AND(ISNUMBER(E78),ROW()-6&gt;='01_Inputs'!$B$98),IF(ISNUMBER(INDEX($E$6:$E$99,ROW()-6+1-'01_Inputs'!$B$98)),E78-INDEX($E$6:$E$99,ROW()-6+1-'01_Inputs'!$B$98),""),"")</f>
      </c>
      <c r="Y78" s="14">
        <f>IF(ISNUMBER(X78),(X78+1)*24/'01_Inputs'!$B$98,"")</f>
      </c>
      <c r="Z78" s="9">
        <f>IF(ISNUMBER(Y78),IF(Y78&lt;('01_Inputs'!$B$15+'01_Inputs'!$B$16+N('01_Inputs'!$B$22)),"확인 필요: 점유 하한 미만",""),"")</f>
      </c>
    </row>
    <row r="79">
      <c r="A79" s="9" t="n">
        <v>74</v>
      </c>
      <c r="B79" s="9" t="inlineStr">
        <is>
          <t>P3 달력 입력</t>
        </is>
      </c>
      <c r="C79" s="9" t="inlineStr">
        <is>
          <t>P3_과거Batch_2026 달력</t>
        </is>
      </c>
      <c r="D79" s="3" t="n">
        <v>110</v>
      </c>
      <c r="E79" s="24">
        <f>IF(COUNTIF('P3_과거Batch_2026'!$C$6:$AG$13,D79)=0,"",IF(COUNTIF('P3_과거Batch_2026'!$C$6:$AG$13,D79)&gt;1,"중복 입력",SUMPRODUCT(('P3_과거Batch_2026'!$C$6:$AG$13=D79)*DATE('01_Inputs'!$B$100,ROW('P3_과거Batch_2026'!$C$6:$AG$13)-ROW('P3_과거Batch_2026'!$C$6)+5,COLUMN('P3_과거Batch_2026'!$C$6:$AG$13)-COLUMN('P3_과거Batch_2026'!$C$6)+1))))</f>
      </c>
      <c r="F79" s="5" t="n"/>
      <c r="G79" s="5" t="n"/>
      <c r="H79" s="9" t="inlineStr">
        <is>
          <t>생산계획 (원자료) — 실적 미검증</t>
        </is>
      </c>
      <c r="I79" s="3" t="n"/>
      <c r="J79" s="5" t="n"/>
      <c r="K79" s="3" t="inlineStr">
        <is>
          <t>-</t>
        </is>
      </c>
      <c r="L79" s="3" t="n"/>
      <c r="M79" s="23" t="n"/>
      <c r="N79" s="9">
        <f>IF(ISNUMBER(E79),"신규 입력","")</f>
      </c>
      <c r="O79" s="9">
        <f>IF(ISNUMBER(E79),MONTH(E79),"")</f>
      </c>
      <c r="P79" s="9">
        <f>IF(AND(ISNUMBER(S79),D79&gt;'01_Inputs'!$B$96,D79&lt;='01_Inputs'!$B$97),1,0)</f>
        <v>0</v>
      </c>
      <c r="Q79" s="9">
        <f>IF(AND(ISNUMBER(E79),NOT(ISNUMBER(E78))),"확인","")</f>
      </c>
      <c r="R79" s="9" t="str">
        <f>IF(E79="중복 입력","중복","-")</f>
        <v>-</v>
      </c>
      <c r="S79" s="15">
        <f>IF(AND(ISNUMBER(E79),ISNUMBER(E78)),E79-E78,"")</f>
      </c>
      <c r="T79" s="9">
        <f>IF(ISNUMBER(S79),IF(MONTH(E79)&lt;&gt;MONTH(E78),"월 경계",""),"")</f>
      </c>
      <c r="U79" s="15">
        <f>IF(ISNUMBER(S79),S79*24,"")</f>
      </c>
      <c r="V79" s="15">
        <f>IF(ISNUMBER(S79),MAX(0,(S79-1)*24),"")</f>
      </c>
      <c r="W79" s="15">
        <f>IF(ISNUMBER(S79),(S79+1)*24,"")</f>
      </c>
      <c r="X79" s="15">
        <f>IF(AND(ISNUMBER(E79),ROW()-6&gt;='01_Inputs'!$B$98),IF(ISNUMBER(INDEX($E$6:$E$99,ROW()-6+1-'01_Inputs'!$B$98)),E79-INDEX($E$6:$E$99,ROW()-6+1-'01_Inputs'!$B$98),""),"")</f>
      </c>
      <c r="Y79" s="14">
        <f>IF(ISNUMBER(X79),(X79+1)*24/'01_Inputs'!$B$98,"")</f>
      </c>
      <c r="Z79" s="9">
        <f>IF(ISNUMBER(Y79),IF(Y79&lt;('01_Inputs'!$B$15+'01_Inputs'!$B$16+N('01_Inputs'!$B$22)),"확인 필요: 점유 하한 미만",""),"")</f>
      </c>
    </row>
    <row r="80">
      <c r="A80" s="9" t="n">
        <v>75</v>
      </c>
      <c r="B80" s="9" t="inlineStr">
        <is>
          <t>P3 달력 입력</t>
        </is>
      </c>
      <c r="C80" s="9" t="inlineStr">
        <is>
          <t>P3_과거Batch_2026 달력</t>
        </is>
      </c>
      <c r="D80" s="3" t="n">
        <v>111</v>
      </c>
      <c r="E80" s="24">
        <f>IF(COUNTIF('P3_과거Batch_2026'!$C$6:$AG$13,D80)=0,"",IF(COUNTIF('P3_과거Batch_2026'!$C$6:$AG$13,D80)&gt;1,"중복 입력",SUMPRODUCT(('P3_과거Batch_2026'!$C$6:$AG$13=D80)*DATE('01_Inputs'!$B$100,ROW('P3_과거Batch_2026'!$C$6:$AG$13)-ROW('P3_과거Batch_2026'!$C$6)+5,COLUMN('P3_과거Batch_2026'!$C$6:$AG$13)-COLUMN('P3_과거Batch_2026'!$C$6)+1))))</f>
      </c>
      <c r="F80" s="5" t="n"/>
      <c r="G80" s="5" t="n"/>
      <c r="H80" s="9" t="inlineStr">
        <is>
          <t>생산계획 (원자료) — 실적 미검증</t>
        </is>
      </c>
      <c r="I80" s="3" t="n"/>
      <c r="J80" s="5" t="n"/>
      <c r="K80" s="3" t="inlineStr">
        <is>
          <t>-</t>
        </is>
      </c>
      <c r="L80" s="3" t="n"/>
      <c r="M80" s="23" t="n"/>
      <c r="N80" s="9">
        <f>IF(ISNUMBER(E80),"신규 입력","")</f>
      </c>
      <c r="O80" s="9">
        <f>IF(ISNUMBER(E80),MONTH(E80),"")</f>
      </c>
      <c r="P80" s="9">
        <f>IF(AND(ISNUMBER(S80),D80&gt;'01_Inputs'!$B$96,D80&lt;='01_Inputs'!$B$97),1,0)</f>
        <v>0</v>
      </c>
      <c r="Q80" s="9">
        <f>IF(AND(ISNUMBER(E80),NOT(ISNUMBER(E79))),"확인","")</f>
      </c>
      <c r="R80" s="9" t="str">
        <f>IF(E80="중복 입력","중복","-")</f>
        <v>-</v>
      </c>
      <c r="S80" s="15">
        <f>IF(AND(ISNUMBER(E80),ISNUMBER(E79)),E80-E79,"")</f>
      </c>
      <c r="T80" s="9">
        <f>IF(ISNUMBER(S80),IF(MONTH(E80)&lt;&gt;MONTH(E79),"월 경계",""),"")</f>
      </c>
      <c r="U80" s="15">
        <f>IF(ISNUMBER(S80),S80*24,"")</f>
      </c>
      <c r="V80" s="15">
        <f>IF(ISNUMBER(S80),MAX(0,(S80-1)*24),"")</f>
      </c>
      <c r="W80" s="15">
        <f>IF(ISNUMBER(S80),(S80+1)*24,"")</f>
      </c>
      <c r="X80" s="15">
        <f>IF(AND(ISNUMBER(E80),ROW()-6&gt;='01_Inputs'!$B$98),IF(ISNUMBER(INDEX($E$6:$E$99,ROW()-6+1-'01_Inputs'!$B$98)),E80-INDEX($E$6:$E$99,ROW()-6+1-'01_Inputs'!$B$98),""),"")</f>
      </c>
      <c r="Y80" s="14">
        <f>IF(ISNUMBER(X80),(X80+1)*24/'01_Inputs'!$B$98,"")</f>
      </c>
      <c r="Z80" s="9">
        <f>IF(ISNUMBER(Y80),IF(Y80&lt;('01_Inputs'!$B$15+'01_Inputs'!$B$16+N('01_Inputs'!$B$22)),"확인 필요: 점유 하한 미만",""),"")</f>
      </c>
    </row>
    <row r="81">
      <c r="A81" s="9" t="n">
        <v>76</v>
      </c>
      <c r="B81" s="9" t="inlineStr">
        <is>
          <t>P3 달력 입력</t>
        </is>
      </c>
      <c r="C81" s="9" t="inlineStr">
        <is>
          <t>P3_과거Batch_2026 달력</t>
        </is>
      </c>
      <c r="D81" s="3" t="n">
        <v>112</v>
      </c>
      <c r="E81" s="24">
        <f>IF(COUNTIF('P3_과거Batch_2026'!$C$6:$AG$13,D81)=0,"",IF(COUNTIF('P3_과거Batch_2026'!$C$6:$AG$13,D81)&gt;1,"중복 입력",SUMPRODUCT(('P3_과거Batch_2026'!$C$6:$AG$13=D81)*DATE('01_Inputs'!$B$100,ROW('P3_과거Batch_2026'!$C$6:$AG$13)-ROW('P3_과거Batch_2026'!$C$6)+5,COLUMN('P3_과거Batch_2026'!$C$6:$AG$13)-COLUMN('P3_과거Batch_2026'!$C$6)+1))))</f>
      </c>
      <c r="F81" s="5" t="n"/>
      <c r="G81" s="5" t="n"/>
      <c r="H81" s="9" t="inlineStr">
        <is>
          <t>생산계획 (원자료) — 실적 미검증</t>
        </is>
      </c>
      <c r="I81" s="3" t="n"/>
      <c r="J81" s="5" t="n"/>
      <c r="K81" s="3" t="inlineStr">
        <is>
          <t>-</t>
        </is>
      </c>
      <c r="L81" s="3" t="n"/>
      <c r="M81" s="23" t="n"/>
      <c r="N81" s="9">
        <f>IF(ISNUMBER(E81),"신규 입력","")</f>
      </c>
      <c r="O81" s="9">
        <f>IF(ISNUMBER(E81),MONTH(E81),"")</f>
      </c>
      <c r="P81" s="9">
        <f>IF(AND(ISNUMBER(S81),D81&gt;'01_Inputs'!$B$96,D81&lt;='01_Inputs'!$B$97),1,0)</f>
        <v>0</v>
      </c>
      <c r="Q81" s="9">
        <f>IF(AND(ISNUMBER(E81),NOT(ISNUMBER(E80))),"확인","")</f>
      </c>
      <c r="R81" s="9" t="str">
        <f>IF(E81="중복 입력","중복","-")</f>
        <v>-</v>
      </c>
      <c r="S81" s="15">
        <f>IF(AND(ISNUMBER(E81),ISNUMBER(E80)),E81-E80,"")</f>
      </c>
      <c r="T81" s="9">
        <f>IF(ISNUMBER(S81),IF(MONTH(E81)&lt;&gt;MONTH(E80),"월 경계",""),"")</f>
      </c>
      <c r="U81" s="15">
        <f>IF(ISNUMBER(S81),S81*24,"")</f>
      </c>
      <c r="V81" s="15">
        <f>IF(ISNUMBER(S81),MAX(0,(S81-1)*24),"")</f>
      </c>
      <c r="W81" s="15">
        <f>IF(ISNUMBER(S81),(S81+1)*24,"")</f>
      </c>
      <c r="X81" s="15">
        <f>IF(AND(ISNUMBER(E81),ROW()-6&gt;='01_Inputs'!$B$98),IF(ISNUMBER(INDEX($E$6:$E$99,ROW()-6+1-'01_Inputs'!$B$98)),E81-INDEX($E$6:$E$99,ROW()-6+1-'01_Inputs'!$B$98),""),"")</f>
      </c>
      <c r="Y81" s="14">
        <f>IF(ISNUMBER(X81),(X81+1)*24/'01_Inputs'!$B$98,"")</f>
      </c>
      <c r="Z81" s="9">
        <f>IF(ISNUMBER(Y81),IF(Y81&lt;('01_Inputs'!$B$15+'01_Inputs'!$B$16+N('01_Inputs'!$B$22)),"확인 필요: 점유 하한 미만",""),"")</f>
      </c>
    </row>
    <row r="82">
      <c r="A82" s="9" t="n">
        <v>77</v>
      </c>
      <c r="B82" s="9" t="inlineStr">
        <is>
          <t>P3 달력 입력</t>
        </is>
      </c>
      <c r="C82" s="9" t="inlineStr">
        <is>
          <t>P3_과거Batch_2026 달력</t>
        </is>
      </c>
      <c r="D82" s="3" t="n">
        <v>113</v>
      </c>
      <c r="E82" s="24">
        <f>IF(COUNTIF('P3_과거Batch_2026'!$C$6:$AG$13,D82)=0,"",IF(COUNTIF('P3_과거Batch_2026'!$C$6:$AG$13,D82)&gt;1,"중복 입력",SUMPRODUCT(('P3_과거Batch_2026'!$C$6:$AG$13=D82)*DATE('01_Inputs'!$B$100,ROW('P3_과거Batch_2026'!$C$6:$AG$13)-ROW('P3_과거Batch_2026'!$C$6)+5,COLUMN('P3_과거Batch_2026'!$C$6:$AG$13)-COLUMN('P3_과거Batch_2026'!$C$6)+1))))</f>
      </c>
      <c r="F82" s="5" t="n"/>
      <c r="G82" s="5" t="n"/>
      <c r="H82" s="9" t="inlineStr">
        <is>
          <t>생산계획 (원자료) — 실적 미검증</t>
        </is>
      </c>
      <c r="I82" s="3" t="n"/>
      <c r="J82" s="5" t="n"/>
      <c r="K82" s="3" t="inlineStr">
        <is>
          <t>-</t>
        </is>
      </c>
      <c r="L82" s="3" t="n"/>
      <c r="M82" s="23" t="n"/>
      <c r="N82" s="9">
        <f>IF(ISNUMBER(E82),"신규 입력","")</f>
      </c>
      <c r="O82" s="9">
        <f>IF(ISNUMBER(E82),MONTH(E82),"")</f>
      </c>
      <c r="P82" s="9">
        <f>IF(AND(ISNUMBER(S82),D82&gt;'01_Inputs'!$B$96,D82&lt;='01_Inputs'!$B$97),1,0)</f>
        <v>0</v>
      </c>
      <c r="Q82" s="9">
        <f>IF(AND(ISNUMBER(E82),NOT(ISNUMBER(E81))),"확인","")</f>
      </c>
      <c r="R82" s="9" t="str">
        <f>IF(E82="중복 입력","중복","-")</f>
        <v>-</v>
      </c>
      <c r="S82" s="15">
        <f>IF(AND(ISNUMBER(E82),ISNUMBER(E81)),E82-E81,"")</f>
      </c>
      <c r="T82" s="9">
        <f>IF(ISNUMBER(S82),IF(MONTH(E82)&lt;&gt;MONTH(E81),"월 경계",""),"")</f>
      </c>
      <c r="U82" s="15">
        <f>IF(ISNUMBER(S82),S82*24,"")</f>
      </c>
      <c r="V82" s="15">
        <f>IF(ISNUMBER(S82),MAX(0,(S82-1)*24),"")</f>
      </c>
      <c r="W82" s="15">
        <f>IF(ISNUMBER(S82),(S82+1)*24,"")</f>
      </c>
      <c r="X82" s="15">
        <f>IF(AND(ISNUMBER(E82),ROW()-6&gt;='01_Inputs'!$B$98),IF(ISNUMBER(INDEX($E$6:$E$99,ROW()-6+1-'01_Inputs'!$B$98)),E82-INDEX($E$6:$E$99,ROW()-6+1-'01_Inputs'!$B$98),""),"")</f>
      </c>
      <c r="Y82" s="14">
        <f>IF(ISNUMBER(X82),(X82+1)*24/'01_Inputs'!$B$98,"")</f>
      </c>
      <c r="Z82" s="9">
        <f>IF(ISNUMBER(Y82),IF(Y82&lt;('01_Inputs'!$B$15+'01_Inputs'!$B$16+N('01_Inputs'!$B$22)),"확인 필요: 점유 하한 미만",""),"")</f>
      </c>
    </row>
    <row r="83">
      <c r="A83" s="9" t="n">
        <v>78</v>
      </c>
      <c r="B83" s="9" t="inlineStr">
        <is>
          <t>P3 달력 입력</t>
        </is>
      </c>
      <c r="C83" s="9" t="inlineStr">
        <is>
          <t>P3_과거Batch_2026 달력</t>
        </is>
      </c>
      <c r="D83" s="3" t="n">
        <v>114</v>
      </c>
      <c r="E83" s="24">
        <f>IF(COUNTIF('P3_과거Batch_2026'!$C$6:$AG$13,D83)=0,"",IF(COUNTIF('P3_과거Batch_2026'!$C$6:$AG$13,D83)&gt;1,"중복 입력",SUMPRODUCT(('P3_과거Batch_2026'!$C$6:$AG$13=D83)*DATE('01_Inputs'!$B$100,ROW('P3_과거Batch_2026'!$C$6:$AG$13)-ROW('P3_과거Batch_2026'!$C$6)+5,COLUMN('P3_과거Batch_2026'!$C$6:$AG$13)-COLUMN('P3_과거Batch_2026'!$C$6)+1))))</f>
      </c>
      <c r="F83" s="5" t="n"/>
      <c r="G83" s="5" t="n"/>
      <c r="H83" s="9" t="inlineStr">
        <is>
          <t>생산계획 (원자료) — 실적 미검증</t>
        </is>
      </c>
      <c r="I83" s="3" t="n"/>
      <c r="J83" s="5" t="n"/>
      <c r="K83" s="3" t="inlineStr">
        <is>
          <t>-</t>
        </is>
      </c>
      <c r="L83" s="3" t="n"/>
      <c r="M83" s="23" t="n"/>
      <c r="N83" s="9">
        <f>IF(ISNUMBER(E83),"신규 입력","")</f>
      </c>
      <c r="O83" s="9">
        <f>IF(ISNUMBER(E83),MONTH(E83),"")</f>
      </c>
      <c r="P83" s="9">
        <f>IF(AND(ISNUMBER(S83),D83&gt;'01_Inputs'!$B$96,D83&lt;='01_Inputs'!$B$97),1,0)</f>
        <v>0</v>
      </c>
      <c r="Q83" s="9">
        <f>IF(AND(ISNUMBER(E83),NOT(ISNUMBER(E82))),"확인","")</f>
      </c>
      <c r="R83" s="9" t="str">
        <f>IF(E83="중복 입력","중복","-")</f>
        <v>-</v>
      </c>
      <c r="S83" s="15">
        <f>IF(AND(ISNUMBER(E83),ISNUMBER(E82)),E83-E82,"")</f>
      </c>
      <c r="T83" s="9">
        <f>IF(ISNUMBER(S83),IF(MONTH(E83)&lt;&gt;MONTH(E82),"월 경계",""),"")</f>
      </c>
      <c r="U83" s="15">
        <f>IF(ISNUMBER(S83),S83*24,"")</f>
      </c>
      <c r="V83" s="15">
        <f>IF(ISNUMBER(S83),MAX(0,(S83-1)*24),"")</f>
      </c>
      <c r="W83" s="15">
        <f>IF(ISNUMBER(S83),(S83+1)*24,"")</f>
      </c>
      <c r="X83" s="15">
        <f>IF(AND(ISNUMBER(E83),ROW()-6&gt;='01_Inputs'!$B$98),IF(ISNUMBER(INDEX($E$6:$E$99,ROW()-6+1-'01_Inputs'!$B$98)),E83-INDEX($E$6:$E$99,ROW()-6+1-'01_Inputs'!$B$98),""),"")</f>
      </c>
      <c r="Y83" s="14">
        <f>IF(ISNUMBER(X83),(X83+1)*24/'01_Inputs'!$B$98,"")</f>
      </c>
      <c r="Z83" s="9">
        <f>IF(ISNUMBER(Y83),IF(Y83&lt;('01_Inputs'!$B$15+'01_Inputs'!$B$16+N('01_Inputs'!$B$22)),"확인 필요: 점유 하한 미만",""),"")</f>
      </c>
    </row>
    <row r="84">
      <c r="A84" s="9" t="n">
        <v>79</v>
      </c>
      <c r="B84" s="9" t="inlineStr">
        <is>
          <t>P3 달력 입력</t>
        </is>
      </c>
      <c r="C84" s="9" t="inlineStr">
        <is>
          <t>P3_과거Batch_2026 달력</t>
        </is>
      </c>
      <c r="D84" s="3" t="n">
        <v>115</v>
      </c>
      <c r="E84" s="24">
        <f>IF(COUNTIF('P3_과거Batch_2026'!$C$6:$AG$13,D84)=0,"",IF(COUNTIF('P3_과거Batch_2026'!$C$6:$AG$13,D84)&gt;1,"중복 입력",SUMPRODUCT(('P3_과거Batch_2026'!$C$6:$AG$13=D84)*DATE('01_Inputs'!$B$100,ROW('P3_과거Batch_2026'!$C$6:$AG$13)-ROW('P3_과거Batch_2026'!$C$6)+5,COLUMN('P3_과거Batch_2026'!$C$6:$AG$13)-COLUMN('P3_과거Batch_2026'!$C$6)+1))))</f>
      </c>
      <c r="F84" s="5" t="n"/>
      <c r="G84" s="5" t="n"/>
      <c r="H84" s="9" t="inlineStr">
        <is>
          <t>생산계획 (원자료) — 실적 미검증</t>
        </is>
      </c>
      <c r="I84" s="3" t="n"/>
      <c r="J84" s="5" t="n"/>
      <c r="K84" s="3" t="inlineStr">
        <is>
          <t>-</t>
        </is>
      </c>
      <c r="L84" s="3" t="n"/>
      <c r="M84" s="23" t="n"/>
      <c r="N84" s="9">
        <f>IF(ISNUMBER(E84),"신규 입력","")</f>
      </c>
      <c r="O84" s="9">
        <f>IF(ISNUMBER(E84),MONTH(E84),"")</f>
      </c>
      <c r="P84" s="9">
        <f>IF(AND(ISNUMBER(S84),D84&gt;'01_Inputs'!$B$96,D84&lt;='01_Inputs'!$B$97),1,0)</f>
        <v>0</v>
      </c>
      <c r="Q84" s="9">
        <f>IF(AND(ISNUMBER(E84),NOT(ISNUMBER(E83))),"확인","")</f>
      </c>
      <c r="R84" s="9" t="str">
        <f>IF(E84="중복 입력","중복","-")</f>
        <v>-</v>
      </c>
      <c r="S84" s="15">
        <f>IF(AND(ISNUMBER(E84),ISNUMBER(E83)),E84-E83,"")</f>
      </c>
      <c r="T84" s="9">
        <f>IF(ISNUMBER(S84),IF(MONTH(E84)&lt;&gt;MONTH(E83),"월 경계",""),"")</f>
      </c>
      <c r="U84" s="15">
        <f>IF(ISNUMBER(S84),S84*24,"")</f>
      </c>
      <c r="V84" s="15">
        <f>IF(ISNUMBER(S84),MAX(0,(S84-1)*24),"")</f>
      </c>
      <c r="W84" s="15">
        <f>IF(ISNUMBER(S84),(S84+1)*24,"")</f>
      </c>
      <c r="X84" s="15">
        <f>IF(AND(ISNUMBER(E84),ROW()-6&gt;='01_Inputs'!$B$98),IF(ISNUMBER(INDEX($E$6:$E$99,ROW()-6+1-'01_Inputs'!$B$98)),E84-INDEX($E$6:$E$99,ROW()-6+1-'01_Inputs'!$B$98),""),"")</f>
      </c>
      <c r="Y84" s="14">
        <f>IF(ISNUMBER(X84),(X84+1)*24/'01_Inputs'!$B$98,"")</f>
      </c>
      <c r="Z84" s="9">
        <f>IF(ISNUMBER(Y84),IF(Y84&lt;('01_Inputs'!$B$15+'01_Inputs'!$B$16+N('01_Inputs'!$B$22)),"확인 필요: 점유 하한 미만",""),"")</f>
      </c>
    </row>
    <row r="85">
      <c r="A85" s="9" t="n">
        <v>80</v>
      </c>
      <c r="B85" s="9" t="inlineStr">
        <is>
          <t>P3 달력 입력</t>
        </is>
      </c>
      <c r="C85" s="9" t="inlineStr">
        <is>
          <t>P3_과거Batch_2026 달력</t>
        </is>
      </c>
      <c r="D85" s="3" t="n">
        <v>116</v>
      </c>
      <c r="E85" s="24">
        <f>IF(COUNTIF('P3_과거Batch_2026'!$C$6:$AG$13,D85)=0,"",IF(COUNTIF('P3_과거Batch_2026'!$C$6:$AG$13,D85)&gt;1,"중복 입력",SUMPRODUCT(('P3_과거Batch_2026'!$C$6:$AG$13=D85)*DATE('01_Inputs'!$B$100,ROW('P3_과거Batch_2026'!$C$6:$AG$13)-ROW('P3_과거Batch_2026'!$C$6)+5,COLUMN('P3_과거Batch_2026'!$C$6:$AG$13)-COLUMN('P3_과거Batch_2026'!$C$6)+1))))</f>
      </c>
      <c r="F85" s="5" t="n"/>
      <c r="G85" s="5" t="n"/>
      <c r="H85" s="9" t="inlineStr">
        <is>
          <t>생산계획 (원자료) — 실적 미검증</t>
        </is>
      </c>
      <c r="I85" s="3" t="n"/>
      <c r="J85" s="5" t="n"/>
      <c r="K85" s="3" t="inlineStr">
        <is>
          <t>-</t>
        </is>
      </c>
      <c r="L85" s="3" t="n"/>
      <c r="M85" s="23" t="n"/>
      <c r="N85" s="9">
        <f>IF(ISNUMBER(E85),"신규 입력","")</f>
      </c>
      <c r="O85" s="9">
        <f>IF(ISNUMBER(E85),MONTH(E85),"")</f>
      </c>
      <c r="P85" s="9">
        <f>IF(AND(ISNUMBER(S85),D85&gt;'01_Inputs'!$B$96,D85&lt;='01_Inputs'!$B$97),1,0)</f>
        <v>0</v>
      </c>
      <c r="Q85" s="9">
        <f>IF(AND(ISNUMBER(E85),NOT(ISNUMBER(E84))),"확인","")</f>
      </c>
      <c r="R85" s="9" t="str">
        <f>IF(E85="중복 입력","중복","-")</f>
        <v>-</v>
      </c>
      <c r="S85" s="15">
        <f>IF(AND(ISNUMBER(E85),ISNUMBER(E84)),E85-E84,"")</f>
      </c>
      <c r="T85" s="9">
        <f>IF(ISNUMBER(S85),IF(MONTH(E85)&lt;&gt;MONTH(E84),"월 경계",""),"")</f>
      </c>
      <c r="U85" s="15">
        <f>IF(ISNUMBER(S85),S85*24,"")</f>
      </c>
      <c r="V85" s="15">
        <f>IF(ISNUMBER(S85),MAX(0,(S85-1)*24),"")</f>
      </c>
      <c r="W85" s="15">
        <f>IF(ISNUMBER(S85),(S85+1)*24,"")</f>
      </c>
      <c r="X85" s="15">
        <f>IF(AND(ISNUMBER(E85),ROW()-6&gt;='01_Inputs'!$B$98),IF(ISNUMBER(INDEX($E$6:$E$99,ROW()-6+1-'01_Inputs'!$B$98)),E85-INDEX($E$6:$E$99,ROW()-6+1-'01_Inputs'!$B$98),""),"")</f>
      </c>
      <c r="Y85" s="14">
        <f>IF(ISNUMBER(X85),(X85+1)*24/'01_Inputs'!$B$98,"")</f>
      </c>
      <c r="Z85" s="9">
        <f>IF(ISNUMBER(Y85),IF(Y85&lt;('01_Inputs'!$B$15+'01_Inputs'!$B$16+N('01_Inputs'!$B$22)),"확인 필요: 점유 하한 미만",""),"")</f>
      </c>
    </row>
    <row r="86">
      <c r="A86" s="9" t="n">
        <v>81</v>
      </c>
      <c r="B86" s="9" t="inlineStr">
        <is>
          <t>P3 달력 입력</t>
        </is>
      </c>
      <c r="C86" s="9" t="inlineStr">
        <is>
          <t>P3_과거Batch_2026 달력</t>
        </is>
      </c>
      <c r="D86" s="3" t="n">
        <v>117</v>
      </c>
      <c r="E86" s="24">
        <f>IF(COUNTIF('P3_과거Batch_2026'!$C$6:$AG$13,D86)=0,"",IF(COUNTIF('P3_과거Batch_2026'!$C$6:$AG$13,D86)&gt;1,"중복 입력",SUMPRODUCT(('P3_과거Batch_2026'!$C$6:$AG$13=D86)*DATE('01_Inputs'!$B$100,ROW('P3_과거Batch_2026'!$C$6:$AG$13)-ROW('P3_과거Batch_2026'!$C$6)+5,COLUMN('P3_과거Batch_2026'!$C$6:$AG$13)-COLUMN('P3_과거Batch_2026'!$C$6)+1))))</f>
      </c>
      <c r="F86" s="5" t="n"/>
      <c r="G86" s="5" t="n"/>
      <c r="H86" s="9" t="inlineStr">
        <is>
          <t>생산계획 (원자료) — 실적 미검증</t>
        </is>
      </c>
      <c r="I86" s="3" t="n"/>
      <c r="J86" s="5" t="n"/>
      <c r="K86" s="3" t="inlineStr">
        <is>
          <t>-</t>
        </is>
      </c>
      <c r="L86" s="3" t="n"/>
      <c r="M86" s="23" t="n"/>
      <c r="N86" s="9">
        <f>IF(ISNUMBER(E86),"신규 입력","")</f>
      </c>
      <c r="O86" s="9">
        <f>IF(ISNUMBER(E86),MONTH(E86),"")</f>
      </c>
      <c r="P86" s="9">
        <f>IF(AND(ISNUMBER(S86),D86&gt;'01_Inputs'!$B$96,D86&lt;='01_Inputs'!$B$97),1,0)</f>
        <v>0</v>
      </c>
      <c r="Q86" s="9">
        <f>IF(AND(ISNUMBER(E86),NOT(ISNUMBER(E85))),"확인","")</f>
      </c>
      <c r="R86" s="9" t="str">
        <f>IF(E86="중복 입력","중복","-")</f>
        <v>-</v>
      </c>
      <c r="S86" s="15">
        <f>IF(AND(ISNUMBER(E86),ISNUMBER(E85)),E86-E85,"")</f>
      </c>
      <c r="T86" s="9">
        <f>IF(ISNUMBER(S86),IF(MONTH(E86)&lt;&gt;MONTH(E85),"월 경계",""),"")</f>
      </c>
      <c r="U86" s="15">
        <f>IF(ISNUMBER(S86),S86*24,"")</f>
      </c>
      <c r="V86" s="15">
        <f>IF(ISNUMBER(S86),MAX(0,(S86-1)*24),"")</f>
      </c>
      <c r="W86" s="15">
        <f>IF(ISNUMBER(S86),(S86+1)*24,"")</f>
      </c>
      <c r="X86" s="15">
        <f>IF(AND(ISNUMBER(E86),ROW()-6&gt;='01_Inputs'!$B$98),IF(ISNUMBER(INDEX($E$6:$E$99,ROW()-6+1-'01_Inputs'!$B$98)),E86-INDEX($E$6:$E$99,ROW()-6+1-'01_Inputs'!$B$98),""),"")</f>
      </c>
      <c r="Y86" s="14">
        <f>IF(ISNUMBER(X86),(X86+1)*24/'01_Inputs'!$B$98,"")</f>
      </c>
      <c r="Z86" s="9">
        <f>IF(ISNUMBER(Y86),IF(Y86&lt;('01_Inputs'!$B$15+'01_Inputs'!$B$16+N('01_Inputs'!$B$22)),"확인 필요: 점유 하한 미만",""),"")</f>
      </c>
    </row>
    <row r="87">
      <c r="A87" s="9" t="n">
        <v>82</v>
      </c>
      <c r="B87" s="9" t="inlineStr">
        <is>
          <t>P3 달력 입력</t>
        </is>
      </c>
      <c r="C87" s="9" t="inlineStr">
        <is>
          <t>P3_과거Batch_2026 달력</t>
        </is>
      </c>
      <c r="D87" s="3" t="n">
        <v>118</v>
      </c>
      <c r="E87" s="24">
        <f>IF(COUNTIF('P3_과거Batch_2026'!$C$6:$AG$13,D87)=0,"",IF(COUNTIF('P3_과거Batch_2026'!$C$6:$AG$13,D87)&gt;1,"중복 입력",SUMPRODUCT(('P3_과거Batch_2026'!$C$6:$AG$13=D87)*DATE('01_Inputs'!$B$100,ROW('P3_과거Batch_2026'!$C$6:$AG$13)-ROW('P3_과거Batch_2026'!$C$6)+5,COLUMN('P3_과거Batch_2026'!$C$6:$AG$13)-COLUMN('P3_과거Batch_2026'!$C$6)+1))))</f>
      </c>
      <c r="F87" s="5" t="n"/>
      <c r="G87" s="5" t="n"/>
      <c r="H87" s="9" t="inlineStr">
        <is>
          <t>생산계획 (원자료) — 실적 미검증</t>
        </is>
      </c>
      <c r="I87" s="3" t="n"/>
      <c r="J87" s="5" t="n"/>
      <c r="K87" s="3" t="inlineStr">
        <is>
          <t>-</t>
        </is>
      </c>
      <c r="L87" s="3" t="n"/>
      <c r="M87" s="23" t="n"/>
      <c r="N87" s="9">
        <f>IF(ISNUMBER(E87),"신규 입력","")</f>
      </c>
      <c r="O87" s="9">
        <f>IF(ISNUMBER(E87),MONTH(E87),"")</f>
      </c>
      <c r="P87" s="9">
        <f>IF(AND(ISNUMBER(S87),D87&gt;'01_Inputs'!$B$96,D87&lt;='01_Inputs'!$B$97),1,0)</f>
        <v>0</v>
      </c>
      <c r="Q87" s="9">
        <f>IF(AND(ISNUMBER(E87),NOT(ISNUMBER(E86))),"확인","")</f>
      </c>
      <c r="R87" s="9" t="str">
        <f>IF(E87="중복 입력","중복","-")</f>
        <v>-</v>
      </c>
      <c r="S87" s="15">
        <f>IF(AND(ISNUMBER(E87),ISNUMBER(E86)),E87-E86,"")</f>
      </c>
      <c r="T87" s="9">
        <f>IF(ISNUMBER(S87),IF(MONTH(E87)&lt;&gt;MONTH(E86),"월 경계",""),"")</f>
      </c>
      <c r="U87" s="15">
        <f>IF(ISNUMBER(S87),S87*24,"")</f>
      </c>
      <c r="V87" s="15">
        <f>IF(ISNUMBER(S87),MAX(0,(S87-1)*24),"")</f>
      </c>
      <c r="W87" s="15">
        <f>IF(ISNUMBER(S87),(S87+1)*24,"")</f>
      </c>
      <c r="X87" s="15">
        <f>IF(AND(ISNUMBER(E87),ROW()-6&gt;='01_Inputs'!$B$98),IF(ISNUMBER(INDEX($E$6:$E$99,ROW()-6+1-'01_Inputs'!$B$98)),E87-INDEX($E$6:$E$99,ROW()-6+1-'01_Inputs'!$B$98),""),"")</f>
      </c>
      <c r="Y87" s="14">
        <f>IF(ISNUMBER(X87),(X87+1)*24/'01_Inputs'!$B$98,"")</f>
      </c>
      <c r="Z87" s="9">
        <f>IF(ISNUMBER(Y87),IF(Y87&lt;('01_Inputs'!$B$15+'01_Inputs'!$B$16+N('01_Inputs'!$B$22)),"확인 필요: 점유 하한 미만",""),"")</f>
      </c>
    </row>
    <row r="88">
      <c r="A88" s="9" t="n">
        <v>83</v>
      </c>
      <c r="B88" s="9" t="inlineStr">
        <is>
          <t>P3 달력 입력</t>
        </is>
      </c>
      <c r="C88" s="9" t="inlineStr">
        <is>
          <t>P3_과거Batch_2026 달력</t>
        </is>
      </c>
      <c r="D88" s="3" t="n">
        <v>119</v>
      </c>
      <c r="E88" s="24">
        <f>IF(COUNTIF('P3_과거Batch_2026'!$C$6:$AG$13,D88)=0,"",IF(COUNTIF('P3_과거Batch_2026'!$C$6:$AG$13,D88)&gt;1,"중복 입력",SUMPRODUCT(('P3_과거Batch_2026'!$C$6:$AG$13=D88)*DATE('01_Inputs'!$B$100,ROW('P3_과거Batch_2026'!$C$6:$AG$13)-ROW('P3_과거Batch_2026'!$C$6)+5,COLUMN('P3_과거Batch_2026'!$C$6:$AG$13)-COLUMN('P3_과거Batch_2026'!$C$6)+1))))</f>
      </c>
      <c r="F88" s="5" t="n"/>
      <c r="G88" s="5" t="n"/>
      <c r="H88" s="9" t="inlineStr">
        <is>
          <t>생산계획 (원자료) — 실적 미검증</t>
        </is>
      </c>
      <c r="I88" s="3" t="n"/>
      <c r="J88" s="5" t="n"/>
      <c r="K88" s="3" t="inlineStr">
        <is>
          <t>-</t>
        </is>
      </c>
      <c r="L88" s="3" t="n"/>
      <c r="M88" s="23" t="n"/>
      <c r="N88" s="9">
        <f>IF(ISNUMBER(E88),"신규 입력","")</f>
      </c>
      <c r="O88" s="9">
        <f>IF(ISNUMBER(E88),MONTH(E88),"")</f>
      </c>
      <c r="P88" s="9">
        <f>IF(AND(ISNUMBER(S88),D88&gt;'01_Inputs'!$B$96,D88&lt;='01_Inputs'!$B$97),1,0)</f>
        <v>0</v>
      </c>
      <c r="Q88" s="9">
        <f>IF(AND(ISNUMBER(E88),NOT(ISNUMBER(E87))),"확인","")</f>
      </c>
      <c r="R88" s="9" t="str">
        <f>IF(E88="중복 입력","중복","-")</f>
        <v>-</v>
      </c>
      <c r="S88" s="15">
        <f>IF(AND(ISNUMBER(E88),ISNUMBER(E87)),E88-E87,"")</f>
      </c>
      <c r="T88" s="9">
        <f>IF(ISNUMBER(S88),IF(MONTH(E88)&lt;&gt;MONTH(E87),"월 경계",""),"")</f>
      </c>
      <c r="U88" s="15">
        <f>IF(ISNUMBER(S88),S88*24,"")</f>
      </c>
      <c r="V88" s="15">
        <f>IF(ISNUMBER(S88),MAX(0,(S88-1)*24),"")</f>
      </c>
      <c r="W88" s="15">
        <f>IF(ISNUMBER(S88),(S88+1)*24,"")</f>
      </c>
      <c r="X88" s="15">
        <f>IF(AND(ISNUMBER(E88),ROW()-6&gt;='01_Inputs'!$B$98),IF(ISNUMBER(INDEX($E$6:$E$99,ROW()-6+1-'01_Inputs'!$B$98)),E88-INDEX($E$6:$E$99,ROW()-6+1-'01_Inputs'!$B$98),""),"")</f>
      </c>
      <c r="Y88" s="14">
        <f>IF(ISNUMBER(X88),(X88+1)*24/'01_Inputs'!$B$98,"")</f>
      </c>
      <c r="Z88" s="9">
        <f>IF(ISNUMBER(Y88),IF(Y88&lt;('01_Inputs'!$B$15+'01_Inputs'!$B$16+N('01_Inputs'!$B$22)),"확인 필요: 점유 하한 미만",""),"")</f>
      </c>
    </row>
    <row r="89">
      <c r="A89" s="9" t="n">
        <v>84</v>
      </c>
      <c r="B89" s="9" t="inlineStr">
        <is>
          <t>P3 달력 입력</t>
        </is>
      </c>
      <c r="C89" s="9" t="inlineStr">
        <is>
          <t>P3_과거Batch_2026 달력</t>
        </is>
      </c>
      <c r="D89" s="3" t="n">
        <v>120</v>
      </c>
      <c r="E89" s="24">
        <f>IF(COUNTIF('P3_과거Batch_2026'!$C$6:$AG$13,D89)=0,"",IF(COUNTIF('P3_과거Batch_2026'!$C$6:$AG$13,D89)&gt;1,"중복 입력",SUMPRODUCT(('P3_과거Batch_2026'!$C$6:$AG$13=D89)*DATE('01_Inputs'!$B$100,ROW('P3_과거Batch_2026'!$C$6:$AG$13)-ROW('P3_과거Batch_2026'!$C$6)+5,COLUMN('P3_과거Batch_2026'!$C$6:$AG$13)-COLUMN('P3_과거Batch_2026'!$C$6)+1))))</f>
      </c>
      <c r="F89" s="5" t="n"/>
      <c r="G89" s="5" t="n"/>
      <c r="H89" s="9" t="inlineStr">
        <is>
          <t>생산계획 (원자료) — 실적 미검증</t>
        </is>
      </c>
      <c r="I89" s="3" t="n"/>
      <c r="J89" s="5" t="n"/>
      <c r="K89" s="3" t="inlineStr">
        <is>
          <t>-</t>
        </is>
      </c>
      <c r="L89" s="3" t="n"/>
      <c r="M89" s="23" t="n"/>
      <c r="N89" s="9">
        <f>IF(ISNUMBER(E89),"신규 입력","")</f>
      </c>
      <c r="O89" s="9">
        <f>IF(ISNUMBER(E89),MONTH(E89),"")</f>
      </c>
      <c r="P89" s="9">
        <f>IF(AND(ISNUMBER(S89),D89&gt;'01_Inputs'!$B$96,D89&lt;='01_Inputs'!$B$97),1,0)</f>
        <v>0</v>
      </c>
      <c r="Q89" s="9">
        <f>IF(AND(ISNUMBER(E89),NOT(ISNUMBER(E88))),"확인","")</f>
      </c>
      <c r="R89" s="9" t="str">
        <f>IF(E89="중복 입력","중복","-")</f>
        <v>-</v>
      </c>
      <c r="S89" s="15">
        <f>IF(AND(ISNUMBER(E89),ISNUMBER(E88)),E89-E88,"")</f>
      </c>
      <c r="T89" s="9">
        <f>IF(ISNUMBER(S89),IF(MONTH(E89)&lt;&gt;MONTH(E88),"월 경계",""),"")</f>
      </c>
      <c r="U89" s="15">
        <f>IF(ISNUMBER(S89),S89*24,"")</f>
      </c>
      <c r="V89" s="15">
        <f>IF(ISNUMBER(S89),MAX(0,(S89-1)*24),"")</f>
      </c>
      <c r="W89" s="15">
        <f>IF(ISNUMBER(S89),(S89+1)*24,"")</f>
      </c>
      <c r="X89" s="15">
        <f>IF(AND(ISNUMBER(E89),ROW()-6&gt;='01_Inputs'!$B$98),IF(ISNUMBER(INDEX($E$6:$E$99,ROW()-6+1-'01_Inputs'!$B$98)),E89-INDEX($E$6:$E$99,ROW()-6+1-'01_Inputs'!$B$98),""),"")</f>
      </c>
      <c r="Y89" s="14">
        <f>IF(ISNUMBER(X89),(X89+1)*24/'01_Inputs'!$B$98,"")</f>
      </c>
      <c r="Z89" s="9">
        <f>IF(ISNUMBER(Y89),IF(Y89&lt;('01_Inputs'!$B$15+'01_Inputs'!$B$16+N('01_Inputs'!$B$22)),"확인 필요: 점유 하한 미만",""),"")</f>
      </c>
    </row>
    <row r="90">
      <c r="A90" s="9" t="n">
        <v>85</v>
      </c>
      <c r="B90" s="9" t="inlineStr">
        <is>
          <t>P3 달력 입력</t>
        </is>
      </c>
      <c r="C90" s="9" t="inlineStr">
        <is>
          <t>P3_과거Batch_2026 달력</t>
        </is>
      </c>
      <c r="D90" s="3" t="n">
        <v>121</v>
      </c>
      <c r="E90" s="24">
        <f>IF(COUNTIF('P3_과거Batch_2026'!$C$6:$AG$13,D90)=0,"",IF(COUNTIF('P3_과거Batch_2026'!$C$6:$AG$13,D90)&gt;1,"중복 입력",SUMPRODUCT(('P3_과거Batch_2026'!$C$6:$AG$13=D90)*DATE('01_Inputs'!$B$100,ROW('P3_과거Batch_2026'!$C$6:$AG$13)-ROW('P3_과거Batch_2026'!$C$6)+5,COLUMN('P3_과거Batch_2026'!$C$6:$AG$13)-COLUMN('P3_과거Batch_2026'!$C$6)+1))))</f>
      </c>
      <c r="F90" s="5" t="n"/>
      <c r="G90" s="5" t="n"/>
      <c r="H90" s="9" t="inlineStr">
        <is>
          <t>생산계획 (원자료) — 실적 미검증</t>
        </is>
      </c>
      <c r="I90" s="3" t="n"/>
      <c r="J90" s="5" t="n"/>
      <c r="K90" s="3" t="inlineStr">
        <is>
          <t>-</t>
        </is>
      </c>
      <c r="L90" s="3" t="n"/>
      <c r="M90" s="23" t="n"/>
      <c r="N90" s="9">
        <f>IF(ISNUMBER(E90),"신규 입력","")</f>
      </c>
      <c r="O90" s="9">
        <f>IF(ISNUMBER(E90),MONTH(E90),"")</f>
      </c>
      <c r="P90" s="9">
        <f>IF(AND(ISNUMBER(S90),D90&gt;'01_Inputs'!$B$96,D90&lt;='01_Inputs'!$B$97),1,0)</f>
        <v>0</v>
      </c>
      <c r="Q90" s="9">
        <f>IF(AND(ISNUMBER(E90),NOT(ISNUMBER(E89))),"확인","")</f>
      </c>
      <c r="R90" s="9" t="str">
        <f>IF(E90="중복 입력","중복","-")</f>
        <v>-</v>
      </c>
      <c r="S90" s="15">
        <f>IF(AND(ISNUMBER(E90),ISNUMBER(E89)),E90-E89,"")</f>
      </c>
      <c r="T90" s="9">
        <f>IF(ISNUMBER(S90),IF(MONTH(E90)&lt;&gt;MONTH(E89),"월 경계",""),"")</f>
      </c>
      <c r="U90" s="15">
        <f>IF(ISNUMBER(S90),S90*24,"")</f>
      </c>
      <c r="V90" s="15">
        <f>IF(ISNUMBER(S90),MAX(0,(S90-1)*24),"")</f>
      </c>
      <c r="W90" s="15">
        <f>IF(ISNUMBER(S90),(S90+1)*24,"")</f>
      </c>
      <c r="X90" s="15">
        <f>IF(AND(ISNUMBER(E90),ROW()-6&gt;='01_Inputs'!$B$98),IF(ISNUMBER(INDEX($E$6:$E$99,ROW()-6+1-'01_Inputs'!$B$98)),E90-INDEX($E$6:$E$99,ROW()-6+1-'01_Inputs'!$B$98),""),"")</f>
      </c>
      <c r="Y90" s="14">
        <f>IF(ISNUMBER(X90),(X90+1)*24/'01_Inputs'!$B$98,"")</f>
      </c>
      <c r="Z90" s="9">
        <f>IF(ISNUMBER(Y90),IF(Y90&lt;('01_Inputs'!$B$15+'01_Inputs'!$B$16+N('01_Inputs'!$B$22)),"확인 필요: 점유 하한 미만",""),"")</f>
      </c>
    </row>
    <row r="91">
      <c r="A91" s="9" t="n">
        <v>86</v>
      </c>
      <c r="B91" s="9" t="inlineStr">
        <is>
          <t>P3 달력 입력</t>
        </is>
      </c>
      <c r="C91" s="9" t="inlineStr">
        <is>
          <t>P3_과거Batch_2026 달력</t>
        </is>
      </c>
      <c r="D91" s="3" t="n">
        <v>122</v>
      </c>
      <c r="E91" s="24">
        <f>IF(COUNTIF('P3_과거Batch_2026'!$C$6:$AG$13,D91)=0,"",IF(COUNTIF('P3_과거Batch_2026'!$C$6:$AG$13,D91)&gt;1,"중복 입력",SUMPRODUCT(('P3_과거Batch_2026'!$C$6:$AG$13=D91)*DATE('01_Inputs'!$B$100,ROW('P3_과거Batch_2026'!$C$6:$AG$13)-ROW('P3_과거Batch_2026'!$C$6)+5,COLUMN('P3_과거Batch_2026'!$C$6:$AG$13)-COLUMN('P3_과거Batch_2026'!$C$6)+1))))</f>
      </c>
      <c r="F91" s="5" t="n"/>
      <c r="G91" s="5" t="n"/>
      <c r="H91" s="9" t="inlineStr">
        <is>
          <t>생산계획 (원자료) — 실적 미검증</t>
        </is>
      </c>
      <c r="I91" s="3" t="n"/>
      <c r="J91" s="5" t="n"/>
      <c r="K91" s="3" t="inlineStr">
        <is>
          <t>-</t>
        </is>
      </c>
      <c r="L91" s="3" t="n"/>
      <c r="M91" s="23" t="n"/>
      <c r="N91" s="9">
        <f>IF(ISNUMBER(E91),"신규 입력","")</f>
      </c>
      <c r="O91" s="9">
        <f>IF(ISNUMBER(E91),MONTH(E91),"")</f>
      </c>
      <c r="P91" s="9">
        <f>IF(AND(ISNUMBER(S91),D91&gt;'01_Inputs'!$B$96,D91&lt;='01_Inputs'!$B$97),1,0)</f>
        <v>0</v>
      </c>
      <c r="Q91" s="9">
        <f>IF(AND(ISNUMBER(E91),NOT(ISNUMBER(E90))),"확인","")</f>
      </c>
      <c r="R91" s="9" t="str">
        <f>IF(E91="중복 입력","중복","-")</f>
        <v>-</v>
      </c>
      <c r="S91" s="15">
        <f>IF(AND(ISNUMBER(E91),ISNUMBER(E90)),E91-E90,"")</f>
      </c>
      <c r="T91" s="9">
        <f>IF(ISNUMBER(S91),IF(MONTH(E91)&lt;&gt;MONTH(E90),"월 경계",""),"")</f>
      </c>
      <c r="U91" s="15">
        <f>IF(ISNUMBER(S91),S91*24,"")</f>
      </c>
      <c r="V91" s="15">
        <f>IF(ISNUMBER(S91),MAX(0,(S91-1)*24),"")</f>
      </c>
      <c r="W91" s="15">
        <f>IF(ISNUMBER(S91),(S91+1)*24,"")</f>
      </c>
      <c r="X91" s="15">
        <f>IF(AND(ISNUMBER(E91),ROW()-6&gt;='01_Inputs'!$B$98),IF(ISNUMBER(INDEX($E$6:$E$99,ROW()-6+1-'01_Inputs'!$B$98)),E91-INDEX($E$6:$E$99,ROW()-6+1-'01_Inputs'!$B$98),""),"")</f>
      </c>
      <c r="Y91" s="14">
        <f>IF(ISNUMBER(X91),(X91+1)*24/'01_Inputs'!$B$98,"")</f>
      </c>
      <c r="Z91" s="9">
        <f>IF(ISNUMBER(Y91),IF(Y91&lt;('01_Inputs'!$B$15+'01_Inputs'!$B$16+N('01_Inputs'!$B$22)),"확인 필요: 점유 하한 미만",""),"")</f>
      </c>
    </row>
    <row r="92">
      <c r="A92" s="9" t="n">
        <v>87</v>
      </c>
      <c r="B92" s="9" t="inlineStr">
        <is>
          <t>P3 달력 입력</t>
        </is>
      </c>
      <c r="C92" s="9" t="inlineStr">
        <is>
          <t>P3_과거Batch_2026 달력</t>
        </is>
      </c>
      <c r="D92" s="3" t="n">
        <v>123</v>
      </c>
      <c r="E92" s="24">
        <f>IF(COUNTIF('P3_과거Batch_2026'!$C$6:$AG$13,D92)=0,"",IF(COUNTIF('P3_과거Batch_2026'!$C$6:$AG$13,D92)&gt;1,"중복 입력",SUMPRODUCT(('P3_과거Batch_2026'!$C$6:$AG$13=D92)*DATE('01_Inputs'!$B$100,ROW('P3_과거Batch_2026'!$C$6:$AG$13)-ROW('P3_과거Batch_2026'!$C$6)+5,COLUMN('P3_과거Batch_2026'!$C$6:$AG$13)-COLUMN('P3_과거Batch_2026'!$C$6)+1))))</f>
      </c>
      <c r="F92" s="5" t="n"/>
      <c r="G92" s="5" t="n"/>
      <c r="H92" s="9" t="inlineStr">
        <is>
          <t>생산계획 (원자료) — 실적 미검증</t>
        </is>
      </c>
      <c r="I92" s="3" t="n"/>
      <c r="J92" s="5" t="n"/>
      <c r="K92" s="3" t="inlineStr">
        <is>
          <t>-</t>
        </is>
      </c>
      <c r="L92" s="3" t="n"/>
      <c r="M92" s="23" t="n"/>
      <c r="N92" s="9">
        <f>IF(ISNUMBER(E92),"신규 입력","")</f>
      </c>
      <c r="O92" s="9">
        <f>IF(ISNUMBER(E92),MONTH(E92),"")</f>
      </c>
      <c r="P92" s="9">
        <f>IF(AND(ISNUMBER(S92),D92&gt;'01_Inputs'!$B$96,D92&lt;='01_Inputs'!$B$97),1,0)</f>
        <v>0</v>
      </c>
      <c r="Q92" s="9">
        <f>IF(AND(ISNUMBER(E92),NOT(ISNUMBER(E91))),"확인","")</f>
      </c>
      <c r="R92" s="9" t="str">
        <f>IF(E92="중복 입력","중복","-")</f>
        <v>-</v>
      </c>
      <c r="S92" s="15">
        <f>IF(AND(ISNUMBER(E92),ISNUMBER(E91)),E92-E91,"")</f>
      </c>
      <c r="T92" s="9">
        <f>IF(ISNUMBER(S92),IF(MONTH(E92)&lt;&gt;MONTH(E91),"월 경계",""),"")</f>
      </c>
      <c r="U92" s="15">
        <f>IF(ISNUMBER(S92),S92*24,"")</f>
      </c>
      <c r="V92" s="15">
        <f>IF(ISNUMBER(S92),MAX(0,(S92-1)*24),"")</f>
      </c>
      <c r="W92" s="15">
        <f>IF(ISNUMBER(S92),(S92+1)*24,"")</f>
      </c>
      <c r="X92" s="15">
        <f>IF(AND(ISNUMBER(E92),ROW()-6&gt;='01_Inputs'!$B$98),IF(ISNUMBER(INDEX($E$6:$E$99,ROW()-6+1-'01_Inputs'!$B$98)),E92-INDEX($E$6:$E$99,ROW()-6+1-'01_Inputs'!$B$98),""),"")</f>
      </c>
      <c r="Y92" s="14">
        <f>IF(ISNUMBER(X92),(X92+1)*24/'01_Inputs'!$B$98,"")</f>
      </c>
      <c r="Z92" s="9">
        <f>IF(ISNUMBER(Y92),IF(Y92&lt;('01_Inputs'!$B$15+'01_Inputs'!$B$16+N('01_Inputs'!$B$22)),"확인 필요: 점유 하한 미만",""),"")</f>
      </c>
    </row>
    <row r="93">
      <c r="A93" s="9" t="n">
        <v>88</v>
      </c>
      <c r="B93" s="9" t="inlineStr">
        <is>
          <t>P3 달력 입력</t>
        </is>
      </c>
      <c r="C93" s="9" t="inlineStr">
        <is>
          <t>P3_과거Batch_2026 달력</t>
        </is>
      </c>
      <c r="D93" s="3" t="n">
        <v>124</v>
      </c>
      <c r="E93" s="24">
        <f>IF(COUNTIF('P3_과거Batch_2026'!$C$6:$AG$13,D93)=0,"",IF(COUNTIF('P3_과거Batch_2026'!$C$6:$AG$13,D93)&gt;1,"중복 입력",SUMPRODUCT(('P3_과거Batch_2026'!$C$6:$AG$13=D93)*DATE('01_Inputs'!$B$100,ROW('P3_과거Batch_2026'!$C$6:$AG$13)-ROW('P3_과거Batch_2026'!$C$6)+5,COLUMN('P3_과거Batch_2026'!$C$6:$AG$13)-COLUMN('P3_과거Batch_2026'!$C$6)+1))))</f>
      </c>
      <c r="F93" s="5" t="n"/>
      <c r="G93" s="5" t="n"/>
      <c r="H93" s="9" t="inlineStr">
        <is>
          <t>생산계획 (원자료) — 실적 미검증</t>
        </is>
      </c>
      <c r="I93" s="3" t="n"/>
      <c r="J93" s="5" t="n"/>
      <c r="K93" s="3" t="inlineStr">
        <is>
          <t>-</t>
        </is>
      </c>
      <c r="L93" s="3" t="n"/>
      <c r="M93" s="23" t="n"/>
      <c r="N93" s="9">
        <f>IF(ISNUMBER(E93),"신규 입력","")</f>
      </c>
      <c r="O93" s="9">
        <f>IF(ISNUMBER(E93),MONTH(E93),"")</f>
      </c>
      <c r="P93" s="9">
        <f>IF(AND(ISNUMBER(S93),D93&gt;'01_Inputs'!$B$96,D93&lt;='01_Inputs'!$B$97),1,0)</f>
        <v>0</v>
      </c>
      <c r="Q93" s="9">
        <f>IF(AND(ISNUMBER(E93),NOT(ISNUMBER(E92))),"확인","")</f>
      </c>
      <c r="R93" s="9" t="str">
        <f>IF(E93="중복 입력","중복","-")</f>
        <v>-</v>
      </c>
      <c r="S93" s="15">
        <f>IF(AND(ISNUMBER(E93),ISNUMBER(E92)),E93-E92,"")</f>
      </c>
      <c r="T93" s="9">
        <f>IF(ISNUMBER(S93),IF(MONTH(E93)&lt;&gt;MONTH(E92),"월 경계",""),"")</f>
      </c>
      <c r="U93" s="15">
        <f>IF(ISNUMBER(S93),S93*24,"")</f>
      </c>
      <c r="V93" s="15">
        <f>IF(ISNUMBER(S93),MAX(0,(S93-1)*24),"")</f>
      </c>
      <c r="W93" s="15">
        <f>IF(ISNUMBER(S93),(S93+1)*24,"")</f>
      </c>
      <c r="X93" s="15">
        <f>IF(AND(ISNUMBER(E93),ROW()-6&gt;='01_Inputs'!$B$98),IF(ISNUMBER(INDEX($E$6:$E$99,ROW()-6+1-'01_Inputs'!$B$98)),E93-INDEX($E$6:$E$99,ROW()-6+1-'01_Inputs'!$B$98),""),"")</f>
      </c>
      <c r="Y93" s="14">
        <f>IF(ISNUMBER(X93),(X93+1)*24/'01_Inputs'!$B$98,"")</f>
      </c>
      <c r="Z93" s="9">
        <f>IF(ISNUMBER(Y93),IF(Y93&lt;('01_Inputs'!$B$15+'01_Inputs'!$B$16+N('01_Inputs'!$B$22)),"확인 필요: 점유 하한 미만",""),"")</f>
      </c>
    </row>
    <row r="94">
      <c r="A94" s="9" t="n">
        <v>89</v>
      </c>
      <c r="B94" s="9" t="inlineStr">
        <is>
          <t>P3 달력 입력</t>
        </is>
      </c>
      <c r="C94" s="9" t="inlineStr">
        <is>
          <t>P3_과거Batch_2026 달력</t>
        </is>
      </c>
      <c r="D94" s="3" t="n">
        <v>125</v>
      </c>
      <c r="E94" s="24">
        <f>IF(COUNTIF('P3_과거Batch_2026'!$C$6:$AG$13,D94)=0,"",IF(COUNTIF('P3_과거Batch_2026'!$C$6:$AG$13,D94)&gt;1,"중복 입력",SUMPRODUCT(('P3_과거Batch_2026'!$C$6:$AG$13=D94)*DATE('01_Inputs'!$B$100,ROW('P3_과거Batch_2026'!$C$6:$AG$13)-ROW('P3_과거Batch_2026'!$C$6)+5,COLUMN('P3_과거Batch_2026'!$C$6:$AG$13)-COLUMN('P3_과거Batch_2026'!$C$6)+1))))</f>
      </c>
      <c r="F94" s="5" t="n"/>
      <c r="G94" s="5" t="n"/>
      <c r="H94" s="9" t="inlineStr">
        <is>
          <t>생산계획 (원자료) — 실적 미검증</t>
        </is>
      </c>
      <c r="I94" s="3" t="n"/>
      <c r="J94" s="5" t="n"/>
      <c r="K94" s="3" t="inlineStr">
        <is>
          <t>-</t>
        </is>
      </c>
      <c r="L94" s="3" t="n"/>
      <c r="M94" s="23" t="n"/>
      <c r="N94" s="9">
        <f>IF(ISNUMBER(E94),"신규 입력","")</f>
      </c>
      <c r="O94" s="9">
        <f>IF(ISNUMBER(E94),MONTH(E94),"")</f>
      </c>
      <c r="P94" s="9">
        <f>IF(AND(ISNUMBER(S94),D94&gt;'01_Inputs'!$B$96,D94&lt;='01_Inputs'!$B$97),1,0)</f>
        <v>0</v>
      </c>
      <c r="Q94" s="9">
        <f>IF(AND(ISNUMBER(E94),NOT(ISNUMBER(E93))),"확인","")</f>
      </c>
      <c r="R94" s="9" t="str">
        <f>IF(E94="중복 입력","중복","-")</f>
        <v>-</v>
      </c>
      <c r="S94" s="15">
        <f>IF(AND(ISNUMBER(E94),ISNUMBER(E93)),E94-E93,"")</f>
      </c>
      <c r="T94" s="9">
        <f>IF(ISNUMBER(S94),IF(MONTH(E94)&lt;&gt;MONTH(E93),"월 경계",""),"")</f>
      </c>
      <c r="U94" s="15">
        <f>IF(ISNUMBER(S94),S94*24,"")</f>
      </c>
      <c r="V94" s="15">
        <f>IF(ISNUMBER(S94),MAX(0,(S94-1)*24),"")</f>
      </c>
      <c r="W94" s="15">
        <f>IF(ISNUMBER(S94),(S94+1)*24,"")</f>
      </c>
      <c r="X94" s="15">
        <f>IF(AND(ISNUMBER(E94),ROW()-6&gt;='01_Inputs'!$B$98),IF(ISNUMBER(INDEX($E$6:$E$99,ROW()-6+1-'01_Inputs'!$B$98)),E94-INDEX($E$6:$E$99,ROW()-6+1-'01_Inputs'!$B$98),""),"")</f>
      </c>
      <c r="Y94" s="14">
        <f>IF(ISNUMBER(X94),(X94+1)*24/'01_Inputs'!$B$98,"")</f>
      </c>
      <c r="Z94" s="9">
        <f>IF(ISNUMBER(Y94),IF(Y94&lt;('01_Inputs'!$B$15+'01_Inputs'!$B$16+N('01_Inputs'!$B$22)),"확인 필요: 점유 하한 미만",""),"")</f>
      </c>
    </row>
    <row r="95">
      <c r="A95" s="9" t="n">
        <v>90</v>
      </c>
      <c r="B95" s="9" t="inlineStr">
        <is>
          <t>P3 달력 입력</t>
        </is>
      </c>
      <c r="C95" s="9" t="inlineStr">
        <is>
          <t>P3_과거Batch_2026 달력</t>
        </is>
      </c>
      <c r="D95" s="3" t="n">
        <v>126</v>
      </c>
      <c r="E95" s="24">
        <f>IF(COUNTIF('P3_과거Batch_2026'!$C$6:$AG$13,D95)=0,"",IF(COUNTIF('P3_과거Batch_2026'!$C$6:$AG$13,D95)&gt;1,"중복 입력",SUMPRODUCT(('P3_과거Batch_2026'!$C$6:$AG$13=D95)*DATE('01_Inputs'!$B$100,ROW('P3_과거Batch_2026'!$C$6:$AG$13)-ROW('P3_과거Batch_2026'!$C$6)+5,COLUMN('P3_과거Batch_2026'!$C$6:$AG$13)-COLUMN('P3_과거Batch_2026'!$C$6)+1))))</f>
      </c>
      <c r="F95" s="5" t="n"/>
      <c r="G95" s="5" t="n"/>
      <c r="H95" s="9" t="inlineStr">
        <is>
          <t>생산계획 (원자료) — 실적 미검증</t>
        </is>
      </c>
      <c r="I95" s="3" t="n"/>
      <c r="J95" s="5" t="n"/>
      <c r="K95" s="3" t="inlineStr">
        <is>
          <t>-</t>
        </is>
      </c>
      <c r="L95" s="3" t="n"/>
      <c r="M95" s="23" t="n"/>
      <c r="N95" s="9">
        <f>IF(ISNUMBER(E95),"신규 입력","")</f>
      </c>
      <c r="O95" s="9">
        <f>IF(ISNUMBER(E95),MONTH(E95),"")</f>
      </c>
      <c r="P95" s="9">
        <f>IF(AND(ISNUMBER(S95),D95&gt;'01_Inputs'!$B$96,D95&lt;='01_Inputs'!$B$97),1,0)</f>
        <v>0</v>
      </c>
      <c r="Q95" s="9">
        <f>IF(AND(ISNUMBER(E95),NOT(ISNUMBER(E94))),"확인","")</f>
      </c>
      <c r="R95" s="9" t="str">
        <f>IF(E95="중복 입력","중복","-")</f>
        <v>-</v>
      </c>
      <c r="S95" s="15">
        <f>IF(AND(ISNUMBER(E95),ISNUMBER(E94)),E95-E94,"")</f>
      </c>
      <c r="T95" s="9">
        <f>IF(ISNUMBER(S95),IF(MONTH(E95)&lt;&gt;MONTH(E94),"월 경계",""),"")</f>
      </c>
      <c r="U95" s="15">
        <f>IF(ISNUMBER(S95),S95*24,"")</f>
      </c>
      <c r="V95" s="15">
        <f>IF(ISNUMBER(S95),MAX(0,(S95-1)*24),"")</f>
      </c>
      <c r="W95" s="15">
        <f>IF(ISNUMBER(S95),(S95+1)*24,"")</f>
      </c>
      <c r="X95" s="15">
        <f>IF(AND(ISNUMBER(E95),ROW()-6&gt;='01_Inputs'!$B$98),IF(ISNUMBER(INDEX($E$6:$E$99,ROW()-6+1-'01_Inputs'!$B$98)),E95-INDEX($E$6:$E$99,ROW()-6+1-'01_Inputs'!$B$98),""),"")</f>
      </c>
      <c r="Y95" s="14">
        <f>IF(ISNUMBER(X95),(X95+1)*24/'01_Inputs'!$B$98,"")</f>
      </c>
      <c r="Z95" s="9">
        <f>IF(ISNUMBER(Y95),IF(Y95&lt;('01_Inputs'!$B$15+'01_Inputs'!$B$16+N('01_Inputs'!$B$22)),"확인 필요: 점유 하한 미만",""),"")</f>
      </c>
    </row>
    <row r="96">
      <c r="A96" s="9" t="n">
        <v>91</v>
      </c>
      <c r="B96" s="9" t="inlineStr">
        <is>
          <t>P3 달력 입력</t>
        </is>
      </c>
      <c r="C96" s="9" t="inlineStr">
        <is>
          <t>P3_과거Batch_2026 달력</t>
        </is>
      </c>
      <c r="D96" s="3" t="n">
        <v>127</v>
      </c>
      <c r="E96" s="24">
        <f>IF(COUNTIF('P3_과거Batch_2026'!$C$6:$AG$13,D96)=0,"",IF(COUNTIF('P3_과거Batch_2026'!$C$6:$AG$13,D96)&gt;1,"중복 입력",SUMPRODUCT(('P3_과거Batch_2026'!$C$6:$AG$13=D96)*DATE('01_Inputs'!$B$100,ROW('P3_과거Batch_2026'!$C$6:$AG$13)-ROW('P3_과거Batch_2026'!$C$6)+5,COLUMN('P3_과거Batch_2026'!$C$6:$AG$13)-COLUMN('P3_과거Batch_2026'!$C$6)+1))))</f>
      </c>
      <c r="F96" s="5" t="n"/>
      <c r="G96" s="5" t="n"/>
      <c r="H96" s="9" t="inlineStr">
        <is>
          <t>생산계획 (원자료) — 실적 미검증</t>
        </is>
      </c>
      <c r="I96" s="3" t="n"/>
      <c r="J96" s="5" t="n"/>
      <c r="K96" s="3" t="inlineStr">
        <is>
          <t>-</t>
        </is>
      </c>
      <c r="L96" s="3" t="n"/>
      <c r="M96" s="23" t="n"/>
      <c r="N96" s="9">
        <f>IF(ISNUMBER(E96),"신규 입력","")</f>
      </c>
      <c r="O96" s="9">
        <f>IF(ISNUMBER(E96),MONTH(E96),"")</f>
      </c>
      <c r="P96" s="9">
        <f>IF(AND(ISNUMBER(S96),D96&gt;'01_Inputs'!$B$96,D96&lt;='01_Inputs'!$B$97),1,0)</f>
        <v>0</v>
      </c>
      <c r="Q96" s="9">
        <f>IF(AND(ISNUMBER(E96),NOT(ISNUMBER(E95))),"확인","")</f>
      </c>
      <c r="R96" s="9" t="str">
        <f>IF(E96="중복 입력","중복","-")</f>
        <v>-</v>
      </c>
      <c r="S96" s="15">
        <f>IF(AND(ISNUMBER(E96),ISNUMBER(E95)),E96-E95,"")</f>
      </c>
      <c r="T96" s="9">
        <f>IF(ISNUMBER(S96),IF(MONTH(E96)&lt;&gt;MONTH(E95),"월 경계",""),"")</f>
      </c>
      <c r="U96" s="15">
        <f>IF(ISNUMBER(S96),S96*24,"")</f>
      </c>
      <c r="V96" s="15">
        <f>IF(ISNUMBER(S96),MAX(0,(S96-1)*24),"")</f>
      </c>
      <c r="W96" s="15">
        <f>IF(ISNUMBER(S96),(S96+1)*24,"")</f>
      </c>
      <c r="X96" s="15">
        <f>IF(AND(ISNUMBER(E96),ROW()-6&gt;='01_Inputs'!$B$98),IF(ISNUMBER(INDEX($E$6:$E$99,ROW()-6+1-'01_Inputs'!$B$98)),E96-INDEX($E$6:$E$99,ROW()-6+1-'01_Inputs'!$B$98),""),"")</f>
      </c>
      <c r="Y96" s="14">
        <f>IF(ISNUMBER(X96),(X96+1)*24/'01_Inputs'!$B$98,"")</f>
      </c>
      <c r="Z96" s="9">
        <f>IF(ISNUMBER(Y96),IF(Y96&lt;('01_Inputs'!$B$15+'01_Inputs'!$B$16+N('01_Inputs'!$B$22)),"확인 필요: 점유 하한 미만",""),"")</f>
      </c>
    </row>
    <row r="97">
      <c r="A97" s="9" t="n">
        <v>92</v>
      </c>
      <c r="B97" s="9" t="inlineStr">
        <is>
          <t>P3 달력 입력</t>
        </is>
      </c>
      <c r="C97" s="9" t="inlineStr">
        <is>
          <t>P3_과거Batch_2026 달력</t>
        </is>
      </c>
      <c r="D97" s="3" t="n">
        <v>128</v>
      </c>
      <c r="E97" s="24">
        <f>IF(COUNTIF('P3_과거Batch_2026'!$C$6:$AG$13,D97)=0,"",IF(COUNTIF('P3_과거Batch_2026'!$C$6:$AG$13,D97)&gt;1,"중복 입력",SUMPRODUCT(('P3_과거Batch_2026'!$C$6:$AG$13=D97)*DATE('01_Inputs'!$B$100,ROW('P3_과거Batch_2026'!$C$6:$AG$13)-ROW('P3_과거Batch_2026'!$C$6)+5,COLUMN('P3_과거Batch_2026'!$C$6:$AG$13)-COLUMN('P3_과거Batch_2026'!$C$6)+1))))</f>
      </c>
      <c r="F97" s="5" t="n"/>
      <c r="G97" s="5" t="n"/>
      <c r="H97" s="9" t="inlineStr">
        <is>
          <t>생산계획 (원자료) — 실적 미검증</t>
        </is>
      </c>
      <c r="I97" s="3" t="n"/>
      <c r="J97" s="5" t="n"/>
      <c r="K97" s="3" t="inlineStr">
        <is>
          <t>-</t>
        </is>
      </c>
      <c r="L97" s="3" t="n"/>
      <c r="M97" s="23" t="n"/>
      <c r="N97" s="9">
        <f>IF(ISNUMBER(E97),"신규 입력","")</f>
      </c>
      <c r="O97" s="9">
        <f>IF(ISNUMBER(E97),MONTH(E97),"")</f>
      </c>
      <c r="P97" s="9">
        <f>IF(AND(ISNUMBER(S97),D97&gt;'01_Inputs'!$B$96,D97&lt;='01_Inputs'!$B$97),1,0)</f>
        <v>0</v>
      </c>
      <c r="Q97" s="9">
        <f>IF(AND(ISNUMBER(E97),NOT(ISNUMBER(E96))),"확인","")</f>
      </c>
      <c r="R97" s="9" t="str">
        <f>IF(E97="중복 입력","중복","-")</f>
        <v>-</v>
      </c>
      <c r="S97" s="15">
        <f>IF(AND(ISNUMBER(E97),ISNUMBER(E96)),E97-E96,"")</f>
      </c>
      <c r="T97" s="9">
        <f>IF(ISNUMBER(S97),IF(MONTH(E97)&lt;&gt;MONTH(E96),"월 경계",""),"")</f>
      </c>
      <c r="U97" s="15">
        <f>IF(ISNUMBER(S97),S97*24,"")</f>
      </c>
      <c r="V97" s="15">
        <f>IF(ISNUMBER(S97),MAX(0,(S97-1)*24),"")</f>
      </c>
      <c r="W97" s="15">
        <f>IF(ISNUMBER(S97),(S97+1)*24,"")</f>
      </c>
      <c r="X97" s="15">
        <f>IF(AND(ISNUMBER(E97),ROW()-6&gt;='01_Inputs'!$B$98),IF(ISNUMBER(INDEX($E$6:$E$99,ROW()-6+1-'01_Inputs'!$B$98)),E97-INDEX($E$6:$E$99,ROW()-6+1-'01_Inputs'!$B$98),""),"")</f>
      </c>
      <c r="Y97" s="14">
        <f>IF(ISNUMBER(X97),(X97+1)*24/'01_Inputs'!$B$98,"")</f>
      </c>
      <c r="Z97" s="9">
        <f>IF(ISNUMBER(Y97),IF(Y97&lt;('01_Inputs'!$B$15+'01_Inputs'!$B$16+N('01_Inputs'!$B$22)),"확인 필요: 점유 하한 미만",""),"")</f>
      </c>
    </row>
    <row r="98">
      <c r="A98" s="9" t="n">
        <v>93</v>
      </c>
      <c r="B98" s="9" t="inlineStr">
        <is>
          <t>P3 달력 입력</t>
        </is>
      </c>
      <c r="C98" s="9" t="inlineStr">
        <is>
          <t>P3_과거Batch_2026 달력</t>
        </is>
      </c>
      <c r="D98" s="3" t="n">
        <v>129</v>
      </c>
      <c r="E98" s="24">
        <f>IF(COUNTIF('P3_과거Batch_2026'!$C$6:$AG$13,D98)=0,"",IF(COUNTIF('P3_과거Batch_2026'!$C$6:$AG$13,D98)&gt;1,"중복 입력",SUMPRODUCT(('P3_과거Batch_2026'!$C$6:$AG$13=D98)*DATE('01_Inputs'!$B$100,ROW('P3_과거Batch_2026'!$C$6:$AG$13)-ROW('P3_과거Batch_2026'!$C$6)+5,COLUMN('P3_과거Batch_2026'!$C$6:$AG$13)-COLUMN('P3_과거Batch_2026'!$C$6)+1))))</f>
      </c>
      <c r="F98" s="5" t="n"/>
      <c r="G98" s="5" t="n"/>
      <c r="H98" s="9" t="inlineStr">
        <is>
          <t>생산계획 (원자료) — 실적 미검증</t>
        </is>
      </c>
      <c r="I98" s="3" t="n"/>
      <c r="J98" s="5" t="n"/>
      <c r="K98" s="3" t="inlineStr">
        <is>
          <t>-</t>
        </is>
      </c>
      <c r="L98" s="3" t="n"/>
      <c r="M98" s="23" t="n"/>
      <c r="N98" s="9">
        <f>IF(ISNUMBER(E98),"신규 입력","")</f>
      </c>
      <c r="O98" s="9">
        <f>IF(ISNUMBER(E98),MONTH(E98),"")</f>
      </c>
      <c r="P98" s="9">
        <f>IF(AND(ISNUMBER(S98),D98&gt;'01_Inputs'!$B$96,D98&lt;='01_Inputs'!$B$97),1,0)</f>
        <v>0</v>
      </c>
      <c r="Q98" s="9">
        <f>IF(AND(ISNUMBER(E98),NOT(ISNUMBER(E97))),"확인","")</f>
      </c>
      <c r="R98" s="9" t="str">
        <f>IF(E98="중복 입력","중복","-")</f>
        <v>-</v>
      </c>
      <c r="S98" s="15">
        <f>IF(AND(ISNUMBER(E98),ISNUMBER(E97)),E98-E97,"")</f>
      </c>
      <c r="T98" s="9">
        <f>IF(ISNUMBER(S98),IF(MONTH(E98)&lt;&gt;MONTH(E97),"월 경계",""),"")</f>
      </c>
      <c r="U98" s="15">
        <f>IF(ISNUMBER(S98),S98*24,"")</f>
      </c>
      <c r="V98" s="15">
        <f>IF(ISNUMBER(S98),MAX(0,(S98-1)*24),"")</f>
      </c>
      <c r="W98" s="15">
        <f>IF(ISNUMBER(S98),(S98+1)*24,"")</f>
      </c>
      <c r="X98" s="15">
        <f>IF(AND(ISNUMBER(E98),ROW()-6&gt;='01_Inputs'!$B$98),IF(ISNUMBER(INDEX($E$6:$E$99,ROW()-6+1-'01_Inputs'!$B$98)),E98-INDEX($E$6:$E$99,ROW()-6+1-'01_Inputs'!$B$98),""),"")</f>
      </c>
      <c r="Y98" s="14">
        <f>IF(ISNUMBER(X98),(X98+1)*24/'01_Inputs'!$B$98,"")</f>
      </c>
      <c r="Z98" s="9">
        <f>IF(ISNUMBER(Y98),IF(Y98&lt;('01_Inputs'!$B$15+'01_Inputs'!$B$16+N('01_Inputs'!$B$22)),"확인 필요: 점유 하한 미만",""),"")</f>
      </c>
    </row>
    <row r="99">
      <c r="A99" s="9" t="n">
        <v>94</v>
      </c>
      <c r="B99" s="9" t="inlineStr">
        <is>
          <t>P3 달력 입력</t>
        </is>
      </c>
      <c r="C99" s="9" t="inlineStr">
        <is>
          <t>P3_과거Batch_2026 달력</t>
        </is>
      </c>
      <c r="D99" s="3" t="n">
        <v>130</v>
      </c>
      <c r="E99" s="24">
        <f>IF(COUNTIF('P3_과거Batch_2026'!$C$6:$AG$13,D99)=0,"",IF(COUNTIF('P3_과거Batch_2026'!$C$6:$AG$13,D99)&gt;1,"중복 입력",SUMPRODUCT(('P3_과거Batch_2026'!$C$6:$AG$13=D99)*DATE('01_Inputs'!$B$100,ROW('P3_과거Batch_2026'!$C$6:$AG$13)-ROW('P3_과거Batch_2026'!$C$6)+5,COLUMN('P3_과거Batch_2026'!$C$6:$AG$13)-COLUMN('P3_과거Batch_2026'!$C$6)+1))))</f>
      </c>
      <c r="F99" s="5" t="n"/>
      <c r="G99" s="5" t="n"/>
      <c r="H99" s="9" t="inlineStr">
        <is>
          <t>생산계획 (원자료) — 실적 미검증</t>
        </is>
      </c>
      <c r="I99" s="3" t="n"/>
      <c r="J99" s="5" t="n"/>
      <c r="K99" s="3" t="inlineStr">
        <is>
          <t>-</t>
        </is>
      </c>
      <c r="L99" s="3" t="n"/>
      <c r="M99" s="23" t="n"/>
      <c r="N99" s="9">
        <f>IF(ISNUMBER(E99),"신규 입력","")</f>
      </c>
      <c r="O99" s="9">
        <f>IF(ISNUMBER(E99),MONTH(E99),"")</f>
      </c>
      <c r="P99" s="9">
        <f>IF(AND(ISNUMBER(S99),D99&gt;'01_Inputs'!$B$96,D99&lt;='01_Inputs'!$B$97),1,0)</f>
        <v>0</v>
      </c>
      <c r="Q99" s="9">
        <f>IF(AND(ISNUMBER(E99),NOT(ISNUMBER(E98))),"확인","")</f>
      </c>
      <c r="R99" s="9" t="str">
        <f>IF(E99="중복 입력","중복","-")</f>
        <v>-</v>
      </c>
      <c r="S99" s="15">
        <f>IF(AND(ISNUMBER(E99),ISNUMBER(E98)),E99-E98,"")</f>
      </c>
      <c r="T99" s="9">
        <f>IF(ISNUMBER(S99),IF(MONTH(E99)&lt;&gt;MONTH(E98),"월 경계",""),"")</f>
      </c>
      <c r="U99" s="15">
        <f>IF(ISNUMBER(S99),S99*24,"")</f>
      </c>
      <c r="V99" s="15">
        <f>IF(ISNUMBER(S99),MAX(0,(S99-1)*24),"")</f>
      </c>
      <c r="W99" s="15">
        <f>IF(ISNUMBER(S99),(S99+1)*24,"")</f>
      </c>
      <c r="X99" s="15">
        <f>IF(AND(ISNUMBER(E99),ROW()-6&gt;='01_Inputs'!$B$98),IF(ISNUMBER(INDEX($E$6:$E$99,ROW()-6+1-'01_Inputs'!$B$98)),E99-INDEX($E$6:$E$99,ROW()-6+1-'01_Inputs'!$B$98),""),"")</f>
      </c>
      <c r="Y99" s="14">
        <f>IF(ISNUMBER(X99),(X99+1)*24/'01_Inputs'!$B$98,"")</f>
      </c>
      <c r="Z99" s="9">
        <f>IF(ISNUMBER(Y99),IF(Y99&lt;('01_Inputs'!$B$15+'01_Inputs'!$B$16+N('01_Inputs'!$B$22)),"확인 필요: 점유 하한 미만",""),"")</f>
      </c>
    </row>
    <row r="101">
      <c r="A101" s="35" t="inlineStr">
        <is>
          <t>월별 집계 · 간격 분포 (간격은 뒤 Batch의 월에 귀속, 분석 범위 내)</t>
        </is>
      </c>
    </row>
    <row r="102" ht="40" customHeight="1">
      <c r="A102" s="11" t="inlineStr">
        <is>
          <t>월</t>
        </is>
      </c>
      <c r="B102" s="11" t="inlineStr">
        <is>
          <t>번호 범위</t>
        </is>
      </c>
      <c r="C102" s="11" t="inlineStr">
        <is>
          <t>번호 개수</t>
        </is>
      </c>
      <c r="D102" s="11" t="inlineStr">
        <is>
          <t>원자료 Total</t>
        </is>
      </c>
      <c r="E102" s="11" t="inlineStr">
        <is>
          <t>차이
(번호−Total)</t>
        </is>
      </c>
      <c r="F102" s="11" t="inlineStr">
        <is>
          <t>번호×190
(kg)</t>
        </is>
      </c>
      <c r="G102" s="11" t="inlineStr">
        <is>
          <t>Total×190
(kg)</t>
        </is>
      </c>
      <c r="H102" s="11" t="inlineStr">
        <is>
          <t>첫 표시일</t>
        </is>
      </c>
      <c r="I102" s="11" t="inlineStr">
        <is>
          <t>마지막 표시일</t>
        </is>
      </c>
      <c r="J102" s="11" t="inlineStr">
        <is>
          <t>간격 수</t>
        </is>
      </c>
      <c r="K102" s="11" t="inlineStr">
        <is>
          <t>평균 간격
(일)</t>
        </is>
      </c>
      <c r="L102" s="11" t="inlineStr">
        <is>
          <t>중앙값
(일)</t>
        </is>
      </c>
      <c r="M102" s="11" t="inlineStr">
        <is>
          <t>최소</t>
        </is>
      </c>
      <c r="N102" s="11" t="inlineStr">
        <is>
          <t>최대</t>
        </is>
      </c>
      <c r="O102" s="11" t="inlineStr">
        <is>
          <t>1일</t>
        </is>
      </c>
      <c r="P102" s="11" t="inlineStr">
        <is>
          <t>2일</t>
        </is>
      </c>
      <c r="Q102" s="11" t="inlineStr">
        <is>
          <t>3일</t>
        </is>
      </c>
      <c r="R102" s="11" t="inlineStr">
        <is>
          <t>4일</t>
        </is>
      </c>
      <c r="S102" s="11" t="inlineStr">
        <is>
          <t>5일</t>
        </is>
      </c>
      <c r="T102" s="11" t="inlineStr">
        <is>
          <t>6일 이상</t>
        </is>
      </c>
      <c r="U102" s="11" t="inlineStr">
        <is>
          <t>월 경계
간격 수</t>
        </is>
      </c>
      <c r="V102" s="11" t="inlineStr">
        <is>
          <t>비고</t>
        </is>
      </c>
    </row>
    <row r="103">
      <c r="A103" s="9" t="inlineStr">
        <is>
          <t>5월 (일부)</t>
        </is>
      </c>
      <c r="B103" s="9" t="str">
        <f>"#"&amp;_xlfn.MINIFS($D$6:$D$99,$O$6:$O$99,5)&amp;"~#"&amp;_xlfn.MAXIFS($D$6:$D$99,$O$6:$O$99,5)</f>
        <v>#37~#38</v>
      </c>
      <c r="C103" s="9">
        <f>COUNTIF($O$6:$O$99,5)</f>
        <v>2</v>
      </c>
      <c r="D103" s="20">
        <f>IF(ISNUMBER('P3_과거Batch_2026'!$AI$6),'P3_과거Batch_2026'!$AI$6,"")</f>
      </c>
      <c r="E103" s="9" t="str">
        <f>IF(ISNUMBER(D103),C103-D103,"원자료 Total 없음")</f>
        <v>원자료 Total 없음</v>
      </c>
      <c r="F103" s="25">
        <f>C103*'01_Inputs'!$B$49</f>
        <v>380</v>
      </c>
      <c r="G103" s="25" t="str">
        <f>IF(ISNUMBER(D103),D103*'01_Inputs'!$B$49,"-")</f>
        <v>-</v>
      </c>
      <c r="H103" s="39">
        <f>_xlfn.MINIFS($E$6:$E$99,$O$6:$O$99,5)</f>
        <v>46165.0</v>
      </c>
      <c r="I103" s="39">
        <f>_xlfn.MAXIFS($E$6:$E$99,$O$6:$O$99,5)</f>
        <v>46168.0</v>
      </c>
      <c r="J103" s="9">
        <f>COUNTIFS($O$6:$O$99,5,$P$6:$P$99,1)</f>
        <v>0</v>
      </c>
      <c r="K103" s="30" t="str">
        <f>IF(J103&gt;0,AVERAGEIFS($S$6:$S$99,$O$6:$O$99,5,$P$6:$P$99,1),"-")</f>
        <v>-</v>
      </c>
      <c r="L103" s="30" t="str">
        <f t="array" ref="L103">IF(J103&gt;0,MEDIAN(IF(($O$6:$O$99=5)*($P$6:$P$99=1),$S$6:$S$99)),"-")</f>
        <v>-</v>
      </c>
      <c r="M103" s="9" t="str">
        <f>IF(J103&gt;0,_xlfn.MINIFS($S$6:$S$99,$O$6:$O$99,5,$P$6:$P$99,1),"-")</f>
        <v>-</v>
      </c>
      <c r="N103" s="9" t="str">
        <f>IF(J103&gt;0,_xlfn.MAXIFS($S$6:$S$99,$O$6:$O$99,5,$P$6:$P$99,1),"-")</f>
        <v>-</v>
      </c>
      <c r="O103" s="9">
        <f>COUNTIFS($O$6:$O$99,5,$P$6:$P$99,1,$S$6:$S$99,1)</f>
        <v>0</v>
      </c>
      <c r="P103" s="9">
        <f>COUNTIFS($O$6:$O$99,5,$P$6:$P$99,1,$S$6:$S$99,2)</f>
        <v>0</v>
      </c>
      <c r="Q103" s="9">
        <f>COUNTIFS($O$6:$O$99,5,$P$6:$P$99,1,$S$6:$S$99,3)</f>
        <v>0</v>
      </c>
      <c r="R103" s="9">
        <f>COUNTIFS($O$6:$O$99,5,$P$6:$P$99,1,$S$6:$S$99,4)</f>
        <v>0</v>
      </c>
      <c r="S103" s="9">
        <f>COUNTIFS($O$6:$O$99,5,$P$6:$P$99,1,$S$6:$S$99,5)</f>
        <v>0</v>
      </c>
      <c r="T103" s="9">
        <f>COUNTIFS($O$6:$O$99,5,$P$6:$P$99,1,$S$6:$S$99,"&gt;=6")</f>
        <v>0</v>
      </c>
      <c r="U103" s="9">
        <f>COUNTIFS($O$6:$O$99,5,$P$6:$P$99,1,$T$6:$T$99,"월 경계")</f>
        <v>0</v>
      </c>
      <c r="V103" s="9" t="inlineStr">
        <is>
          <t>#37·#38만 제공 — 주 추정 제외</t>
        </is>
      </c>
    </row>
    <row r="104">
      <c r="A104" s="9" t="inlineStr">
        <is>
          <t>6월</t>
        </is>
      </c>
      <c r="B104" s="9" t="str">
        <f>"#"&amp;_xlfn.MINIFS($D$6:$D$99,$O$6:$O$99,6)&amp;"~#"&amp;_xlfn.MAXIFS($D$6:$D$99,$O$6:$O$99,6)</f>
        <v>#39~#49</v>
      </c>
      <c r="C104" s="9">
        <f>COUNTIF($O$6:$O$99,6)</f>
        <v>11</v>
      </c>
      <c r="D104" s="20">
        <f>IF(ISNUMBER('P3_과거Batch_2026'!$AI$7),'P3_과거Batch_2026'!$AI$7,"")</f>
        <v>8</v>
      </c>
      <c r="E104" s="9">
        <f>IF(ISNUMBER(D104),C104-D104,"원자료 Total 없음")</f>
        <v>3</v>
      </c>
      <c r="F104" s="25">
        <f>C104*'01_Inputs'!$B$49</f>
        <v>2090</v>
      </c>
      <c r="G104" s="25">
        <f>IF(ISNUMBER(D104),D104*'01_Inputs'!$B$49,"-")</f>
        <v>1520</v>
      </c>
      <c r="H104" s="39">
        <f>_xlfn.MINIFS($E$6:$E$99,$O$6:$O$99,6)</f>
        <v>46175.0</v>
      </c>
      <c r="I104" s="39">
        <f>_xlfn.MAXIFS($E$6:$E$99,$O$6:$O$99,6)</f>
        <v>46201.0</v>
      </c>
      <c r="J104" s="9">
        <f>COUNTIFS($O$6:$O$99,6,$P$6:$P$99,1)</f>
        <v>10</v>
      </c>
      <c r="K104" s="30">
        <f>IF(J104&gt;0,AVERAGEIFS($S$6:$S$99,$O$6:$O$99,6,$P$6:$P$99,1),"-")</f>
        <v>2.6</v>
      </c>
      <c r="L104" s="30">
        <f t="array" ref="L104">IF(J104&gt;0,MEDIAN(IF(($O$6:$O$99=6)*($P$6:$P$99=1),$S$6:$S$99)),"-")</f>
        <v>3</v>
      </c>
      <c r="M104" s="9">
        <f>IF(J104&gt;0,_xlfn.MINIFS($S$6:$S$99,$O$6:$O$99,6,$P$6:$P$99,1),"-")</f>
        <v>1</v>
      </c>
      <c r="N104" s="9">
        <f>IF(J104&gt;0,_xlfn.MAXIFS($S$6:$S$99,$O$6:$O$99,6,$P$6:$P$99,1),"-")</f>
        <v>3</v>
      </c>
      <c r="O104" s="9">
        <f>COUNTIFS($O$6:$O$99,6,$P$6:$P$99,1,$S$6:$S$99,1)</f>
        <v>1</v>
      </c>
      <c r="P104" s="9">
        <f>COUNTIFS($O$6:$O$99,6,$P$6:$P$99,1,$S$6:$S$99,2)</f>
        <v>2</v>
      </c>
      <c r="Q104" s="9">
        <f>COUNTIFS($O$6:$O$99,6,$P$6:$P$99,1,$S$6:$S$99,3)</f>
        <v>7</v>
      </c>
      <c r="R104" s="9">
        <f>COUNTIFS($O$6:$O$99,6,$P$6:$P$99,1,$S$6:$S$99,4)</f>
        <v>0</v>
      </c>
      <c r="S104" s="9">
        <f>COUNTIFS($O$6:$O$99,6,$P$6:$P$99,1,$S$6:$S$99,5)</f>
        <v>0</v>
      </c>
      <c r="T104" s="9">
        <f>COUNTIFS($O$6:$O$99,6,$P$6:$P$99,1,$S$6:$S$99,"&gt;=6")</f>
        <v>0</v>
      </c>
      <c r="U104" s="9">
        <f>COUNTIFS($O$6:$O$99,6,$P$6:$P$99,1,$T$6:$T$99,"월 경계")</f>
        <v>0</v>
      </c>
      <c r="V104" s="9" t="inlineStr"/>
    </row>
    <row r="105">
      <c r="A105" s="9" t="inlineStr">
        <is>
          <t>7월</t>
        </is>
      </c>
      <c r="B105" s="9" t="str">
        <f>"#"&amp;_xlfn.MINIFS($D$6:$D$99,$O$6:$O$99,7)&amp;"~#"&amp;_xlfn.MAXIFS($D$6:$D$99,$O$6:$O$99,7)</f>
        <v>#50~#60</v>
      </c>
      <c r="C105" s="9">
        <f>COUNTIF($O$6:$O$99,7)</f>
        <v>11</v>
      </c>
      <c r="D105" s="20">
        <f>IF(ISNUMBER('P3_과거Batch_2026'!$AI$8),'P3_과거Batch_2026'!$AI$8,"")</f>
        <v>11</v>
      </c>
      <c r="E105" s="9">
        <f>IF(ISNUMBER(D105),C105-D105,"원자료 Total 없음")</f>
        <v>0</v>
      </c>
      <c r="F105" s="25">
        <f>C105*'01_Inputs'!$B$49</f>
        <v>2090</v>
      </c>
      <c r="G105" s="25">
        <f>IF(ISNUMBER(D105),D105*'01_Inputs'!$B$49,"-")</f>
        <v>2090</v>
      </c>
      <c r="H105" s="39">
        <f>_xlfn.MINIFS($E$6:$E$99,$O$6:$O$99,7)</f>
        <v>46204.0</v>
      </c>
      <c r="I105" s="39">
        <f>_xlfn.MAXIFS($E$6:$E$99,$O$6:$O$99,7)</f>
        <v>46232.0</v>
      </c>
      <c r="J105" s="9">
        <f>COUNTIFS($O$6:$O$99,7,$P$6:$P$99,1)</f>
        <v>11</v>
      </c>
      <c r="K105" s="30">
        <f>IF(J105&gt;0,AVERAGEIFS($S$6:$S$99,$O$6:$O$99,7,$P$6:$P$99,1),"-")</f>
        <v>2.81818181818182</v>
      </c>
      <c r="L105" s="30">
        <f t="array" ref="L105">IF(J105&gt;0,MEDIAN(IF(($O$6:$O$99=7)*($P$6:$P$99=1),$S$6:$S$99)),"-")</f>
        <v>3</v>
      </c>
      <c r="M105" s="9">
        <f>IF(J105&gt;0,_xlfn.MINIFS($S$6:$S$99,$O$6:$O$99,7,$P$6:$P$99,1),"-")</f>
        <v>2</v>
      </c>
      <c r="N105" s="9">
        <f>IF(J105&gt;0,_xlfn.MAXIFS($S$6:$S$99,$O$6:$O$99,7,$P$6:$P$99,1),"-")</f>
        <v>3</v>
      </c>
      <c r="O105" s="9">
        <f>COUNTIFS($O$6:$O$99,7,$P$6:$P$99,1,$S$6:$S$99,1)</f>
        <v>0</v>
      </c>
      <c r="P105" s="9">
        <f>COUNTIFS($O$6:$O$99,7,$P$6:$P$99,1,$S$6:$S$99,2)</f>
        <v>2</v>
      </c>
      <c r="Q105" s="9">
        <f>COUNTIFS($O$6:$O$99,7,$P$6:$P$99,1,$S$6:$S$99,3)</f>
        <v>9</v>
      </c>
      <c r="R105" s="9">
        <f>COUNTIFS($O$6:$O$99,7,$P$6:$P$99,1,$S$6:$S$99,4)</f>
        <v>0</v>
      </c>
      <c r="S105" s="9">
        <f>COUNTIFS($O$6:$O$99,7,$P$6:$P$99,1,$S$6:$S$99,5)</f>
        <v>0</v>
      </c>
      <c r="T105" s="9">
        <f>COUNTIFS($O$6:$O$99,7,$P$6:$P$99,1,$S$6:$S$99,"&gt;=6")</f>
        <v>0</v>
      </c>
      <c r="U105" s="9">
        <f>COUNTIFS($O$6:$O$99,7,$P$6:$P$99,1,$T$6:$T$99,"월 경계")</f>
        <v>1</v>
      </c>
      <c r="V105" s="9" t="inlineStr"/>
    </row>
    <row r="106">
      <c r="A106" s="9" t="inlineStr">
        <is>
          <t>8월</t>
        </is>
      </c>
      <c r="B106" s="9" t="str">
        <f>"#"&amp;_xlfn.MINIFS($D$6:$D$99,$O$6:$O$99,8)&amp;"~#"&amp;_xlfn.MAXIFS($D$6:$D$99,$O$6:$O$99,8)</f>
        <v>#61~#71</v>
      </c>
      <c r="C106" s="9">
        <f>COUNTIF($O$6:$O$99,8)</f>
        <v>11</v>
      </c>
      <c r="D106" s="20">
        <f>IF(ISNUMBER('P3_과거Batch_2026'!$AI$9),'P3_과거Batch_2026'!$AI$9,"")</f>
        <v>8</v>
      </c>
      <c r="E106" s="9">
        <f>IF(ISNUMBER(D106),C106-D106,"원자료 Total 없음")</f>
        <v>3</v>
      </c>
      <c r="F106" s="25">
        <f>C106*'01_Inputs'!$B$49</f>
        <v>2090</v>
      </c>
      <c r="G106" s="25">
        <f>IF(ISNUMBER(D106),D106*'01_Inputs'!$B$49,"-")</f>
        <v>1520</v>
      </c>
      <c r="H106" s="39">
        <f>_xlfn.MINIFS($E$6:$E$99,$O$6:$O$99,8)</f>
        <v>46235.0</v>
      </c>
      <c r="I106" s="39">
        <f>_xlfn.MAXIFS($E$6:$E$99,$O$6:$O$99,8)</f>
        <v>46265.0</v>
      </c>
      <c r="J106" s="9">
        <f>COUNTIFS($O$6:$O$99,8,$P$6:$P$99,1)</f>
        <v>11</v>
      </c>
      <c r="K106" s="30">
        <f>IF(J106&gt;0,AVERAGEIFS($S$6:$S$99,$O$6:$O$99,8,$P$6:$P$99,1),"-")</f>
        <v>3</v>
      </c>
      <c r="L106" s="30">
        <f t="array" ref="L106">IF(J106&gt;0,MEDIAN(IF(($O$6:$O$99=8)*($P$6:$P$99=1),$S$6:$S$99)),"-")</f>
        <v>3</v>
      </c>
      <c r="M106" s="9">
        <f>IF(J106&gt;0,_xlfn.MINIFS($S$6:$S$99,$O$6:$O$99,8,$P$6:$P$99,1),"-")</f>
        <v>3</v>
      </c>
      <c r="N106" s="9">
        <f>IF(J106&gt;0,_xlfn.MAXIFS($S$6:$S$99,$O$6:$O$99,8,$P$6:$P$99,1),"-")</f>
        <v>3</v>
      </c>
      <c r="O106" s="9">
        <f>COUNTIFS($O$6:$O$99,8,$P$6:$P$99,1,$S$6:$S$99,1)</f>
        <v>0</v>
      </c>
      <c r="P106" s="9">
        <f>COUNTIFS($O$6:$O$99,8,$P$6:$P$99,1,$S$6:$S$99,2)</f>
        <v>0</v>
      </c>
      <c r="Q106" s="9">
        <f>COUNTIFS($O$6:$O$99,8,$P$6:$P$99,1,$S$6:$S$99,3)</f>
        <v>11</v>
      </c>
      <c r="R106" s="9">
        <f>COUNTIFS($O$6:$O$99,8,$P$6:$P$99,1,$S$6:$S$99,4)</f>
        <v>0</v>
      </c>
      <c r="S106" s="9">
        <f>COUNTIFS($O$6:$O$99,8,$P$6:$P$99,1,$S$6:$S$99,5)</f>
        <v>0</v>
      </c>
      <c r="T106" s="9">
        <f>COUNTIFS($O$6:$O$99,8,$P$6:$P$99,1,$S$6:$S$99,"&gt;=6")</f>
        <v>0</v>
      </c>
      <c r="U106" s="9">
        <f>COUNTIFS($O$6:$O$99,8,$P$6:$P$99,1,$T$6:$T$99,"월 경계")</f>
        <v>1</v>
      </c>
      <c r="V106" s="9" t="inlineStr"/>
    </row>
    <row r="107">
      <c r="A107" s="9" t="inlineStr">
        <is>
          <t>9월</t>
        </is>
      </c>
      <c r="B107" s="9" t="str">
        <f>"#"&amp;_xlfn.MINIFS($D$6:$D$99,$O$6:$O$99,9)&amp;"~#"&amp;_xlfn.MAXIFS($D$6:$D$99,$O$6:$O$99,9)</f>
        <v>#72~#81</v>
      </c>
      <c r="C107" s="9">
        <f>COUNTIF($O$6:$O$99,9)</f>
        <v>10</v>
      </c>
      <c r="D107" s="20">
        <f>IF(ISNUMBER('P3_과거Batch_2026'!$AI$10),'P3_과거Batch_2026'!$AI$10,"")</f>
        <v>8</v>
      </c>
      <c r="E107" s="9">
        <f>IF(ISNUMBER(D107),C107-D107,"원자료 Total 없음")</f>
        <v>2</v>
      </c>
      <c r="F107" s="25">
        <f>C107*'01_Inputs'!$B$49</f>
        <v>1900</v>
      </c>
      <c r="G107" s="25">
        <f>IF(ISNUMBER(D107),D107*'01_Inputs'!$B$49,"-")</f>
        <v>1520</v>
      </c>
      <c r="H107" s="39">
        <f>_xlfn.MINIFS($E$6:$E$99,$O$6:$O$99,9)</f>
        <v>46268.0</v>
      </c>
      <c r="I107" s="39">
        <f>_xlfn.MAXIFS($E$6:$E$99,$O$6:$O$99,9)</f>
        <v>46293.0</v>
      </c>
      <c r="J107" s="9">
        <f>COUNTIFS($O$6:$O$99,9,$P$6:$P$99,1)</f>
        <v>10</v>
      </c>
      <c r="K107" s="30">
        <f>IF(J107&gt;0,AVERAGEIFS($S$6:$S$99,$O$6:$O$99,9,$P$6:$P$99,1),"-")</f>
        <v>2.8</v>
      </c>
      <c r="L107" s="30">
        <f t="array" ref="L107">IF(J107&gt;0,MEDIAN(IF(($O$6:$O$99=9)*($P$6:$P$99=1),$S$6:$S$99)),"-")</f>
        <v>2.5</v>
      </c>
      <c r="M107" s="9">
        <f>IF(J107&gt;0,_xlfn.MINIFS($S$6:$S$99,$O$6:$O$99,9,$P$6:$P$99,1),"-")</f>
        <v>2</v>
      </c>
      <c r="N107" s="9">
        <f>IF(J107&gt;0,_xlfn.MAXIFS($S$6:$S$99,$O$6:$O$99,9,$P$6:$P$99,1),"-")</f>
        <v>5</v>
      </c>
      <c r="O107" s="9">
        <f>COUNTIFS($O$6:$O$99,9,$P$6:$P$99,1,$S$6:$S$99,1)</f>
        <v>0</v>
      </c>
      <c r="P107" s="9">
        <f>COUNTIFS($O$6:$O$99,9,$P$6:$P$99,1,$S$6:$S$99,2)</f>
        <v>5</v>
      </c>
      <c r="Q107" s="9">
        <f>COUNTIFS($O$6:$O$99,9,$P$6:$P$99,1,$S$6:$S$99,3)</f>
        <v>3</v>
      </c>
      <c r="R107" s="9">
        <f>COUNTIFS($O$6:$O$99,9,$P$6:$P$99,1,$S$6:$S$99,4)</f>
        <v>1</v>
      </c>
      <c r="S107" s="9">
        <f>COUNTIFS($O$6:$O$99,9,$P$6:$P$99,1,$S$6:$S$99,5)</f>
        <v>1</v>
      </c>
      <c r="T107" s="9">
        <f>COUNTIFS($O$6:$O$99,9,$P$6:$P$99,1,$S$6:$S$99,"&gt;=6")</f>
        <v>0</v>
      </c>
      <c r="U107" s="9">
        <f>COUNTIFS($O$6:$O$99,9,$P$6:$P$99,1,$T$6:$T$99,"월 경계")</f>
        <v>1</v>
      </c>
      <c r="V107" s="9" t="inlineStr"/>
    </row>
    <row r="108">
      <c r="A108" s="9" t="inlineStr">
        <is>
          <t>10월</t>
        </is>
      </c>
      <c r="B108" s="9" t="str">
        <f>"#"&amp;_xlfn.MINIFS($D$6:$D$99,$O$6:$O$99,10)&amp;"~#"&amp;_xlfn.MAXIFS($D$6:$D$99,$O$6:$O$99,10)</f>
        <v>#82~#92</v>
      </c>
      <c r="C108" s="9">
        <f>COUNTIF($O$6:$O$99,10)</f>
        <v>11</v>
      </c>
      <c r="D108" s="20">
        <f>IF(ISNUMBER('P3_과거Batch_2026'!$AI$11),'P3_과거Batch_2026'!$AI$11,"")</f>
        <v>11</v>
      </c>
      <c r="E108" s="9">
        <f>IF(ISNUMBER(D108),C108-D108,"원자료 Total 없음")</f>
        <v>0</v>
      </c>
      <c r="F108" s="25">
        <f>C108*'01_Inputs'!$B$49</f>
        <v>2090</v>
      </c>
      <c r="G108" s="25">
        <f>IF(ISNUMBER(D108),D108*'01_Inputs'!$B$49,"-")</f>
        <v>2090</v>
      </c>
      <c r="H108" s="39">
        <f>_xlfn.MINIFS($E$6:$E$99,$O$6:$O$99,10)</f>
        <v>46296.0</v>
      </c>
      <c r="I108" s="39">
        <f>_xlfn.MAXIFS($E$6:$E$99,$O$6:$O$99,10)</f>
        <v>46324.0</v>
      </c>
      <c r="J108" s="9">
        <f>COUNTIFS($O$6:$O$99,10,$P$6:$P$99,1)</f>
        <v>11</v>
      </c>
      <c r="K108" s="30">
        <f>IF(J108&gt;0,AVERAGEIFS($S$6:$S$99,$O$6:$O$99,10,$P$6:$P$99,1),"-")</f>
        <v>2.81818181818182</v>
      </c>
      <c r="L108" s="30">
        <f t="array" ref="L108">IF(J108&gt;0,MEDIAN(IF(($O$6:$O$99=10)*($P$6:$P$99=1),$S$6:$S$99)),"-")</f>
        <v>3</v>
      </c>
      <c r="M108" s="9">
        <f>IF(J108&gt;0,_xlfn.MINIFS($S$6:$S$99,$O$6:$O$99,10,$P$6:$P$99,1),"-")</f>
        <v>2</v>
      </c>
      <c r="N108" s="9">
        <f>IF(J108&gt;0,_xlfn.MAXIFS($S$6:$S$99,$O$6:$O$99,10,$P$6:$P$99,1),"-")</f>
        <v>3</v>
      </c>
      <c r="O108" s="9">
        <f>COUNTIFS($O$6:$O$99,10,$P$6:$P$99,1,$S$6:$S$99,1)</f>
        <v>0</v>
      </c>
      <c r="P108" s="9">
        <f>COUNTIFS($O$6:$O$99,10,$P$6:$P$99,1,$S$6:$S$99,2)</f>
        <v>2</v>
      </c>
      <c r="Q108" s="9">
        <f>COUNTIFS($O$6:$O$99,10,$P$6:$P$99,1,$S$6:$S$99,3)</f>
        <v>9</v>
      </c>
      <c r="R108" s="9">
        <f>COUNTIFS($O$6:$O$99,10,$P$6:$P$99,1,$S$6:$S$99,4)</f>
        <v>0</v>
      </c>
      <c r="S108" s="9">
        <f>COUNTIFS($O$6:$O$99,10,$P$6:$P$99,1,$S$6:$S$99,5)</f>
        <v>0</v>
      </c>
      <c r="T108" s="9">
        <f>COUNTIFS($O$6:$O$99,10,$P$6:$P$99,1,$S$6:$S$99,"&gt;=6")</f>
        <v>0</v>
      </c>
      <c r="U108" s="9">
        <f>COUNTIFS($O$6:$O$99,10,$P$6:$P$99,1,$T$6:$T$99,"월 경계")</f>
        <v>1</v>
      </c>
      <c r="V108" s="9" t="inlineStr"/>
    </row>
    <row r="109">
      <c r="A109" s="9" t="inlineStr">
        <is>
          <t>11월</t>
        </is>
      </c>
      <c r="B109" s="9" t="str">
        <f>"#"&amp;_xlfn.MINIFS($D$6:$D$99,$O$6:$O$99,11)&amp;"~#"&amp;_xlfn.MAXIFS($D$6:$D$99,$O$6:$O$99,11)</f>
        <v>#0~#0</v>
      </c>
      <c r="C109" s="9">
        <f>COUNTIF($O$6:$O$99,11)</f>
        <v>0</v>
      </c>
      <c r="D109" s="20">
        <f>IF(ISNUMBER('P3_과거Batch_2026'!$AI$12),'P3_과거Batch_2026'!$AI$12,"")</f>
      </c>
      <c r="E109" s="9" t="str">
        <f>IF(ISNUMBER(D109),C109-D109,"원자료 Total 없음")</f>
        <v>원자료 Total 없음</v>
      </c>
      <c r="F109" s="25">
        <f>C109*'01_Inputs'!$B$49</f>
        <v>0</v>
      </c>
      <c r="G109" s="25" t="str">
        <f>IF(ISNUMBER(D109),D109*'01_Inputs'!$B$49,"-")</f>
        <v>-</v>
      </c>
      <c r="H109" s="39" t="str">
        <f>_xlfn.MINIFS($E$6:$E$99,$O$6:$O$99,11)</f>
        <v>00:00:00</v>
      </c>
      <c r="I109" s="39" t="str">
        <f>_xlfn.MAXIFS($E$6:$E$99,$O$6:$O$99,11)</f>
        <v>00:00:00</v>
      </c>
      <c r="J109" s="9">
        <f>COUNTIFS($O$6:$O$99,11,$P$6:$P$99,1)</f>
        <v>0</v>
      </c>
      <c r="K109" s="30" t="str">
        <f>IF(J109&gt;0,AVERAGEIFS($S$6:$S$99,$O$6:$O$99,11,$P$6:$P$99,1),"-")</f>
        <v>-</v>
      </c>
      <c r="L109" s="30" t="str">
        <f t="array" ref="L109">IF(J109&gt;0,MEDIAN(IF(($O$6:$O$99=11)*($P$6:$P$99=1),$S$6:$S$99)),"-")</f>
        <v>-</v>
      </c>
      <c r="M109" s="9" t="str">
        <f>IF(J109&gt;0,_xlfn.MINIFS($S$6:$S$99,$O$6:$O$99,11,$P$6:$P$99,1),"-")</f>
        <v>-</v>
      </c>
      <c r="N109" s="9" t="str">
        <f>IF(J109&gt;0,_xlfn.MAXIFS($S$6:$S$99,$O$6:$O$99,11,$P$6:$P$99,1),"-")</f>
        <v>-</v>
      </c>
      <c r="O109" s="9">
        <f>COUNTIFS($O$6:$O$99,11,$P$6:$P$99,1,$S$6:$S$99,1)</f>
        <v>0</v>
      </c>
      <c r="P109" s="9">
        <f>COUNTIFS($O$6:$O$99,11,$P$6:$P$99,1,$S$6:$S$99,2)</f>
        <v>0</v>
      </c>
      <c r="Q109" s="9">
        <f>COUNTIFS($O$6:$O$99,11,$P$6:$P$99,1,$S$6:$S$99,3)</f>
        <v>0</v>
      </c>
      <c r="R109" s="9">
        <f>COUNTIFS($O$6:$O$99,11,$P$6:$P$99,1,$S$6:$S$99,4)</f>
        <v>0</v>
      </c>
      <c r="S109" s="9">
        <f>COUNTIFS($O$6:$O$99,11,$P$6:$P$99,1,$S$6:$S$99,5)</f>
        <v>0</v>
      </c>
      <c r="T109" s="9">
        <f>COUNTIFS($O$6:$O$99,11,$P$6:$P$99,1,$S$6:$S$99,"&gt;=6")</f>
        <v>0</v>
      </c>
      <c r="U109" s="9">
        <f>COUNTIFS($O$6:$O$99,11,$P$6:$P$99,1,$T$6:$T$99,"월 경계")</f>
        <v>0</v>
      </c>
      <c r="V109" s="9" t="inlineStr"/>
    </row>
    <row r="110">
      <c r="A110" s="9" t="inlineStr">
        <is>
          <t>12월</t>
        </is>
      </c>
      <c r="B110" s="9" t="str">
        <f>"#"&amp;_xlfn.MINIFS($D$6:$D$99,$O$6:$O$99,12)&amp;"~#"&amp;_xlfn.MAXIFS($D$6:$D$99,$O$6:$O$99,12)</f>
        <v>#0~#0</v>
      </c>
      <c r="C110" s="9">
        <f>COUNTIF($O$6:$O$99,12)</f>
        <v>0</v>
      </c>
      <c r="D110" s="20">
        <f>IF(ISNUMBER('P3_과거Batch_2026'!$AI$13),'P3_과거Batch_2026'!$AI$13,"")</f>
      </c>
      <c r="E110" s="9" t="str">
        <f>IF(ISNUMBER(D110),C110-D110,"원자료 Total 없음")</f>
        <v>원자료 Total 없음</v>
      </c>
      <c r="F110" s="25">
        <f>C110*'01_Inputs'!$B$49</f>
        <v>0</v>
      </c>
      <c r="G110" s="25" t="str">
        <f>IF(ISNUMBER(D110),D110*'01_Inputs'!$B$49,"-")</f>
        <v>-</v>
      </c>
      <c r="H110" s="39" t="str">
        <f>_xlfn.MINIFS($E$6:$E$99,$O$6:$O$99,12)</f>
        <v>00:00:00</v>
      </c>
      <c r="I110" s="39" t="str">
        <f>_xlfn.MAXIFS($E$6:$E$99,$O$6:$O$99,12)</f>
        <v>00:00:00</v>
      </c>
      <c r="J110" s="9">
        <f>COUNTIFS($O$6:$O$99,12,$P$6:$P$99,1)</f>
        <v>0</v>
      </c>
      <c r="K110" s="30" t="str">
        <f>IF(J110&gt;0,AVERAGEIFS($S$6:$S$99,$O$6:$O$99,12,$P$6:$P$99,1),"-")</f>
        <v>-</v>
      </c>
      <c r="L110" s="30" t="str">
        <f t="array" ref="L110">IF(J110&gt;0,MEDIAN(IF(($O$6:$O$99=12)*($P$6:$P$99=1),$S$6:$S$99)),"-")</f>
        <v>-</v>
      </c>
      <c r="M110" s="9" t="str">
        <f>IF(J110&gt;0,_xlfn.MINIFS($S$6:$S$99,$O$6:$O$99,12,$P$6:$P$99,1),"-")</f>
        <v>-</v>
      </c>
      <c r="N110" s="9" t="str">
        <f>IF(J110&gt;0,_xlfn.MAXIFS($S$6:$S$99,$O$6:$O$99,12,$P$6:$P$99,1),"-")</f>
        <v>-</v>
      </c>
      <c r="O110" s="9">
        <f>COUNTIFS($O$6:$O$99,12,$P$6:$P$99,1,$S$6:$S$99,1)</f>
        <v>0</v>
      </c>
      <c r="P110" s="9">
        <f>COUNTIFS($O$6:$O$99,12,$P$6:$P$99,1,$S$6:$S$99,2)</f>
        <v>0</v>
      </c>
      <c r="Q110" s="9">
        <f>COUNTIFS($O$6:$O$99,12,$P$6:$P$99,1,$S$6:$S$99,3)</f>
        <v>0</v>
      </c>
      <c r="R110" s="9">
        <f>COUNTIFS($O$6:$O$99,12,$P$6:$P$99,1,$S$6:$S$99,4)</f>
        <v>0</v>
      </c>
      <c r="S110" s="9">
        <f>COUNTIFS($O$6:$O$99,12,$P$6:$P$99,1,$S$6:$S$99,5)</f>
        <v>0</v>
      </c>
      <c r="T110" s="9">
        <f>COUNTIFS($O$6:$O$99,12,$P$6:$P$99,1,$S$6:$S$99,"&gt;=6")</f>
        <v>0</v>
      </c>
      <c r="U110" s="9">
        <f>COUNTIFS($O$6:$O$99,12,$P$6:$P$99,1,$T$6:$T$99,"월 경계")</f>
        <v>0</v>
      </c>
      <c r="V110" s="9" t="inlineStr"/>
    </row>
    <row r="111">
      <c r="A111" s="37" t="inlineStr">
        <is>
          <t>6~12월 합계</t>
        </is>
      </c>
      <c r="B111" s="10" t="str">
        <f>"#"&amp;_xlfn.MINIFS($D$6:$D$99,$O$6:$O$99,"&gt;=6")&amp;"~#"&amp;_xlfn.MAXIFS($D$6:$D$99,$O$6:$O$99,"&lt;=12")</f>
        <v>#39~#92</v>
      </c>
      <c r="C111" s="10">
        <f>SUM(C104:C110)</f>
        <v>54</v>
      </c>
      <c r="D111" s="10">
        <f>SUM(D104:D110)</f>
        <v>46</v>
      </c>
      <c r="E111" s="10">
        <f>C111-D111</f>
        <v>8</v>
      </c>
      <c r="F111" s="40">
        <f>SUM(F104:F110)</f>
        <v>10260</v>
      </c>
      <c r="G111" s="40">
        <f>SUM(G104:G110)</f>
        <v>8740</v>
      </c>
      <c r="H111" s="41">
        <f>H104</f>
        <v>46175.0</v>
      </c>
      <c r="I111" s="41" t="str">
        <f>I110</f>
        <v>00:00:00</v>
      </c>
      <c r="J111" s="10">
        <f>SUM(J104:J110)</f>
        <v>53</v>
      </c>
      <c r="K111" s="42">
        <f>AVERAGEIFS($S$6:$S$99,$P$6:$P$99,1)</f>
        <v>2.81132075471698</v>
      </c>
      <c r="L111" s="42">
        <f t="array" ref="L111">MEDIAN(IF($P$6:$P$99=1,$S$6:$S$99))</f>
        <v>3</v>
      </c>
      <c r="M111" s="10">
        <f>_xlfn.MINIFS($S$6:$S$99,$P$6:$P$99,1)</f>
        <v>1</v>
      </c>
      <c r="N111" s="10">
        <f>_xlfn.MAXIFS($S$6:$S$99,$P$6:$P$99,1)</f>
        <v>5</v>
      </c>
      <c r="O111" s="10">
        <f>SUM(O104:O110)</f>
        <v>1</v>
      </c>
      <c r="P111" s="10">
        <f>SUM(P104:P110)</f>
        <v>11</v>
      </c>
      <c r="Q111" s="10">
        <f>SUM(Q104:Q110)</f>
        <v>39</v>
      </c>
      <c r="R111" s="10">
        <f>SUM(R104:R110)</f>
        <v>1</v>
      </c>
      <c r="S111" s="10">
        <f>SUM(S104:S110)</f>
        <v>1</v>
      </c>
      <c r="T111" s="10">
        <f>SUM(T104:T110)</f>
        <v>0</v>
      </c>
      <c r="U111" s="10">
        <f>SUM(U104:U110)</f>
        <v>4</v>
      </c>
      <c r="V111" s="37" t="inlineStr">
        <is>
          <t>5→6월 경계(7일)는 분석 범위 밖</t>
        </is>
      </c>
    </row>
    <row r="113">
      <c r="A113" s="9" t="inlineStr">
        <is>
          <t>대조 '차이 확인' 건수</t>
        </is>
      </c>
      <c r="B113" s="43" t="n"/>
      <c r="C113" s="43" t="n"/>
      <c r="D113" s="44" t="n"/>
      <c r="E113" s="45">
        <f>COUNTIF($N$6:$N$99,"차이 확인")</f>
        <v>0</v>
      </c>
    </row>
    <row r="114">
      <c r="A114" s="9" t="inlineStr">
        <is>
          <t>번호 불연속</t>
        </is>
      </c>
      <c r="B114" s="43" t="n"/>
      <c r="C114" s="43" t="n"/>
      <c r="D114" s="44" t="n"/>
      <c r="E114" s="45">
        <f>COUNTIF($Q$6:$Q$99,"확인")</f>
        <v>0</v>
      </c>
    </row>
    <row r="115">
      <c r="A115" s="9" t="inlineStr">
        <is>
          <t>중복 번호</t>
        </is>
      </c>
      <c r="B115" s="43" t="n"/>
      <c r="C115" s="43" t="n"/>
      <c r="D115" s="44" t="n"/>
      <c r="E115" s="45">
        <f>COUNTIF($R$6:$R$99,"중복")</f>
        <v>0</v>
      </c>
    </row>
    <row r="116">
      <c r="A116" s="9" t="inlineStr">
        <is>
          <t>Total≠번호 월 수</t>
        </is>
      </c>
      <c r="B116" s="43" t="n"/>
      <c r="C116" s="43" t="n"/>
      <c r="D116" s="44" t="n"/>
      <c r="E116" s="45">
        <f>SUMPRODUCT(--ISNUMBER(E104:E110),--(E104:E110&lt;&gt;0))</f>
        <v>3</v>
      </c>
    </row>
    <row r="117">
      <c r="A117" s="9" t="inlineStr">
        <is>
          <t>정제기 점유 하한 미만 롤링 구간</t>
        </is>
      </c>
      <c r="B117" s="43" t="n"/>
      <c r="C117" s="43" t="n"/>
      <c r="D117" s="44" t="n"/>
      <c r="E117" s="45">
        <f>COUNTIF($Z$6:$Z$99,"확인*")</f>
        <v>0</v>
      </c>
    </row>
    <row r="119">
      <c r="A119" s="2" t="inlineStr">
        <is>
          <t>※ 원본 이미지 5개는 첨부되지 않음 → 원본·수정본 발표자 노트 + 원본 분포도 좌표 + 사용자 지시 목록 대조.</t>
        </is>
      </c>
    </row>
    <row r="120">
      <c r="A120" s="2" t="inlineStr">
        <is>
          <t>※ D일 간격 실제 경과 = (D−1)×24 ~ (D+1)×24 h. 2일 = 24~72 h — 48 h로 단정하지 않음.</t>
        </is>
      </c>
    </row>
    <row r="121">
      <c r="A121" s="2" t="inlineStr">
        <is>
          <t>※ 정제기 점유 정합: 롤링 k간격 평균 최대 경과가 점유 하한(준비 2 + 정제 45 + 이송 점유 입력)보다 짧으면 표시.</t>
        </is>
      </c>
    </row>
    <row r="122">
      <c r="A122" s="2" t="inlineStr">
        <is>
          <t>※ 번호 개수 ≠ 양품 완료 Batch. 원자료 Total 집계 대상·색상 의미·표시일자(투입/완료) 의미 확인 필요.</t>
        </is>
      </c>
    </row>
  </sheetData>
  <autoFilter ref="A5:Z99"/>
  <mergeCells count="5">
    <mergeCell ref="A116:D116"/>
    <mergeCell ref="A117:D117"/>
    <mergeCell ref="A114:D114"/>
    <mergeCell ref="A113:D113"/>
    <mergeCell ref="A115:D115"/>
  </mergeCells>
  <conditionalFormatting sqref="E104:E111">
    <cfRule type="expression" priority="1" dxfId="0">
      <formula>AND(ISNUMBER(E104),E104&lt;&gt;0)</formula>
    </cfRule>
  </conditionalFormatting>
  <conditionalFormatting sqref="C104:D110">
    <cfRule type="expression" priority="2" dxfId="0">
      <formula>AND(ISNUMBER($D104),$C104&lt;&gt;$D104)</formula>
    </cfRule>
  </conditionalFormatting>
  <conditionalFormatting sqref="N6:N99">
    <cfRule type="expression" priority="3" dxfId="0">
      <formula>N6="차이 확인"</formula>
    </cfRule>
  </conditionalFormatting>
  <conditionalFormatting sqref="Z6:Z99">
    <cfRule type="expression" priority="4" dxfId="0">
      <formula>LEFT(Z6,2)="확인"</formula>
    </cfRule>
  </conditionalFormatting>
  <conditionalFormatting sqref="S6:S99">
    <cfRule type="expression" priority="5" dxfId="1">
      <formula>AND(ISNUMBER(S6),S6&lt;=2)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B002C"/>
    <outlinePr summaryBelow="1" summaryRight="1"/>
    <pageSetUpPr/>
  </sheetPr>
  <dimension ref="A1:AX14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6" customWidth="1" min="8" max="8"/>
    <col width="3.2" customWidth="1" min="10" max="10"/>
    <col width="3.2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  <col width="3.2" customWidth="1" min="33" max="33"/>
    <col width="3.2" customWidth="1" min="34" max="34"/>
    <col width="3.2" customWidth="1" min="35" max="35"/>
    <col width="3.2" customWidth="1" min="36" max="36"/>
    <col width="3.2" customWidth="1" min="37" max="37"/>
    <col width="3.2" customWidth="1" min="38" max="38"/>
    <col width="3.2" customWidth="1" min="39" max="39"/>
    <col width="3.2" customWidth="1" min="40" max="40"/>
    <col width="3.2" customWidth="1" min="41" max="41"/>
    <col width="3.2" customWidth="1" min="42" max="42"/>
    <col width="3.2" customWidth="1" min="43" max="43"/>
    <col width="3.2" customWidth="1" min="44" max="44"/>
    <col width="3.2" customWidth="1" min="45" max="45"/>
    <col width="3.2" customWidth="1" min="46" max="46"/>
    <col width="3.2" customWidth="1" min="47" max="47"/>
    <col width="3.2" customWidth="1" min="48" max="48"/>
    <col width="3.2" customWidth="1" min="49" max="49"/>
    <col width="3.2" customWidth="1" min="50" max="50"/>
  </cols>
  <sheetData>
    <row r="1">
      <c r="A1" s="1" t="inlineStr">
        <is>
          <t>03_Capacity_Model | 공정시간 · 정제기 점유 · 이론/과거/관측 · 2대 시차 운전 · 후공정 자원</t>
        </is>
      </c>
    </row>
    <row r="2">
      <c r="A2" s="2" t="inlineStr">
        <is>
          <t>Lead Time(입고→출하)과 정제기 투입 간격을 구분. 충진은 다음 Batch 정제와 병렬 — 충진시간을 정제시간에 더하지 않음.</t>
        </is>
      </c>
    </row>
    <row r="3">
      <c r="A3" s="3" t="inlineStr">
        <is>
          <t xml:space="preserve">  </t>
        </is>
      </c>
      <c r="B3" s="4" t="inlineStr">
        <is>
          <t>입력 (제공·확정·계획)</t>
        </is>
      </c>
      <c r="C3" s="5" t="inlineStr">
        <is>
          <t xml:space="preserve">  </t>
        </is>
      </c>
      <c r="D3" s="4" t="inlineStr">
        <is>
          <t>미확인 입력란 (공란 유지)</t>
        </is>
      </c>
      <c r="E3" s="6" t="inlineStr">
        <is>
          <t xml:space="preserve">  </t>
        </is>
      </c>
      <c r="F3" s="4" t="inlineStr">
        <is>
          <t>추정·가정 입력</t>
        </is>
      </c>
      <c r="G3" s="7" t="inlineStr">
        <is>
          <t xml:space="preserve">  </t>
        </is>
      </c>
      <c r="H3" s="4" t="inlineStr">
        <is>
          <t>구두 언급 (미검증)</t>
        </is>
      </c>
      <c r="I3" s="8" t="inlineStr">
        <is>
          <t xml:space="preserve">  </t>
        </is>
      </c>
      <c r="J3" s="4" t="inlineStr">
        <is>
          <t>검토안 (미확정)</t>
        </is>
      </c>
      <c r="K3" s="9" t="inlineStr">
        <is>
          <t xml:space="preserve">  </t>
        </is>
      </c>
      <c r="L3" s="4" t="inlineStr">
        <is>
          <t>수식 / 시트 참조(초록)</t>
        </is>
      </c>
      <c r="M3" s="10" t="inlineStr">
        <is>
          <t xml:space="preserve">  </t>
        </is>
      </c>
      <c r="N3" s="4" t="inlineStr">
        <is>
          <t>핵심 결과</t>
        </is>
      </c>
    </row>
    <row r="6">
      <c r="A6" s="46" t="inlineStr">
        <is>
          <t>1. 경로별 한 Batch 확인 공정시간 (단순 합계 — 달력 납기 아님)</t>
        </is>
      </c>
    </row>
    <row r="7" ht="30" customHeight="1">
      <c r="A7" s="11" t="inlineStr">
        <is>
          <t>공정</t>
        </is>
      </c>
      <c r="B7" s="11" t="inlineStr">
        <is>
          <t>5 Gal 약 9병
(h)</t>
        </is>
      </c>
      <c r="C7" s="11" t="inlineStr">
        <is>
          <t>이지켐 200 L
1용기 수동 (h)</t>
        </is>
      </c>
      <c r="D7" s="11" t="inlineStr">
        <is>
          <t>한솔 200 L
1용기 (h)</t>
        </is>
      </c>
      <c r="E7" s="11" t="inlineStr"/>
      <c r="F7" s="11" t="inlineStr"/>
      <c r="G7" s="11" t="inlineStr"/>
      <c r="H7" s="11" t="inlineStr">
        <is>
          <t>비고</t>
        </is>
      </c>
    </row>
    <row r="8">
      <c r="A8" s="9" t="inlineStr">
        <is>
          <t>수입검사 IQC</t>
        </is>
      </c>
      <c r="B8" s="16">
        <f>IF(ISNUMBER('01_Inputs'!$B$14),'01_Inputs'!$B$14,"미확인")</f>
        <v>2</v>
      </c>
      <c r="C8" s="16">
        <f>IF(ISNUMBER('01_Inputs'!$B$14),'01_Inputs'!$B$14,"미확인")</f>
        <v>2</v>
      </c>
      <c r="D8" s="16">
        <f>IF(ISNUMBER('01_Inputs'!$B$14),'01_Inputs'!$B$14,"미확인")</f>
        <v>2</v>
      </c>
      <c r="H8" s="47" t="inlineStr">
        <is>
          <t>원료 Lot 단위</t>
        </is>
      </c>
    </row>
    <row r="9">
      <c r="A9" s="9" t="inlineStr">
        <is>
          <t>준비·투입</t>
        </is>
      </c>
      <c r="B9" s="16">
        <f>IF(ISNUMBER('01_Inputs'!$B$15),'01_Inputs'!$B$15,"미확인")</f>
        <v>2</v>
      </c>
      <c r="C9" s="16">
        <f>IF(ISNUMBER('01_Inputs'!$B$15),'01_Inputs'!$B$15,"미확인")</f>
        <v>2</v>
      </c>
      <c r="D9" s="16">
        <f>IF(ISNUMBER('01_Inputs'!$B$15),'01_Inputs'!$B$15,"미확인")</f>
        <v>2</v>
      </c>
      <c r="H9" s="47" t="inlineStr">
        <is>
          <t>정제기 점유</t>
        </is>
      </c>
    </row>
    <row r="10">
      <c r="A10" s="9" t="inlineStr">
        <is>
          <t>정제</t>
        </is>
      </c>
      <c r="B10" s="16">
        <f>IF(ISNUMBER('01_Inputs'!$B$16),'01_Inputs'!$B$16,"미확인")</f>
        <v>45</v>
      </c>
      <c r="C10" s="16">
        <f>IF(ISNUMBER('01_Inputs'!$B$16),'01_Inputs'!$B$16,"미확인")</f>
        <v>45</v>
      </c>
      <c r="D10" s="16">
        <f>IF(ISNUMBER('01_Inputs'!$B$16),'01_Inputs'!$B$16,"미확인")</f>
        <v>45</v>
      </c>
      <c r="H10" s="47" t="inlineStr">
        <is>
          <t>정제기 점유</t>
        </is>
      </c>
    </row>
    <row r="11">
      <c r="A11" s="9" t="inlineStr">
        <is>
          <t>PQC + 제품 이송 (합계)</t>
        </is>
      </c>
      <c r="B11" s="16">
        <f>IF(ISNUMBER('01_Inputs'!$B$17),'01_Inputs'!$B$17,"미확인")</f>
        <v>6</v>
      </c>
      <c r="C11" s="16">
        <f>IF(ISNUMBER('01_Inputs'!$B$17),'01_Inputs'!$B$17,"미확인")</f>
        <v>6</v>
      </c>
      <c r="D11" s="16">
        <f>IF(ISNUMBER('01_Inputs'!$B$17),'01_Inputs'!$B$17,"미확인")</f>
        <v>6</v>
      </c>
      <c r="H11" s="47" t="inlineStr">
        <is>
          <t>합계 6 h</t>
        </is>
      </c>
    </row>
    <row r="12">
      <c r="A12" s="9" t="inlineStr">
        <is>
          <t>제품검사 FQC</t>
        </is>
      </c>
      <c r="B12" s="16">
        <f>IF(ISNUMBER('01_Inputs'!$B$18),'01_Inputs'!$B$18,"미확인")</f>
        <v>2</v>
      </c>
      <c r="C12" s="16">
        <f>IF(ISNUMBER('01_Inputs'!$B$18),'01_Inputs'!$B$18,"미확인")</f>
        <v>2</v>
      </c>
      <c r="D12" s="16">
        <f>IF(ISNUMBER('01_Inputs'!$B$18),'01_Inputs'!$B$18,"미확인")</f>
        <v>2</v>
      </c>
      <c r="H12" s="47" t="inlineStr">
        <is>
          <t>대기 별도</t>
        </is>
      </c>
    </row>
    <row r="13">
      <c r="A13" s="9" t="inlineStr">
        <is>
          <t>충진 (필터 포함)</t>
        </is>
      </c>
      <c r="B13" s="16">
        <f>IF(ISNUMBER('01_Inputs'!$B$30),'01_Inputs'!$B$30,"미확인")</f>
        <v>18</v>
      </c>
      <c r="C13" s="16">
        <f>IF(ISNUMBER('01_Inputs'!$B$34),'01_Inputs'!$B$34,"미확인")</f>
        <v>8</v>
      </c>
      <c r="D13" s="16" t="str">
        <f>IF(ISNUMBER('01_Inputs'!$B$35),'01_Inputs'!$B$35,"미확인")</f>
        <v>미확인</v>
      </c>
      <c r="H13" s="47" t="inlineStr">
        <is>
          <t>한솔 수동 시간 미확인</t>
        </is>
      </c>
    </row>
    <row r="14">
      <c r="A14" s="9" t="inlineStr">
        <is>
          <t>OQC·출하 작업</t>
        </is>
      </c>
      <c r="B14" s="16">
        <f>IF(ISNUMBER('01_Inputs'!$B$32),'01_Inputs'!$B$32,"미확인")</f>
        <v>2</v>
      </c>
      <c r="C14" s="16">
        <f>IF(ISNUMBER('01_Inputs'!$B$33),'01_Inputs'!$B$33,"미확인")</f>
        <v>2</v>
      </c>
      <c r="D14" s="16">
        <f>IF(ISNUMBER('01_Inputs'!$B$33),'01_Inputs'!$B$33,"미확인")</f>
        <v>2</v>
      </c>
      <c r="H14" s="47" t="inlineStr">
        <is>
          <t>운송 별도</t>
        </is>
      </c>
    </row>
    <row r="15">
      <c r="A15" s="37" t="inlineStr">
        <is>
          <t>충진 전까지 소계 (IQC~FQC)</t>
        </is>
      </c>
      <c r="B15" s="48">
        <f>SUM(B8:B12)</f>
        <v>57</v>
      </c>
      <c r="C15" s="48">
        <f>SUM(C8:C12)</f>
        <v>57</v>
      </c>
      <c r="D15" s="48">
        <f>SUM(D8:D12)</f>
        <v>57</v>
      </c>
    </row>
    <row r="16">
      <c r="A16" s="37" t="inlineStr">
        <is>
          <t>확인시간 단순 합계</t>
        </is>
      </c>
      <c r="B16" s="48">
        <f>SUM(B8:B14)</f>
        <v>77</v>
      </c>
      <c r="C16" s="48">
        <f>SUM(C8:C14)</f>
        <v>67</v>
      </c>
      <c r="D16" s="48" t="str">
        <f>SUM(D8:D14)&amp;IF(COUNTIF(D8:D14,"미확인")&gt;0," + 미확인","")</f>
        <v>59 + 미확인</v>
      </c>
      <c r="H16" s="47" t="inlineStr">
        <is>
          <t>77 h · 67 h — 실제 달력 납기 아님 (대기·근무시간 미반영)</t>
        </is>
      </c>
    </row>
    <row r="17">
      <c r="A17" s="9" t="inlineStr">
        <is>
          <t>5 Gal 충진 18 h의 근무일 환산</t>
        </is>
      </c>
      <c r="B17" s="30">
        <f>'01_Inputs'!$B$30/'01_Inputs'!$B$39</f>
        <v>2.25</v>
      </c>
      <c r="C17" s="9" t="inlineStr">
        <is>
          <t>근무일</t>
        </is>
      </c>
      <c r="D17" s="47" t="inlineStr">
        <is>
          <t>18 ÷ 8 = 2.25 근무일 (현장 설명: 약 2일) — 작업시간 ≠ 경과시간</t>
        </is>
      </c>
    </row>
    <row r="18">
      <c r="A18" s="9" t="inlineStr">
        <is>
          <t>1교대 기준 충진 경과시간 (달력)</t>
        </is>
      </c>
      <c r="B18" s="14">
        <f>ROUNDUP('03_Capacity_Model'!$B$17,0)*24</f>
        <v>72</v>
      </c>
      <c r="C18" s="9" t="inlineStr">
        <is>
          <t>h</t>
        </is>
      </c>
      <c r="D18" s="47" t="inlineStr">
        <is>
          <t>근무일 올림 × 24 h — 참고</t>
        </is>
      </c>
    </row>
    <row r="20">
      <c r="A20" s="46" t="inlineStr">
        <is>
          <t>2. 정제기 점유시간 vs 다음 Batch 투입 간격</t>
        </is>
      </c>
    </row>
    <row r="21">
      <c r="A21" s="9" t="inlineStr">
        <is>
          <t>정제기 점유 확인분 (준비·투입 + 정제)</t>
        </is>
      </c>
      <c r="B21" s="48">
        <f>'01_Inputs'!$B$15+'01_Inputs'!$B$16</f>
        <v>47</v>
      </c>
      <c r="C21" s="9" t="inlineStr">
        <is>
          <t>h/Batch</t>
        </is>
      </c>
      <c r="D21" s="47" t="inlineStr">
        <is>
          <t>IQC·FQC는 정제기 점유 아님</t>
        </is>
      </c>
    </row>
    <row r="22">
      <c r="A22" s="9" t="inlineStr">
        <is>
          <t>점유 상한 참고 (+ PQC·이송 6 h 전부)</t>
        </is>
      </c>
      <c r="B22" s="14">
        <f>'03_Capacity_Model'!$B$21+'01_Inputs'!$B$17</f>
        <v>53</v>
      </c>
      <c r="C22" s="9" t="inlineStr">
        <is>
          <t>h/Batch</t>
        </is>
      </c>
      <c r="D22" s="47" t="inlineStr">
        <is>
          <t>이송 중 점유분 미확인 (01_Inputs B)</t>
        </is>
      </c>
    </row>
    <row r="23">
      <c r="A23" s="9" t="inlineStr">
        <is>
          <t>적용 점유 (확인분 + 이송 점유 입력)</t>
        </is>
      </c>
      <c r="B23" s="14">
        <f>'03_Capacity_Model'!$B$21+N('01_Inputs'!$B$22)</f>
        <v>47</v>
      </c>
      <c r="C23" s="9" t="inlineStr">
        <is>
          <t>h/Batch</t>
        </is>
      </c>
      <c r="D23" s="47" t="inlineStr">
        <is>
          <t>미입력 시 하한</t>
        </is>
      </c>
    </row>
    <row r="25">
      <c r="A25" s="46" t="inlineStr">
        <is>
          <t>3. ① 정제시간만 적용한 이론 비교값 (실제 생산능력 아님)</t>
        </is>
      </c>
    </row>
    <row r="26">
      <c r="A26" s="9" t="inlineStr">
        <is>
          <t>정제시간</t>
        </is>
      </c>
      <c r="B26" s="16">
        <f>'01_Inputs'!$B$16</f>
        <v>45</v>
      </c>
      <c r="C26" s="9" t="inlineStr">
        <is>
          <t>h/Batch</t>
        </is>
      </c>
      <c r="D26" s="47" t="inlineStr">
        <is>
          <t>45 h</t>
        </is>
      </c>
    </row>
    <row r="27">
      <c r="A27" s="9" t="inlineStr">
        <is>
          <t>720 ÷ 45</t>
        </is>
      </c>
      <c r="B27" s="30">
        <f>'01_Inputs'!$B$11/'03_Capacity_Model'!$B$26</f>
        <v>16</v>
      </c>
      <c r="C27" s="9" t="inlineStr">
        <is>
          <t>Batch/월</t>
        </is>
      </c>
      <c r="D27" s="47" t="inlineStr">
        <is>
          <t>준비·전환·이송·세척·대기·보수 제외</t>
        </is>
      </c>
    </row>
    <row r="28">
      <c r="A28" s="9" t="inlineStr">
        <is>
          <t>월내 완료 정수 Batch</t>
        </is>
      </c>
      <c r="B28" s="45">
        <f>INT('03_Capacity_Model'!$B$27)</f>
        <v>16</v>
      </c>
      <c r="C28" s="9" t="inlineStr">
        <is>
          <t>Batch/월</t>
        </is>
      </c>
      <c r="D28" s="47" t="inlineStr"/>
    </row>
    <row r="29">
      <c r="A29" s="9" t="inlineStr">
        <is>
          <t>월말 진행 중 경과 (이월)</t>
        </is>
      </c>
      <c r="B29" s="14">
        <f>'01_Inputs'!$B$11-'03_Capacity_Model'!$B$28*'03_Capacity_Model'!$B$26</f>
        <v>0</v>
      </c>
      <c r="C29" s="9" t="inlineStr">
        <is>
          <t>h</t>
        </is>
      </c>
      <c r="D29" s="47" t="inlineStr"/>
    </row>
    <row r="30">
      <c r="A30" s="9" t="inlineStr">
        <is>
          <t>월 생산량 (정수 × 190)</t>
        </is>
      </c>
      <c r="B30" s="40">
        <f>'03_Capacity_Model'!$B$28*'01_Inputs'!$B$49</f>
        <v>3040</v>
      </c>
      <c r="C30" s="9" t="inlineStr">
        <is>
          <t>kg/월</t>
        </is>
      </c>
      <c r="D30" s="47" t="inlineStr">
        <is>
          <t>16 × 190 = 3,040</t>
        </is>
      </c>
    </row>
    <row r="31">
      <c r="A31" s="9" t="inlineStr">
        <is>
          <t>참고: 점유 확인분 47 h 기준 720 ÷ 47</t>
        </is>
      </c>
      <c r="B31" s="30">
        <f>'01_Inputs'!$B$11/'03_Capacity_Model'!$B$21</f>
        <v>15.3191489361702</v>
      </c>
      <c r="C31" s="9" t="inlineStr">
        <is>
          <t>Batch/월</t>
        </is>
      </c>
      <c r="D31" s="47" t="inlineStr">
        <is>
          <t>준비·투입 포함 시</t>
        </is>
      </c>
    </row>
    <row r="32">
      <c r="A32" s="9" t="inlineStr">
        <is>
          <t>참고: 연간 달력 연속 INT(8,760 ÷ 45)</t>
        </is>
      </c>
      <c r="B32" s="15">
        <f>INT('01_Inputs'!$B$12/'03_Capacity_Model'!$B$26)</f>
        <v>194</v>
      </c>
      <c r="C32" s="9" t="inlineStr">
        <is>
          <t>Batch/년</t>
        </is>
      </c>
      <c r="D32" s="47" t="inlineStr">
        <is>
          <t>정지·보수 0 가정 상한</t>
        </is>
      </c>
    </row>
    <row r="33">
      <c r="A33" s="9" t="inlineStr">
        <is>
          <t>참고: 연간 달력 연속 생산량</t>
        </is>
      </c>
      <c r="B33" s="25">
        <f>'03_Capacity_Model'!$B$32*'01_Inputs'!$B$49</f>
        <v>36860</v>
      </c>
      <c r="C33" s="9" t="inlineStr">
        <is>
          <t>kg/년</t>
        </is>
      </c>
      <c r="D33" s="47" t="inlineStr"/>
    </row>
    <row r="35">
      <c r="A35" s="46" t="inlineStr">
        <is>
          <t>4. ② 과거 월 최대 11 Batch</t>
        </is>
      </c>
    </row>
    <row r="36">
      <c r="A36" s="9" t="inlineStr">
        <is>
          <t>과거 월 최대</t>
        </is>
      </c>
      <c r="B36" s="19">
        <f>'01_Inputs'!$B$74</f>
        <v>11</v>
      </c>
      <c r="C36" s="9" t="inlineStr">
        <is>
          <t>Batch/월</t>
        </is>
      </c>
      <c r="D36" s="47" t="inlineStr"/>
    </row>
    <row r="37">
      <c r="A37" s="9" t="inlineStr">
        <is>
          <t>순수 정제시간 합계 11 × 45</t>
        </is>
      </c>
      <c r="B37" s="14">
        <f>'03_Capacity_Model'!$B$36*'03_Capacity_Model'!$B$26</f>
        <v>495</v>
      </c>
      <c r="C37" s="9" t="inlineStr">
        <is>
          <t>h/월</t>
        </is>
      </c>
      <c r="D37" s="47" t="inlineStr"/>
    </row>
    <row r="38">
      <c r="A38" s="9" t="inlineStr">
        <is>
          <t>720 − 495</t>
        </is>
      </c>
      <c r="B38" s="48">
        <f>'01_Inputs'!$B$11-'03_Capacity_Model'!$B$37</f>
        <v>225</v>
      </c>
      <c r="C38" s="9" t="inlineStr">
        <is>
          <t>h/월</t>
        </is>
      </c>
      <c r="D38" s="47" t="inlineStr">
        <is>
          <t>점유·전환·대기·보수·월 경계 확인 — 전부 손실/충진으로 분류 안 함</t>
        </is>
      </c>
    </row>
    <row r="39">
      <c r="A39" s="9" t="inlineStr">
        <is>
          <t>참고: 점유 확인분 합계 11 × 47</t>
        </is>
      </c>
      <c r="B39" s="14">
        <f>'03_Capacity_Model'!$B$36*'03_Capacity_Model'!$B$21</f>
        <v>517</v>
      </c>
      <c r="C39" s="9" t="inlineStr">
        <is>
          <t>h/월</t>
        </is>
      </c>
      <c r="D39" s="47" t="inlineStr"/>
    </row>
    <row r="40">
      <c r="A40" s="9" t="inlineStr">
        <is>
          <t>720 ÷ 11 배분 간격</t>
        </is>
      </c>
      <c r="B40" s="30">
        <f>'01_Inputs'!$B$11/'03_Capacity_Model'!$B$36</f>
        <v>65.4545454545455</v>
      </c>
      <c r="C40" s="9" t="inlineStr">
        <is>
          <t>h/Batch</t>
        </is>
      </c>
      <c r="D40" s="47" t="inlineStr">
        <is>
          <t>30일 월 기준</t>
        </is>
      </c>
    </row>
    <row r="41">
      <c r="A41" s="9" t="inlineStr">
        <is>
          <t>월 생산량 11 × 190</t>
        </is>
      </c>
      <c r="B41" s="40">
        <f>'03_Capacity_Model'!$B$36*'01_Inputs'!$B$49</f>
        <v>2090</v>
      </c>
      <c r="C41" s="9" t="inlineStr">
        <is>
          <t>kg/월</t>
        </is>
      </c>
      <c r="D41" s="47" t="inlineStr"/>
    </row>
    <row r="42">
      <c r="A42" s="9" t="inlineStr">
        <is>
          <t>매월 11회 반복 참고 (× 12)</t>
        </is>
      </c>
      <c r="B42" s="40">
        <f>'03_Capacity_Model'!$B$41*12</f>
        <v>25080</v>
      </c>
      <c r="C42" s="9" t="inlineStr">
        <is>
          <t>kg/년</t>
        </is>
      </c>
      <c r="D42" s="47" t="inlineStr">
        <is>
          <t>25.08톤 — 참고값</t>
        </is>
      </c>
    </row>
    <row r="43">
      <c r="A43" s="9" t="inlineStr">
        <is>
          <t>참고: 달력 연속 INT(8,760 ÷ 65.45) × 190</t>
        </is>
      </c>
      <c r="B43" s="25">
        <f>INT('01_Inputs'!$B$12/'03_Capacity_Model'!$B$40)*'01_Inputs'!$B$49</f>
        <v>25270</v>
      </c>
      <c r="C43" s="9" t="inlineStr">
        <is>
          <t>kg/년</t>
        </is>
      </c>
      <c r="D43" s="47" t="inlineStr"/>
    </row>
    <row r="45">
      <c r="A45" s="46" t="inlineStr">
        <is>
          <t>5. ③ 과거 일정 관측 추정 (02_Batch_Raw)</t>
        </is>
      </c>
    </row>
    <row r="46">
      <c r="A46" s="9" t="inlineStr">
        <is>
          <t>주 범위 시작 표시일</t>
        </is>
      </c>
      <c r="B46" s="24">
        <f>INDEX('02_Batch_Raw'!$E$6:$E$99,MATCH('01_Inputs'!$B$96,'02_Batch_Raw'!$D$6:$D$99,0))</f>
        <v>46175.0</v>
      </c>
      <c r="C46" s="9" t="inlineStr">
        <is>
          <t>날짜</t>
        </is>
      </c>
      <c r="D46" s="47" t="inlineStr">
        <is>
          <t>6/2 #39</t>
        </is>
      </c>
    </row>
    <row r="47">
      <c r="A47" s="9" t="inlineStr">
        <is>
          <t>주 범위 종료 표시일</t>
        </is>
      </c>
      <c r="B47" s="24">
        <f>INDEX('02_Batch_Raw'!$E$6:$E$99,MATCH('01_Inputs'!$B$97,'02_Batch_Raw'!$D$6:$D$99,0))</f>
        <v>46324.0</v>
      </c>
      <c r="C47" s="9" t="inlineStr">
        <is>
          <t>날짜</t>
        </is>
      </c>
      <c r="D47" s="47" t="inlineStr">
        <is>
          <t>10/29 #92</t>
        </is>
      </c>
    </row>
    <row r="48">
      <c r="A48" s="9" t="inlineStr">
        <is>
          <t>표시일자 수</t>
        </is>
      </c>
      <c r="B48" s="15">
        <f>'01_Inputs'!$B$97-'01_Inputs'!$B$96+1</f>
        <v>54</v>
      </c>
      <c r="C48" s="9" t="inlineStr">
        <is>
          <t>개</t>
        </is>
      </c>
      <c r="D48" s="47" t="inlineStr">
        <is>
          <t>54</t>
        </is>
      </c>
    </row>
    <row r="49">
      <c r="A49" s="9" t="inlineStr">
        <is>
          <t>경과 일수</t>
        </is>
      </c>
      <c r="B49" s="15">
        <f>'03_Capacity_Model'!$B$47-'03_Capacity_Model'!$B$46</f>
        <v>149</v>
      </c>
      <c r="C49" s="9" t="inlineStr">
        <is>
          <t>일</t>
        </is>
      </c>
      <c r="D49" s="47" t="inlineStr"/>
    </row>
    <row r="50">
      <c r="A50" s="9" t="inlineStr">
        <is>
          <t>간격 수</t>
        </is>
      </c>
      <c r="B50" s="15">
        <f>SUM('02_Batch_Raw'!$P$6:$P$99)</f>
        <v>53</v>
      </c>
      <c r="C50" s="9" t="inlineStr">
        <is>
          <t>간격</t>
        </is>
      </c>
      <c r="D50" s="47" t="inlineStr">
        <is>
          <t>53 (02 시트 포함 표시 합)</t>
        </is>
      </c>
    </row>
    <row r="51">
      <c r="A51" s="9" t="inlineStr">
        <is>
          <t>일자차 환산 평균 간격</t>
        </is>
      </c>
      <c r="B51" s="42">
        <f>'03_Capacity_Model'!$B$49*24/'03_Capacity_Model'!$B$50</f>
        <v>67.4716981132076</v>
      </c>
      <c r="C51" s="9" t="inlineStr">
        <is>
          <t>h/Batch</t>
        </is>
      </c>
      <c r="D51" s="47" t="inlineStr">
        <is>
          <t>경과일×24 ÷ 간격 수</t>
        </is>
      </c>
    </row>
    <row r="52">
      <c r="A52" s="9" t="inlineStr">
        <is>
          <t>범위 하한 (시각 미상)</t>
        </is>
      </c>
      <c r="B52" s="30">
        <f>('03_Capacity_Model'!$B$49-1)*24/'03_Capacity_Model'!$B$50</f>
        <v>67.0188679245283</v>
      </c>
      <c r="C52" s="9" t="inlineStr">
        <is>
          <t>h/Batch</t>
        </is>
      </c>
      <c r="D52" s="47" t="inlineStr"/>
    </row>
    <row r="53">
      <c r="A53" s="9" t="inlineStr">
        <is>
          <t>범위 상한</t>
        </is>
      </c>
      <c r="B53" s="30">
        <f>('03_Capacity_Model'!$B$49+1)*24/'03_Capacity_Model'!$B$50</f>
        <v>67.9245283018868</v>
      </c>
      <c r="C53" s="9" t="inlineStr">
        <is>
          <t>h/Batch</t>
        </is>
      </c>
      <c r="D53" s="47" t="inlineStr"/>
    </row>
    <row r="54">
      <c r="A54" s="9" t="inlineStr">
        <is>
          <t>개별 간격 중앙값</t>
        </is>
      </c>
      <c r="B54" s="16">
        <f>'02_Batch_Raw'!$L$111*24</f>
        <v>72</v>
      </c>
      <c r="C54" s="9" t="inlineStr">
        <is>
          <t>h</t>
        </is>
      </c>
      <c r="D54" s="47" t="inlineStr">
        <is>
          <t>72 h</t>
        </is>
      </c>
    </row>
    <row r="55">
      <c r="A55" s="9" t="inlineStr">
        <is>
          <t>3일 간격 비중</t>
        </is>
      </c>
      <c r="B55" s="49">
        <f>'02_Batch_Raw'!$Q$111/'02_Batch_Raw'!$J$111</f>
        <v>0.735849056603774</v>
      </c>
      <c r="C55" s="9" t="inlineStr">
        <is>
          <t>%</t>
        </is>
      </c>
      <c r="D55" s="47" t="inlineStr"/>
    </row>
    <row r="56">
      <c r="A56" s="9" t="inlineStr">
        <is>
          <t>평균 간격 − 정제 45 h</t>
        </is>
      </c>
      <c r="B56" s="30">
        <f>'03_Capacity_Model'!$B$51-'03_Capacity_Model'!$B$26</f>
        <v>22.4716981132076</v>
      </c>
      <c r="C56" s="9" t="inlineStr">
        <is>
          <t>h/Batch</t>
        </is>
      </c>
      <c r="D56" s="47" t="inlineStr">
        <is>
          <t>준비·이송·세척·대기·IQC 대기·계획 여유 등 — 구성 미확인</t>
        </is>
      </c>
    </row>
    <row r="57">
      <c r="A57" s="9" t="inlineStr">
        <is>
          <t>평균 간격 − 점유 확인분 47 h (비점유 시간)</t>
        </is>
      </c>
      <c r="B57" s="42">
        <f>'03_Capacity_Model'!$B$51-'03_Capacity_Model'!$B$21</f>
        <v>20.4716981132076</v>
      </c>
      <c r="C57" s="9" t="inlineStr">
        <is>
          <t>h/Batch</t>
        </is>
      </c>
      <c r="D57" s="47" t="inlineStr"/>
    </row>
    <row r="58">
      <c r="A58" s="9" t="inlineStr">
        <is>
          <t>월 Batch (30일)</t>
        </is>
      </c>
      <c r="B58" s="30">
        <f>30*24/'03_Capacity_Model'!$B$51</f>
        <v>10.6711409395973</v>
      </c>
      <c r="C58" s="9" t="inlineStr">
        <is>
          <t>Batch/월</t>
        </is>
      </c>
      <c r="D58" s="47" t="inlineStr"/>
    </row>
    <row r="59">
      <c r="A59" s="9" t="inlineStr">
        <is>
          <t>월 Batch (31일)</t>
        </is>
      </c>
      <c r="B59" s="30">
        <f>31*24/'03_Capacity_Model'!$B$51</f>
        <v>11.0268456375839</v>
      </c>
      <c r="C59" s="9" t="inlineStr">
        <is>
          <t>Batch/월</t>
        </is>
      </c>
      <c r="D59" s="47" t="inlineStr">
        <is>
          <t>11 Batch 월(7·8·10월 31일)과 정합</t>
        </is>
      </c>
    </row>
    <row r="60">
      <c r="A60" s="9" t="inlineStr">
        <is>
          <t>월 생산량 (30일, 소수 Batch)</t>
        </is>
      </c>
      <c r="B60" s="25">
        <f>'03_Capacity_Model'!$B$58*'01_Inputs'!$B$49</f>
        <v>2027.51677852349</v>
      </c>
      <c r="C60" s="9" t="inlineStr">
        <is>
          <t>kg/월</t>
        </is>
      </c>
      <c r="D60" s="47" t="inlineStr"/>
    </row>
    <row r="61">
      <c r="A61" s="9" t="inlineStr">
        <is>
          <t>연간 Batch (달력 연속 정수)</t>
        </is>
      </c>
      <c r="B61" s="15">
        <f>INT('01_Inputs'!$B$12/'03_Capacity_Model'!$B$51)</f>
        <v>129</v>
      </c>
      <c r="C61" s="9" t="inlineStr">
        <is>
          <t>Batch/년</t>
        </is>
      </c>
      <c r="D61" s="47" t="inlineStr"/>
    </row>
    <row r="62">
      <c r="A62" s="9" t="inlineStr">
        <is>
          <t>연간 생산량 (달력 연속)</t>
        </is>
      </c>
      <c r="B62" s="40">
        <f>'03_Capacity_Model'!$B$61*'01_Inputs'!$B$49</f>
        <v>24510</v>
      </c>
      <c r="C62" s="9" t="inlineStr">
        <is>
          <t>kg/년</t>
        </is>
      </c>
      <c r="D62" s="47" t="inlineStr">
        <is>
          <t>현재 1대 · 정지·보수 추가 미반영</t>
        </is>
      </c>
    </row>
    <row r="63">
      <c r="A63" s="9" t="inlineStr">
        <is>
          <t>참고: #37 포함 평균</t>
        </is>
      </c>
      <c r="B63" s="30">
        <f>('03_Capacity_Model'!$B$47-INDEX('02_Batch_Raw'!$E$6:$E$99,MATCH(37,'02_Batch_Raw'!$D$6:$D$99,0)))*24/('01_Inputs'!$B$97-37)</f>
        <v>69.3818181818182</v>
      </c>
      <c r="C63" s="9" t="inlineStr">
        <is>
          <t>h/Batch</t>
        </is>
      </c>
      <c r="D63" s="47" t="inlineStr">
        <is>
          <t>5/26→6/2 7일 포함</t>
        </is>
      </c>
    </row>
    <row r="64">
      <c r="A64" s="9" t="inlineStr">
        <is>
          <t>점유 하한 미만 롤링 구간 수</t>
        </is>
      </c>
      <c r="B64" s="19">
        <f>'02_Batch_Raw'!$E$117</f>
        <v>0</v>
      </c>
      <c r="C64" s="9" t="inlineStr">
        <is>
          <t>구간</t>
        </is>
      </c>
      <c r="D64" s="47" t="inlineStr">
        <is>
          <t>45 h 기준 — 57 h 가정 시 확인 필요였던 구간도 재평가</t>
        </is>
      </c>
    </row>
    <row r="66">
      <c r="A66" s="46" t="inlineStr">
        <is>
          <t>6. 현재 Capa. 26.2톤 환산 (기준값 유지)</t>
        </is>
      </c>
    </row>
    <row r="67">
      <c r="A67" s="9" t="inlineStr">
        <is>
          <t>현재 Capa.</t>
        </is>
      </c>
      <c r="B67" s="22">
        <f>'01_Inputs'!$B$63*1000</f>
        <v>26200</v>
      </c>
      <c r="C67" s="9" t="inlineStr">
        <is>
          <t>kg/년</t>
        </is>
      </c>
      <c r="D67" s="47" t="inlineStr"/>
    </row>
    <row r="68">
      <c r="A68" s="9" t="inlineStr">
        <is>
          <t>Batch 상당</t>
        </is>
      </c>
      <c r="B68" s="50">
        <f>'03_Capacity_Model'!$B$67/'01_Inputs'!$B$49</f>
        <v>137.894736842105</v>
      </c>
      <c r="C68" s="9" t="inlineStr">
        <is>
          <t>Batch/년</t>
        </is>
      </c>
      <c r="D68" s="47" t="inlineStr">
        <is>
          <t>26,200 ÷ 190 = 137.895</t>
        </is>
      </c>
    </row>
    <row r="69">
      <c r="A69" s="9" t="inlineStr">
        <is>
          <t>정수 Batch (반올림)</t>
        </is>
      </c>
      <c r="B69" s="15">
        <f>ROUND('03_Capacity_Model'!$B$68,0)</f>
        <v>138</v>
      </c>
      <c r="C69" s="9" t="inlineStr">
        <is>
          <t>Batch/년</t>
        </is>
      </c>
      <c r="D69" s="47" t="inlineStr"/>
    </row>
    <row r="70">
      <c r="A70" s="9" t="inlineStr">
        <is>
          <t>정수 Batch 생산량</t>
        </is>
      </c>
      <c r="B70" s="25">
        <f>'03_Capacity_Model'!$B$69*'01_Inputs'!$B$49</f>
        <v>26220</v>
      </c>
      <c r="C70" s="9" t="inlineStr">
        <is>
          <t>kg/년</t>
        </is>
      </c>
      <c r="D70" s="47" t="inlineStr">
        <is>
          <t>138 × 190 = 26,220 → 26.22 → 26.2톤</t>
        </is>
      </c>
    </row>
    <row r="71">
      <c r="A71" s="9" t="inlineStr">
        <is>
          <t>월 평균 Batch 상당</t>
        </is>
      </c>
      <c r="B71" s="30">
        <f>'03_Capacity_Model'!$B$68/12</f>
        <v>11.4912280701754</v>
      </c>
      <c r="C71" s="9" t="inlineStr">
        <is>
          <t>Batch/월</t>
        </is>
      </c>
      <c r="D71" s="47" t="inlineStr"/>
    </row>
    <row r="72">
      <c r="A72" s="9" t="inlineStr">
        <is>
          <t>역산 평균 간격 (8,760 h)</t>
        </is>
      </c>
      <c r="B72" s="42">
        <f>'01_Inputs'!$B$12/'03_Capacity_Model'!$B$68</f>
        <v>63.5267175572519</v>
      </c>
      <c r="C72" s="9" t="inlineStr">
        <is>
          <t>h/Batch</t>
        </is>
      </c>
      <c r="D72" s="47" t="inlineStr">
        <is>
          <t>참고</t>
        </is>
      </c>
    </row>
    <row r="74">
      <c r="A74" s="46" t="inlineStr">
        <is>
          <t>7. 생산능력 비교 (정제기 1대 · 190 kg/Batch)</t>
        </is>
      </c>
    </row>
    <row r="75" ht="30" customHeight="1">
      <c r="A75" s="11" t="inlineStr">
        <is>
          <t>구분</t>
        </is>
      </c>
      <c r="B75" s="11" t="inlineStr">
        <is>
          <t>Batch 간격
(h)</t>
        </is>
      </c>
      <c r="C75" s="11" t="inlineStr">
        <is>
          <t>월 Batch
(30일)</t>
        </is>
      </c>
      <c r="D75" s="11" t="inlineStr">
        <is>
          <t>월 생산
(kg)</t>
        </is>
      </c>
      <c r="E75" s="11" t="inlineStr">
        <is>
          <t>연 환산
(t, 참고)</t>
        </is>
      </c>
      <c r="F75" s="11" t="inlineStr">
        <is>
          <t>26.2톤 대비
(t)</t>
        </is>
      </c>
      <c r="G75" s="11" t="inlineStr"/>
      <c r="H75" s="11" t="inlineStr">
        <is>
          <t>산출 조건</t>
        </is>
      </c>
    </row>
    <row r="76">
      <c r="A76" s="37" t="inlineStr">
        <is>
          <t>① 이론 (정제 45 h만)</t>
        </is>
      </c>
      <c r="B76" s="30">
        <f>'03_Capacity_Model'!$B$26</f>
        <v>45</v>
      </c>
      <c r="C76" s="30">
        <f>30*24/B76</f>
        <v>16</v>
      </c>
      <c r="D76" s="25">
        <f>C76*'01_Inputs'!$B$49</f>
        <v>3040</v>
      </c>
      <c r="E76" s="42">
        <f>'03_Capacity_Model'!$B$30*12/1000</f>
        <v>36.48</v>
      </c>
      <c r="F76" s="30">
        <f>E76-'01_Inputs'!$B$63</f>
        <v>10.28</v>
      </c>
      <c r="H76" s="47" t="inlineStr">
        <is>
          <t>720 ÷ 45 = 16 · 준비·전환·이송·세척·대기·보수 제외</t>
        </is>
      </c>
    </row>
    <row r="77">
      <c r="A77" s="37" t="inlineStr">
        <is>
          <t>② 과거 월 최대 11 Batch</t>
        </is>
      </c>
      <c r="B77" s="30">
        <f>'03_Capacity_Model'!$B$40</f>
        <v>65.4545454545455</v>
      </c>
      <c r="C77" s="30">
        <f>30*24/B77</f>
        <v>11</v>
      </c>
      <c r="D77" s="25">
        <f>C77*'01_Inputs'!$B$49</f>
        <v>2090</v>
      </c>
      <c r="E77" s="42">
        <f>'03_Capacity_Model'!$B$42/1000</f>
        <v>25.08</v>
      </c>
      <c r="F77" s="30">
        <f>E77-'01_Inputs'!$B$63</f>
        <v>-1.12</v>
      </c>
      <c r="H77" s="47" t="inlineStr">
        <is>
          <t>정제 495 h + 225 h · 매월 11회 반복 참고</t>
        </is>
      </c>
    </row>
    <row r="78">
      <c r="A78" s="37" t="inlineStr">
        <is>
          <t>③ 과거 일정 관측 추정</t>
        </is>
      </c>
      <c r="B78" s="30">
        <f>'03_Capacity_Model'!$B$51</f>
        <v>67.4716981132076</v>
      </c>
      <c r="C78" s="30">
        <f>30*24/B78</f>
        <v>10.6711409395973</v>
      </c>
      <c r="D78" s="25">
        <f>C78*'01_Inputs'!$B$49</f>
        <v>2027.51677852349</v>
      </c>
      <c r="E78" s="42">
        <f>'03_Capacity_Model'!$B$62/1000</f>
        <v>24.51</v>
      </c>
      <c r="F78" s="30">
        <f>E78-'01_Inputs'!$B$63</f>
        <v>-1.69</v>
      </c>
      <c r="H78" s="47" t="inlineStr">
        <is>
          <t>6/2~10/29 · 149일 ÷ 53간격 · 달력 연속</t>
        </is>
      </c>
    </row>
    <row r="79">
      <c r="A79" s="37" t="inlineStr">
        <is>
          <t>현재 Capa. 26.2톤 환산</t>
        </is>
      </c>
      <c r="B79" s="30">
        <f>'03_Capacity_Model'!$B$72</f>
        <v>63.5267175572519</v>
      </c>
      <c r="C79" s="30">
        <f>30*24/B79</f>
        <v>11.3338139870224</v>
      </c>
      <c r="D79" s="25">
        <f>C79*'01_Inputs'!$B$49</f>
        <v>2153.42465753425</v>
      </c>
      <c r="E79" s="42">
        <f>'01_Inputs'!$B$63</f>
        <v>26.2</v>
      </c>
      <c r="F79" s="30">
        <f>E79-'01_Inputs'!$B$63</f>
        <v>0</v>
      </c>
      <c r="H79" s="47" t="inlineStr">
        <is>
          <t>26,200 ÷ 190 = 137.9 Batch 상당</t>
        </is>
      </c>
    </row>
    <row r="80">
      <c r="A80" s="9" t="inlineStr">
        <is>
          <t>04·05 적용 현재 조건 간격 (01_Inputs 선택)</t>
        </is>
      </c>
      <c r="B80" s="42">
        <f>CHOOSE('01_Inputs'!$B$99,'03_Capacity_Model'!$B$26,'03_Capacity_Model'!$B$40,'03_Capacity_Model'!$B$51,'03_Capacity_Model'!$B$72)</f>
        <v>67.4716981132076</v>
      </c>
      <c r="C80" s="9" t="inlineStr">
        <is>
          <t>h/Batch</t>
        </is>
      </c>
      <c r="D80" s="47" t="inlineStr">
        <is>
          <t>기본 3 = 관측 추정</t>
        </is>
      </c>
    </row>
    <row r="82">
      <c r="A82" s="46" t="inlineStr">
        <is>
          <t>8. To-be 정제기 2대 시간차 운전 (정제 45 h 단축 아님)</t>
        </is>
      </c>
    </row>
    <row r="83">
      <c r="A83" s="9" t="inlineStr">
        <is>
          <t>참고: 현재 26.2톤 단순 2배</t>
        </is>
      </c>
      <c r="B83" s="28">
        <f>'01_Inputs'!$B$66</f>
        <v>52.4</v>
      </c>
      <c r="C83" s="9" t="inlineStr">
        <is>
          <t>t/년</t>
        </is>
      </c>
      <c r="D83" s="47" t="inlineStr">
        <is>
          <t>적용 안 함</t>
        </is>
      </c>
    </row>
    <row r="84">
      <c r="A84" s="9" t="inlineStr">
        <is>
          <t>단순 2배 − 개선 후 47.2톤</t>
        </is>
      </c>
      <c r="B84" s="42">
        <f>'03_Capacity_Model'!$B$83-'01_Inputs'!$B$65</f>
        <v>5.2</v>
      </c>
      <c r="C84" s="9" t="inlineStr">
        <is>
          <t>t/년</t>
        </is>
      </c>
      <c r="D84" s="47" t="inlineStr">
        <is>
          <t>Mix·리사이클 준비 등 보조 작업·공유 자원 가능성 — 확정 손실 아님</t>
        </is>
      </c>
    </row>
    <row r="85">
      <c r="A85" s="9" t="inlineStr">
        <is>
          <t>47.2 ÷ 52.4</t>
        </is>
      </c>
      <c r="B85" s="51">
        <f>'01_Inputs'!$B$65/'03_Capacity_Model'!$B$83</f>
        <v>0.900763358778626</v>
      </c>
      <c r="C85" s="9" t="inlineStr">
        <is>
          <t>%</t>
        </is>
      </c>
      <c r="D85" s="47" t="inlineStr"/>
    </row>
    <row r="86">
      <c r="A86" s="9" t="inlineStr">
        <is>
          <t>47.2톤 Batch 상당 (190 kg)</t>
        </is>
      </c>
      <c r="B86" s="52">
        <f>'01_Inputs'!$B$65*1000/'01_Inputs'!$B$49</f>
        <v>248.421052631579</v>
      </c>
      <c r="C86" s="9" t="inlineStr">
        <is>
          <t>Batch/년</t>
        </is>
      </c>
      <c r="D86" s="47" t="inlineStr"/>
    </row>
    <row r="87">
      <c r="A87" s="9" t="inlineStr">
        <is>
          <t>개선 후 월 Capa. (대정비 반영)</t>
        </is>
      </c>
      <c r="B87" s="31">
        <f>'01_Inputs'!$B$71</f>
        <v>4182.90909090909</v>
      </c>
      <c r="C87" s="9" t="inlineStr">
        <is>
          <t>kg/월</t>
        </is>
      </c>
      <c r="D87" s="47" t="inlineStr">
        <is>
          <t>(47,200 − 대정비 1,188) ÷ 11</t>
        </is>
      </c>
    </row>
    <row r="88">
      <c r="A88" s="9" t="inlineStr">
        <is>
          <t>월 Batch 상당 (2대 합산)</t>
        </is>
      </c>
      <c r="B88" s="30">
        <f>'03_Capacity_Model'!$B$87/'01_Inputs'!$B$49</f>
        <v>22.0153110047847</v>
      </c>
      <c r="C88" s="9" t="inlineStr">
        <is>
          <t>Batch/월</t>
        </is>
      </c>
      <c r="D88" s="47" t="inlineStr">
        <is>
          <t>4,182.9 ÷ 190</t>
        </is>
      </c>
    </row>
    <row r="89">
      <c r="A89" s="9" t="inlineStr">
        <is>
          <t>2대 합산 평균 투입 간격 (역산)</t>
        </is>
      </c>
      <c r="B89" s="30">
        <f>'01_Inputs'!$B$12/12/'03_Capacity_Model'!$B$88</f>
        <v>33.1587411979484</v>
      </c>
      <c r="C89" s="9" t="inlineStr">
        <is>
          <t>h/Batch</t>
        </is>
      </c>
      <c r="D89" s="47" t="inlineStr">
        <is>
          <t>평균 월 730 h ÷ 월 Batch — 설비별 정제시간 아님</t>
        </is>
      </c>
    </row>
    <row r="90">
      <c r="A90" s="9" t="inlineStr">
        <is>
          <t>설비별 등가 투입 간격 (역산)</t>
        </is>
      </c>
      <c r="B90" s="42">
        <f>'01_Inputs'!$B$8*'03_Capacity_Model'!$B$89</f>
        <v>66.3174823958967</v>
      </c>
      <c r="C90" s="9" t="inlineStr">
        <is>
          <t>h/Batch</t>
        </is>
      </c>
      <c r="D90" s="47" t="inlineStr">
        <is>
          <t>현재 1대 26.2톤 등가 63.5 h와 비교</t>
        </is>
      </c>
    </row>
    <row r="91">
      <c r="A91" s="9" t="inlineStr">
        <is>
          <t>105℃ 월 Capa. (대정비 반영, 2028)</t>
        </is>
      </c>
      <c r="B91" s="31">
        <f>'01_Inputs'!$B$72</f>
        <v>4455.63636363636</v>
      </c>
      <c r="C91" s="9" t="inlineStr">
        <is>
          <t>kg/월</t>
        </is>
      </c>
      <c r="D91" s="47" t="inlineStr">
        <is>
          <t>(50,200 − 1,188) ÷ 11</t>
        </is>
      </c>
    </row>
    <row r="92">
      <c r="A92" s="9" t="inlineStr">
        <is>
          <t>105℃ 월 Batch 상당 (2대 합산)</t>
        </is>
      </c>
      <c r="B92" s="30">
        <f>'03_Capacity_Model'!$B$91/'01_Inputs'!$B$49</f>
        <v>23.4507177033493</v>
      </c>
      <c r="C92" s="9" t="inlineStr">
        <is>
          <t>Batch/월</t>
        </is>
      </c>
      <c r="D92" s="47" t="inlineStr"/>
    </row>
    <row r="93">
      <c r="A93" s="9" t="inlineStr">
        <is>
          <t>105℃ 설비별 등가 투입 간격 (역산)</t>
        </is>
      </c>
      <c r="B93" s="42">
        <f>'01_Inputs'!$B$8*'01_Inputs'!$B$12/12/'03_Capacity_Model'!$B$92</f>
        <v>62.2582224761283</v>
      </c>
      <c r="C93" s="9" t="inlineStr">
        <is>
          <t>h/Batch</t>
        </is>
      </c>
      <c r="D93" s="47" t="inlineStr"/>
    </row>
    <row r="94">
      <c r="A94" s="9" t="inlineStr">
        <is>
          <t>설비별 등가 간격 − 현재 26.2톤 등가</t>
        </is>
      </c>
      <c r="B94" s="30">
        <f>'03_Capacity_Model'!$B$90-'03_Capacity_Model'!$B$72</f>
        <v>2.79076483864481</v>
      </c>
      <c r="C94" s="9" t="inlineStr">
        <is>
          <t>h/Batch</t>
        </is>
      </c>
      <c r="D94" s="47" t="inlineStr">
        <is>
          <t>보조 작업 시간 가능성 (구성 미확인)</t>
        </is>
      </c>
    </row>
    <row r="95">
      <c r="A95" s="9" t="inlineStr">
        <is>
          <t>정제기 2 기동 시차 (예시 가정)</t>
        </is>
      </c>
      <c r="B95" s="16">
        <f>'01_Inputs'!$B$83</f>
        <v>30</v>
      </c>
      <c r="C95" s="9" t="inlineStr">
        <is>
          <t>h</t>
        </is>
      </c>
      <c r="D95" s="47" t="inlineStr">
        <is>
          <t>운영 개념 설명용 가정 · 미확정</t>
        </is>
      </c>
    </row>
    <row r="96">
      <c r="A96" s="9" t="inlineStr">
        <is>
          <t>Gantt 설비별 간격</t>
        </is>
      </c>
      <c r="B96" s="21">
        <f>IF(ISNUMBER('01_Inputs'!$B$82),'01_Inputs'!$B$82,ROUND('03_Capacity_Model'!$B$90,1))</f>
        <v>66.3</v>
      </c>
      <c r="C96" s="9" t="inlineStr">
        <is>
          <t>h/Batch</t>
        </is>
      </c>
      <c r="D96" s="47" t="inlineStr">
        <is>
          <t>입력 없으면 월 Capa. 4,182.9 kg 역산 참고값</t>
        </is>
      </c>
    </row>
    <row r="97" ht="30" customHeight="1">
      <c r="A97" s="11" t="inlineStr">
        <is>
          <t>Gantt (h, 정제기 1 IQC 시작 = 0)</t>
        </is>
      </c>
      <c r="B97" s="11" t="inlineStr">
        <is>
          <t>시작</t>
        </is>
      </c>
      <c r="C97" s="11" t="inlineStr">
        <is>
          <t>종료</t>
        </is>
      </c>
      <c r="D97" s="11" t="inlineStr">
        <is>
          <t>자원</t>
        </is>
      </c>
      <c r="E97" s="11" t="inlineStr"/>
      <c r="F97" s="11" t="inlineStr"/>
      <c r="G97" s="11" t="inlineStr"/>
      <c r="H97" s="11" t="inlineStr">
        <is>
          <t>비고</t>
        </is>
      </c>
      <c r="J97" s="53" t="n">
        <v>0</v>
      </c>
      <c r="K97" s="53" t="n">
        <v>6</v>
      </c>
      <c r="L97" s="53" t="n">
        <v>12</v>
      </c>
      <c r="M97" s="53" t="n">
        <v>18</v>
      </c>
      <c r="N97" s="53" t="n">
        <v>24</v>
      </c>
      <c r="O97" s="53" t="n">
        <v>30</v>
      </c>
      <c r="P97" s="53" t="n">
        <v>36</v>
      </c>
      <c r="Q97" s="53" t="n">
        <v>42</v>
      </c>
      <c r="R97" s="53" t="n">
        <v>48</v>
      </c>
      <c r="S97" s="53" t="n">
        <v>54</v>
      </c>
      <c r="T97" s="53" t="n">
        <v>60</v>
      </c>
      <c r="U97" s="53" t="n">
        <v>66</v>
      </c>
      <c r="V97" s="53" t="n">
        <v>72</v>
      </c>
      <c r="W97" s="53" t="n">
        <v>78</v>
      </c>
      <c r="X97" s="53" t="n">
        <v>84</v>
      </c>
      <c r="Y97" s="53" t="n">
        <v>90</v>
      </c>
      <c r="Z97" s="53" t="n">
        <v>96</v>
      </c>
      <c r="AA97" s="53" t="n">
        <v>102</v>
      </c>
      <c r="AB97" s="53" t="n">
        <v>108</v>
      </c>
      <c r="AC97" s="53" t="n">
        <v>114</v>
      </c>
      <c r="AD97" s="53" t="n">
        <v>120</v>
      </c>
      <c r="AE97" s="53" t="n">
        <v>126</v>
      </c>
      <c r="AF97" s="53" t="n">
        <v>132</v>
      </c>
      <c r="AG97" s="53" t="n">
        <v>138</v>
      </c>
      <c r="AH97" s="53" t="n">
        <v>144</v>
      </c>
      <c r="AI97" s="53" t="n">
        <v>150</v>
      </c>
      <c r="AJ97" s="53" t="n">
        <v>156</v>
      </c>
      <c r="AK97" s="53" t="n">
        <v>162</v>
      </c>
      <c r="AL97" s="53" t="n">
        <v>168</v>
      </c>
      <c r="AM97" s="53" t="n">
        <v>174</v>
      </c>
      <c r="AN97" s="53" t="n">
        <v>180</v>
      </c>
      <c r="AO97" s="53" t="n">
        <v>186</v>
      </c>
      <c r="AP97" s="53" t="n">
        <v>192</v>
      </c>
      <c r="AQ97" s="53" t="n">
        <v>198</v>
      </c>
      <c r="AR97" s="53" t="n">
        <v>204</v>
      </c>
      <c r="AS97" s="53" t="n">
        <v>210</v>
      </c>
      <c r="AT97" s="53" t="n">
        <v>216</v>
      </c>
      <c r="AU97" s="53" t="n">
        <v>222</v>
      </c>
      <c r="AV97" s="53" t="n">
        <v>228</v>
      </c>
      <c r="AW97" s="53" t="n">
        <v>234</v>
      </c>
      <c r="AX97" s="53" t="n">
        <v>240</v>
      </c>
    </row>
    <row r="98">
      <c r="A98" s="9" t="inlineStr">
        <is>
          <t>정제기 1 B1 준비·투입</t>
        </is>
      </c>
      <c r="B98" s="14">
        <f>(0+0*'03_Capacity_Model'!$B$96)+'01_Inputs'!$B$14</f>
        <v>2</v>
      </c>
      <c r="C98" s="14">
        <f>B98+'01_Inputs'!$B$15</f>
        <v>4</v>
      </c>
      <c r="D98" s="9" t="inlineStr">
        <is>
          <t>정제기 1</t>
        </is>
      </c>
      <c r="H98" s="47" t="inlineStr"/>
      <c r="J98" s="54">
        <f>IF(AND(J$97+6&gt;$B98,J$97&lt;$C98),1,"")</f>
        <v>1</v>
      </c>
      <c r="K98" s="54">
        <f>IF(AND(K$97+6&gt;$B98,K$97&lt;$C98),1,"")</f>
      </c>
      <c r="L98" s="54">
        <f>IF(AND(L$97+6&gt;$B98,L$97&lt;$C98),1,"")</f>
      </c>
      <c r="M98" s="54">
        <f>IF(AND(M$97+6&gt;$B98,M$97&lt;$C98),1,"")</f>
      </c>
      <c r="N98" s="54">
        <f>IF(AND(N$97+6&gt;$B98,N$97&lt;$C98),1,"")</f>
      </c>
      <c r="O98" s="54">
        <f>IF(AND(O$97+6&gt;$B98,O$97&lt;$C98),1,"")</f>
      </c>
      <c r="P98" s="54">
        <f>IF(AND(P$97+6&gt;$B98,P$97&lt;$C98),1,"")</f>
      </c>
      <c r="Q98" s="54">
        <f>IF(AND(Q$97+6&gt;$B98,Q$97&lt;$C98),1,"")</f>
      </c>
      <c r="R98" s="54">
        <f>IF(AND(R$97+6&gt;$B98,R$97&lt;$C98),1,"")</f>
      </c>
      <c r="S98" s="54">
        <f>IF(AND(S$97+6&gt;$B98,S$97&lt;$C98),1,"")</f>
      </c>
      <c r="T98" s="54">
        <f>IF(AND(T$97+6&gt;$B98,T$97&lt;$C98),1,"")</f>
      </c>
      <c r="U98" s="54">
        <f>IF(AND(U$97+6&gt;$B98,U$97&lt;$C98),1,"")</f>
      </c>
      <c r="V98" s="54">
        <f>IF(AND(V$97+6&gt;$B98,V$97&lt;$C98),1,"")</f>
      </c>
      <c r="W98" s="54">
        <f>IF(AND(W$97+6&gt;$B98,W$97&lt;$C98),1,"")</f>
      </c>
      <c r="X98" s="54">
        <f>IF(AND(X$97+6&gt;$B98,X$97&lt;$C98),1,"")</f>
      </c>
      <c r="Y98" s="54">
        <f>IF(AND(Y$97+6&gt;$B98,Y$97&lt;$C98),1,"")</f>
      </c>
      <c r="Z98" s="54">
        <f>IF(AND(Z$97+6&gt;$B98,Z$97&lt;$C98),1,"")</f>
      </c>
      <c r="AA98" s="54">
        <f>IF(AND(AA$97+6&gt;$B98,AA$97&lt;$C98),1,"")</f>
      </c>
      <c r="AB98" s="54">
        <f>IF(AND(AB$97+6&gt;$B98,AB$97&lt;$C98),1,"")</f>
      </c>
      <c r="AC98" s="54">
        <f>IF(AND(AC$97+6&gt;$B98,AC$97&lt;$C98),1,"")</f>
      </c>
      <c r="AD98" s="54">
        <f>IF(AND(AD$97+6&gt;$B98,AD$97&lt;$C98),1,"")</f>
      </c>
      <c r="AE98" s="54">
        <f>IF(AND(AE$97+6&gt;$B98,AE$97&lt;$C98),1,"")</f>
      </c>
      <c r="AF98" s="54">
        <f>IF(AND(AF$97+6&gt;$B98,AF$97&lt;$C98),1,"")</f>
      </c>
      <c r="AG98" s="54">
        <f>IF(AND(AG$97+6&gt;$B98,AG$97&lt;$C98),1,"")</f>
      </c>
      <c r="AH98" s="54">
        <f>IF(AND(AH$97+6&gt;$B98,AH$97&lt;$C98),1,"")</f>
      </c>
      <c r="AI98" s="54">
        <f>IF(AND(AI$97+6&gt;$B98,AI$97&lt;$C98),1,"")</f>
      </c>
      <c r="AJ98" s="54">
        <f>IF(AND(AJ$97+6&gt;$B98,AJ$97&lt;$C98),1,"")</f>
      </c>
      <c r="AK98" s="54">
        <f>IF(AND(AK$97+6&gt;$B98,AK$97&lt;$C98),1,"")</f>
      </c>
      <c r="AL98" s="54">
        <f>IF(AND(AL$97+6&gt;$B98,AL$97&lt;$C98),1,"")</f>
      </c>
      <c r="AM98" s="54">
        <f>IF(AND(AM$97+6&gt;$B98,AM$97&lt;$C98),1,"")</f>
      </c>
      <c r="AN98" s="54">
        <f>IF(AND(AN$97+6&gt;$B98,AN$97&lt;$C98),1,"")</f>
      </c>
      <c r="AO98" s="54">
        <f>IF(AND(AO$97+6&gt;$B98,AO$97&lt;$C98),1,"")</f>
      </c>
      <c r="AP98" s="54">
        <f>IF(AND(AP$97+6&gt;$B98,AP$97&lt;$C98),1,"")</f>
      </c>
      <c r="AQ98" s="54">
        <f>IF(AND(AQ$97+6&gt;$B98,AQ$97&lt;$C98),1,"")</f>
      </c>
      <c r="AR98" s="54">
        <f>IF(AND(AR$97+6&gt;$B98,AR$97&lt;$C98),1,"")</f>
      </c>
      <c r="AS98" s="54">
        <f>IF(AND(AS$97+6&gt;$B98,AS$97&lt;$C98),1,"")</f>
      </c>
      <c r="AT98" s="54">
        <f>IF(AND(AT$97+6&gt;$B98,AT$97&lt;$C98),1,"")</f>
      </c>
      <c r="AU98" s="54">
        <f>IF(AND(AU$97+6&gt;$B98,AU$97&lt;$C98),1,"")</f>
      </c>
      <c r="AV98" s="54">
        <f>IF(AND(AV$97+6&gt;$B98,AV$97&lt;$C98),1,"")</f>
      </c>
      <c r="AW98" s="54">
        <f>IF(AND(AW$97+6&gt;$B98,AW$97&lt;$C98),1,"")</f>
      </c>
      <c r="AX98" s="54">
        <f>IF(AND(AX$97+6&gt;$B98,AX$97&lt;$C98),1,"")</f>
      </c>
    </row>
    <row r="99">
      <c r="A99" s="9" t="inlineStr">
        <is>
          <t>정제기 1 B1 정제</t>
        </is>
      </c>
      <c r="B99" s="14">
        <f>C98</f>
        <v>4</v>
      </c>
      <c r="C99" s="14">
        <f>B99+'01_Inputs'!$B$16</f>
        <v>49</v>
      </c>
      <c r="D99" s="9" t="inlineStr">
        <is>
          <t>정제기 1</t>
        </is>
      </c>
      <c r="H99" s="47" t="inlineStr">
        <is>
          <t>45 h</t>
        </is>
      </c>
      <c r="J99" s="54">
        <f>IF(AND(J$97+6&gt;$B99,J$97&lt;$C99),1,"")</f>
        <v>1</v>
      </c>
      <c r="K99" s="54">
        <f>IF(AND(K$97+6&gt;$B99,K$97&lt;$C99),1,"")</f>
        <v>1</v>
      </c>
      <c r="L99" s="54">
        <f>IF(AND(L$97+6&gt;$B99,L$97&lt;$C99),1,"")</f>
        <v>1</v>
      </c>
      <c r="M99" s="54">
        <f>IF(AND(M$97+6&gt;$B99,M$97&lt;$C99),1,"")</f>
        <v>1</v>
      </c>
      <c r="N99" s="54">
        <f>IF(AND(N$97+6&gt;$B99,N$97&lt;$C99),1,"")</f>
        <v>1</v>
      </c>
      <c r="O99" s="54">
        <f>IF(AND(O$97+6&gt;$B99,O$97&lt;$C99),1,"")</f>
        <v>1</v>
      </c>
      <c r="P99" s="54">
        <f>IF(AND(P$97+6&gt;$B99,P$97&lt;$C99),1,"")</f>
        <v>1</v>
      </c>
      <c r="Q99" s="54">
        <f>IF(AND(Q$97+6&gt;$B99,Q$97&lt;$C99),1,"")</f>
        <v>1</v>
      </c>
      <c r="R99" s="54">
        <f>IF(AND(R$97+6&gt;$B99,R$97&lt;$C99),1,"")</f>
        <v>1</v>
      </c>
      <c r="S99" s="54">
        <f>IF(AND(S$97+6&gt;$B99,S$97&lt;$C99),1,"")</f>
      </c>
      <c r="T99" s="54">
        <f>IF(AND(T$97+6&gt;$B99,T$97&lt;$C99),1,"")</f>
      </c>
      <c r="U99" s="54">
        <f>IF(AND(U$97+6&gt;$B99,U$97&lt;$C99),1,"")</f>
      </c>
      <c r="V99" s="54">
        <f>IF(AND(V$97+6&gt;$B99,V$97&lt;$C99),1,"")</f>
      </c>
      <c r="W99" s="54">
        <f>IF(AND(W$97+6&gt;$B99,W$97&lt;$C99),1,"")</f>
      </c>
      <c r="X99" s="54">
        <f>IF(AND(X$97+6&gt;$B99,X$97&lt;$C99),1,"")</f>
      </c>
      <c r="Y99" s="54">
        <f>IF(AND(Y$97+6&gt;$B99,Y$97&lt;$C99),1,"")</f>
      </c>
      <c r="Z99" s="54">
        <f>IF(AND(Z$97+6&gt;$B99,Z$97&lt;$C99),1,"")</f>
      </c>
      <c r="AA99" s="54">
        <f>IF(AND(AA$97+6&gt;$B99,AA$97&lt;$C99),1,"")</f>
      </c>
      <c r="AB99" s="54">
        <f>IF(AND(AB$97+6&gt;$B99,AB$97&lt;$C99),1,"")</f>
      </c>
      <c r="AC99" s="54">
        <f>IF(AND(AC$97+6&gt;$B99,AC$97&lt;$C99),1,"")</f>
      </c>
      <c r="AD99" s="54">
        <f>IF(AND(AD$97+6&gt;$B99,AD$97&lt;$C99),1,"")</f>
      </c>
      <c r="AE99" s="54">
        <f>IF(AND(AE$97+6&gt;$B99,AE$97&lt;$C99),1,"")</f>
      </c>
      <c r="AF99" s="54">
        <f>IF(AND(AF$97+6&gt;$B99,AF$97&lt;$C99),1,"")</f>
      </c>
      <c r="AG99" s="54">
        <f>IF(AND(AG$97+6&gt;$B99,AG$97&lt;$C99),1,"")</f>
      </c>
      <c r="AH99" s="54">
        <f>IF(AND(AH$97+6&gt;$B99,AH$97&lt;$C99),1,"")</f>
      </c>
      <c r="AI99" s="54">
        <f>IF(AND(AI$97+6&gt;$B99,AI$97&lt;$C99),1,"")</f>
      </c>
      <c r="AJ99" s="54">
        <f>IF(AND(AJ$97+6&gt;$B99,AJ$97&lt;$C99),1,"")</f>
      </c>
      <c r="AK99" s="54">
        <f>IF(AND(AK$97+6&gt;$B99,AK$97&lt;$C99),1,"")</f>
      </c>
      <c r="AL99" s="54">
        <f>IF(AND(AL$97+6&gt;$B99,AL$97&lt;$C99),1,"")</f>
      </c>
      <c r="AM99" s="54">
        <f>IF(AND(AM$97+6&gt;$B99,AM$97&lt;$C99),1,"")</f>
      </c>
      <c r="AN99" s="54">
        <f>IF(AND(AN$97+6&gt;$B99,AN$97&lt;$C99),1,"")</f>
      </c>
      <c r="AO99" s="54">
        <f>IF(AND(AO$97+6&gt;$B99,AO$97&lt;$C99),1,"")</f>
      </c>
      <c r="AP99" s="54">
        <f>IF(AND(AP$97+6&gt;$B99,AP$97&lt;$C99),1,"")</f>
      </c>
      <c r="AQ99" s="54">
        <f>IF(AND(AQ$97+6&gt;$B99,AQ$97&lt;$C99),1,"")</f>
      </c>
      <c r="AR99" s="54">
        <f>IF(AND(AR$97+6&gt;$B99,AR$97&lt;$C99),1,"")</f>
      </c>
      <c r="AS99" s="54">
        <f>IF(AND(AS$97+6&gt;$B99,AS$97&lt;$C99),1,"")</f>
      </c>
      <c r="AT99" s="54">
        <f>IF(AND(AT$97+6&gt;$B99,AT$97&lt;$C99),1,"")</f>
      </c>
      <c r="AU99" s="54">
        <f>IF(AND(AU$97+6&gt;$B99,AU$97&lt;$C99),1,"")</f>
      </c>
      <c r="AV99" s="54">
        <f>IF(AND(AV$97+6&gt;$B99,AV$97&lt;$C99),1,"")</f>
      </c>
      <c r="AW99" s="54">
        <f>IF(AND(AW$97+6&gt;$B99,AW$97&lt;$C99),1,"")</f>
      </c>
      <c r="AX99" s="54">
        <f>IF(AND(AX$97+6&gt;$B99,AX$97&lt;$C99),1,"")</f>
      </c>
    </row>
    <row r="100">
      <c r="A100" s="9" t="inlineStr">
        <is>
          <t>정제기 1 B1 PQC·이송·FQC</t>
        </is>
      </c>
      <c r="B100" s="14">
        <f>C99</f>
        <v>49</v>
      </c>
      <c r="C100" s="14">
        <f>B100+'01_Inputs'!$B$17+'01_Inputs'!$B$18</f>
        <v>57</v>
      </c>
      <c r="D100" s="9" t="inlineStr">
        <is>
          <t>검사·Tank</t>
        </is>
      </c>
      <c r="H100" s="47" t="inlineStr">
        <is>
          <t>6 + 2 h</t>
        </is>
      </c>
      <c r="J100" s="54">
        <f>IF(AND(J$97+6&gt;$B100,J$97&lt;$C100),1,"")</f>
      </c>
      <c r="K100" s="54">
        <f>IF(AND(K$97+6&gt;$B100,K$97&lt;$C100),1,"")</f>
      </c>
      <c r="L100" s="54">
        <f>IF(AND(L$97+6&gt;$B100,L$97&lt;$C100),1,"")</f>
      </c>
      <c r="M100" s="54">
        <f>IF(AND(M$97+6&gt;$B100,M$97&lt;$C100),1,"")</f>
      </c>
      <c r="N100" s="54">
        <f>IF(AND(N$97+6&gt;$B100,N$97&lt;$C100),1,"")</f>
      </c>
      <c r="O100" s="54">
        <f>IF(AND(O$97+6&gt;$B100,O$97&lt;$C100),1,"")</f>
      </c>
      <c r="P100" s="54">
        <f>IF(AND(P$97+6&gt;$B100,P$97&lt;$C100),1,"")</f>
      </c>
      <c r="Q100" s="54">
        <f>IF(AND(Q$97+6&gt;$B100,Q$97&lt;$C100),1,"")</f>
      </c>
      <c r="R100" s="54">
        <f>IF(AND(R$97+6&gt;$B100,R$97&lt;$C100),1,"")</f>
        <v>1</v>
      </c>
      <c r="S100" s="54">
        <f>IF(AND(S$97+6&gt;$B100,S$97&lt;$C100),1,"")</f>
        <v>1</v>
      </c>
      <c r="T100" s="54">
        <f>IF(AND(T$97+6&gt;$B100,T$97&lt;$C100),1,"")</f>
      </c>
      <c r="U100" s="54">
        <f>IF(AND(U$97+6&gt;$B100,U$97&lt;$C100),1,"")</f>
      </c>
      <c r="V100" s="54">
        <f>IF(AND(V$97+6&gt;$B100,V$97&lt;$C100),1,"")</f>
      </c>
      <c r="W100" s="54">
        <f>IF(AND(W$97+6&gt;$B100,W$97&lt;$C100),1,"")</f>
      </c>
      <c r="X100" s="54">
        <f>IF(AND(X$97+6&gt;$B100,X$97&lt;$C100),1,"")</f>
      </c>
      <c r="Y100" s="54">
        <f>IF(AND(Y$97+6&gt;$B100,Y$97&lt;$C100),1,"")</f>
      </c>
      <c r="Z100" s="54">
        <f>IF(AND(Z$97+6&gt;$B100,Z$97&lt;$C100),1,"")</f>
      </c>
      <c r="AA100" s="54">
        <f>IF(AND(AA$97+6&gt;$B100,AA$97&lt;$C100),1,"")</f>
      </c>
      <c r="AB100" s="54">
        <f>IF(AND(AB$97+6&gt;$B100,AB$97&lt;$C100),1,"")</f>
      </c>
      <c r="AC100" s="54">
        <f>IF(AND(AC$97+6&gt;$B100,AC$97&lt;$C100),1,"")</f>
      </c>
      <c r="AD100" s="54">
        <f>IF(AND(AD$97+6&gt;$B100,AD$97&lt;$C100),1,"")</f>
      </c>
      <c r="AE100" s="54">
        <f>IF(AND(AE$97+6&gt;$B100,AE$97&lt;$C100),1,"")</f>
      </c>
      <c r="AF100" s="54">
        <f>IF(AND(AF$97+6&gt;$B100,AF$97&lt;$C100),1,"")</f>
      </c>
      <c r="AG100" s="54">
        <f>IF(AND(AG$97+6&gt;$B100,AG$97&lt;$C100),1,"")</f>
      </c>
      <c r="AH100" s="54">
        <f>IF(AND(AH$97+6&gt;$B100,AH$97&lt;$C100),1,"")</f>
      </c>
      <c r="AI100" s="54">
        <f>IF(AND(AI$97+6&gt;$B100,AI$97&lt;$C100),1,"")</f>
      </c>
      <c r="AJ100" s="54">
        <f>IF(AND(AJ$97+6&gt;$B100,AJ$97&lt;$C100),1,"")</f>
      </c>
      <c r="AK100" s="54">
        <f>IF(AND(AK$97+6&gt;$B100,AK$97&lt;$C100),1,"")</f>
      </c>
      <c r="AL100" s="54">
        <f>IF(AND(AL$97+6&gt;$B100,AL$97&lt;$C100),1,"")</f>
      </c>
      <c r="AM100" s="54">
        <f>IF(AND(AM$97+6&gt;$B100,AM$97&lt;$C100),1,"")</f>
      </c>
      <c r="AN100" s="54">
        <f>IF(AND(AN$97+6&gt;$B100,AN$97&lt;$C100),1,"")</f>
      </c>
      <c r="AO100" s="54">
        <f>IF(AND(AO$97+6&gt;$B100,AO$97&lt;$C100),1,"")</f>
      </c>
      <c r="AP100" s="54">
        <f>IF(AND(AP$97+6&gt;$B100,AP$97&lt;$C100),1,"")</f>
      </c>
      <c r="AQ100" s="54">
        <f>IF(AND(AQ$97+6&gt;$B100,AQ$97&lt;$C100),1,"")</f>
      </c>
      <c r="AR100" s="54">
        <f>IF(AND(AR$97+6&gt;$B100,AR$97&lt;$C100),1,"")</f>
      </c>
      <c r="AS100" s="54">
        <f>IF(AND(AS$97+6&gt;$B100,AS$97&lt;$C100),1,"")</f>
      </c>
      <c r="AT100" s="54">
        <f>IF(AND(AT$97+6&gt;$B100,AT$97&lt;$C100),1,"")</f>
      </c>
      <c r="AU100" s="54">
        <f>IF(AND(AU$97+6&gt;$B100,AU$97&lt;$C100),1,"")</f>
      </c>
      <c r="AV100" s="54">
        <f>IF(AND(AV$97+6&gt;$B100,AV$97&lt;$C100),1,"")</f>
      </c>
      <c r="AW100" s="54">
        <f>IF(AND(AW$97+6&gt;$B100,AW$97&lt;$C100),1,"")</f>
      </c>
      <c r="AX100" s="54">
        <f>IF(AND(AX$97+6&gt;$B100,AX$97&lt;$C100),1,"")</f>
      </c>
    </row>
    <row r="101">
      <c r="A101" s="9" t="inlineStr">
        <is>
          <t>정제기 1 B1 5 Gal 충진</t>
        </is>
      </c>
      <c r="B101" s="14">
        <f>C100</f>
        <v>57</v>
      </c>
      <c r="C101" s="14">
        <f>B101+'01_Inputs'!$B$30</f>
        <v>75</v>
      </c>
      <c r="D101" s="9" t="inlineStr">
        <is>
          <t>글로브 박스 (공용)</t>
        </is>
      </c>
      <c r="H101" s="47" t="inlineStr">
        <is>
          <t>연속 작업 18 h</t>
        </is>
      </c>
      <c r="J101" s="54">
        <f>IF(AND(J$97+6&gt;$B101,J$97&lt;$C101),1,"")</f>
      </c>
      <c r="K101" s="54">
        <f>IF(AND(K$97+6&gt;$B101,K$97&lt;$C101),1,"")</f>
      </c>
      <c r="L101" s="54">
        <f>IF(AND(L$97+6&gt;$B101,L$97&lt;$C101),1,"")</f>
      </c>
      <c r="M101" s="54">
        <f>IF(AND(M$97+6&gt;$B101,M$97&lt;$C101),1,"")</f>
      </c>
      <c r="N101" s="54">
        <f>IF(AND(N$97+6&gt;$B101,N$97&lt;$C101),1,"")</f>
      </c>
      <c r="O101" s="54">
        <f>IF(AND(O$97+6&gt;$B101,O$97&lt;$C101),1,"")</f>
      </c>
      <c r="P101" s="54">
        <f>IF(AND(P$97+6&gt;$B101,P$97&lt;$C101),1,"")</f>
      </c>
      <c r="Q101" s="54">
        <f>IF(AND(Q$97+6&gt;$B101,Q$97&lt;$C101),1,"")</f>
      </c>
      <c r="R101" s="54">
        <f>IF(AND(R$97+6&gt;$B101,R$97&lt;$C101),1,"")</f>
      </c>
      <c r="S101" s="54">
        <f>IF(AND(S$97+6&gt;$B101,S$97&lt;$C101),1,"")</f>
        <v>1</v>
      </c>
      <c r="T101" s="54">
        <f>IF(AND(T$97+6&gt;$B101,T$97&lt;$C101),1,"")</f>
        <v>1</v>
      </c>
      <c r="U101" s="54">
        <f>IF(AND(U$97+6&gt;$B101,U$97&lt;$C101),1,"")</f>
        <v>1</v>
      </c>
      <c r="V101" s="54">
        <f>IF(AND(V$97+6&gt;$B101,V$97&lt;$C101),1,"")</f>
        <v>1</v>
      </c>
      <c r="W101" s="54">
        <f>IF(AND(W$97+6&gt;$B101,W$97&lt;$C101),1,"")</f>
      </c>
      <c r="X101" s="54">
        <f>IF(AND(X$97+6&gt;$B101,X$97&lt;$C101),1,"")</f>
      </c>
      <c r="Y101" s="54">
        <f>IF(AND(Y$97+6&gt;$B101,Y$97&lt;$C101),1,"")</f>
      </c>
      <c r="Z101" s="54">
        <f>IF(AND(Z$97+6&gt;$B101,Z$97&lt;$C101),1,"")</f>
      </c>
      <c r="AA101" s="54">
        <f>IF(AND(AA$97+6&gt;$B101,AA$97&lt;$C101),1,"")</f>
      </c>
      <c r="AB101" s="54">
        <f>IF(AND(AB$97+6&gt;$B101,AB$97&lt;$C101),1,"")</f>
      </c>
      <c r="AC101" s="54">
        <f>IF(AND(AC$97+6&gt;$B101,AC$97&lt;$C101),1,"")</f>
      </c>
      <c r="AD101" s="54">
        <f>IF(AND(AD$97+6&gt;$B101,AD$97&lt;$C101),1,"")</f>
      </c>
      <c r="AE101" s="54">
        <f>IF(AND(AE$97+6&gt;$B101,AE$97&lt;$C101),1,"")</f>
      </c>
      <c r="AF101" s="54">
        <f>IF(AND(AF$97+6&gt;$B101,AF$97&lt;$C101),1,"")</f>
      </c>
      <c r="AG101" s="54">
        <f>IF(AND(AG$97+6&gt;$B101,AG$97&lt;$C101),1,"")</f>
      </c>
      <c r="AH101" s="54">
        <f>IF(AND(AH$97+6&gt;$B101,AH$97&lt;$C101),1,"")</f>
      </c>
      <c r="AI101" s="54">
        <f>IF(AND(AI$97+6&gt;$B101,AI$97&lt;$C101),1,"")</f>
      </c>
      <c r="AJ101" s="54">
        <f>IF(AND(AJ$97+6&gt;$B101,AJ$97&lt;$C101),1,"")</f>
      </c>
      <c r="AK101" s="54">
        <f>IF(AND(AK$97+6&gt;$B101,AK$97&lt;$C101),1,"")</f>
      </c>
      <c r="AL101" s="54">
        <f>IF(AND(AL$97+6&gt;$B101,AL$97&lt;$C101),1,"")</f>
      </c>
      <c r="AM101" s="54">
        <f>IF(AND(AM$97+6&gt;$B101,AM$97&lt;$C101),1,"")</f>
      </c>
      <c r="AN101" s="54">
        <f>IF(AND(AN$97+6&gt;$B101,AN$97&lt;$C101),1,"")</f>
      </c>
      <c r="AO101" s="54">
        <f>IF(AND(AO$97+6&gt;$B101,AO$97&lt;$C101),1,"")</f>
      </c>
      <c r="AP101" s="54">
        <f>IF(AND(AP$97+6&gt;$B101,AP$97&lt;$C101),1,"")</f>
      </c>
      <c r="AQ101" s="54">
        <f>IF(AND(AQ$97+6&gt;$B101,AQ$97&lt;$C101),1,"")</f>
      </c>
      <c r="AR101" s="54">
        <f>IF(AND(AR$97+6&gt;$B101,AR$97&lt;$C101),1,"")</f>
      </c>
      <c r="AS101" s="54">
        <f>IF(AND(AS$97+6&gt;$B101,AS$97&lt;$C101),1,"")</f>
      </c>
      <c r="AT101" s="54">
        <f>IF(AND(AT$97+6&gt;$B101,AT$97&lt;$C101),1,"")</f>
      </c>
      <c r="AU101" s="54">
        <f>IF(AND(AU$97+6&gt;$B101,AU$97&lt;$C101),1,"")</f>
      </c>
      <c r="AV101" s="54">
        <f>IF(AND(AV$97+6&gt;$B101,AV$97&lt;$C101),1,"")</f>
      </c>
      <c r="AW101" s="54">
        <f>IF(AND(AW$97+6&gt;$B101,AW$97&lt;$C101),1,"")</f>
      </c>
      <c r="AX101" s="54">
        <f>IF(AND(AX$97+6&gt;$B101,AX$97&lt;$C101),1,"")</f>
      </c>
    </row>
    <row r="102">
      <c r="A102" s="9" t="inlineStr">
        <is>
          <t>정제기 2 B1 준비·투입</t>
        </is>
      </c>
      <c r="B102" s="14">
        <f>('03_Capacity_Model'!$B$95+0*'03_Capacity_Model'!$B$96)+'01_Inputs'!$B$14</f>
        <v>32</v>
      </c>
      <c r="C102" s="14">
        <f>B102+'01_Inputs'!$B$15</f>
        <v>34</v>
      </c>
      <c r="D102" s="9" t="inlineStr">
        <is>
          <t>정제기 2</t>
        </is>
      </c>
      <c r="H102" s="47" t="inlineStr"/>
      <c r="J102" s="54">
        <f>IF(AND(J$97+6&gt;$B102,J$97&lt;$C102),1,"")</f>
      </c>
      <c r="K102" s="54">
        <f>IF(AND(K$97+6&gt;$B102,K$97&lt;$C102),1,"")</f>
      </c>
      <c r="L102" s="54">
        <f>IF(AND(L$97+6&gt;$B102,L$97&lt;$C102),1,"")</f>
      </c>
      <c r="M102" s="54">
        <f>IF(AND(M$97+6&gt;$B102,M$97&lt;$C102),1,"")</f>
      </c>
      <c r="N102" s="54">
        <f>IF(AND(N$97+6&gt;$B102,N$97&lt;$C102),1,"")</f>
      </c>
      <c r="O102" s="54">
        <f>IF(AND(O$97+6&gt;$B102,O$97&lt;$C102),1,"")</f>
        <v>1</v>
      </c>
      <c r="P102" s="54">
        <f>IF(AND(P$97+6&gt;$B102,P$97&lt;$C102),1,"")</f>
      </c>
      <c r="Q102" s="54">
        <f>IF(AND(Q$97+6&gt;$B102,Q$97&lt;$C102),1,"")</f>
      </c>
      <c r="R102" s="54">
        <f>IF(AND(R$97+6&gt;$B102,R$97&lt;$C102),1,"")</f>
      </c>
      <c r="S102" s="54">
        <f>IF(AND(S$97+6&gt;$B102,S$97&lt;$C102),1,"")</f>
      </c>
      <c r="T102" s="54">
        <f>IF(AND(T$97+6&gt;$B102,T$97&lt;$C102),1,"")</f>
      </c>
      <c r="U102" s="54">
        <f>IF(AND(U$97+6&gt;$B102,U$97&lt;$C102),1,"")</f>
      </c>
      <c r="V102" s="54">
        <f>IF(AND(V$97+6&gt;$B102,V$97&lt;$C102),1,"")</f>
      </c>
      <c r="W102" s="54">
        <f>IF(AND(W$97+6&gt;$B102,W$97&lt;$C102),1,"")</f>
      </c>
      <c r="X102" s="54">
        <f>IF(AND(X$97+6&gt;$B102,X$97&lt;$C102),1,"")</f>
      </c>
      <c r="Y102" s="54">
        <f>IF(AND(Y$97+6&gt;$B102,Y$97&lt;$C102),1,"")</f>
      </c>
      <c r="Z102" s="54">
        <f>IF(AND(Z$97+6&gt;$B102,Z$97&lt;$C102),1,"")</f>
      </c>
      <c r="AA102" s="54">
        <f>IF(AND(AA$97+6&gt;$B102,AA$97&lt;$C102),1,"")</f>
      </c>
      <c r="AB102" s="54">
        <f>IF(AND(AB$97+6&gt;$B102,AB$97&lt;$C102),1,"")</f>
      </c>
      <c r="AC102" s="54">
        <f>IF(AND(AC$97+6&gt;$B102,AC$97&lt;$C102),1,"")</f>
      </c>
      <c r="AD102" s="54">
        <f>IF(AND(AD$97+6&gt;$B102,AD$97&lt;$C102),1,"")</f>
      </c>
      <c r="AE102" s="54">
        <f>IF(AND(AE$97+6&gt;$B102,AE$97&lt;$C102),1,"")</f>
      </c>
      <c r="AF102" s="54">
        <f>IF(AND(AF$97+6&gt;$B102,AF$97&lt;$C102),1,"")</f>
      </c>
      <c r="AG102" s="54">
        <f>IF(AND(AG$97+6&gt;$B102,AG$97&lt;$C102),1,"")</f>
      </c>
      <c r="AH102" s="54">
        <f>IF(AND(AH$97+6&gt;$B102,AH$97&lt;$C102),1,"")</f>
      </c>
      <c r="AI102" s="54">
        <f>IF(AND(AI$97+6&gt;$B102,AI$97&lt;$C102),1,"")</f>
      </c>
      <c r="AJ102" s="54">
        <f>IF(AND(AJ$97+6&gt;$B102,AJ$97&lt;$C102),1,"")</f>
      </c>
      <c r="AK102" s="54">
        <f>IF(AND(AK$97+6&gt;$B102,AK$97&lt;$C102),1,"")</f>
      </c>
      <c r="AL102" s="54">
        <f>IF(AND(AL$97+6&gt;$B102,AL$97&lt;$C102),1,"")</f>
      </c>
      <c r="AM102" s="54">
        <f>IF(AND(AM$97+6&gt;$B102,AM$97&lt;$C102),1,"")</f>
      </c>
      <c r="AN102" s="54">
        <f>IF(AND(AN$97+6&gt;$B102,AN$97&lt;$C102),1,"")</f>
      </c>
      <c r="AO102" s="54">
        <f>IF(AND(AO$97+6&gt;$B102,AO$97&lt;$C102),1,"")</f>
      </c>
      <c r="AP102" s="54">
        <f>IF(AND(AP$97+6&gt;$B102,AP$97&lt;$C102),1,"")</f>
      </c>
      <c r="AQ102" s="54">
        <f>IF(AND(AQ$97+6&gt;$B102,AQ$97&lt;$C102),1,"")</f>
      </c>
      <c r="AR102" s="54">
        <f>IF(AND(AR$97+6&gt;$B102,AR$97&lt;$C102),1,"")</f>
      </c>
      <c r="AS102" s="54">
        <f>IF(AND(AS$97+6&gt;$B102,AS$97&lt;$C102),1,"")</f>
      </c>
      <c r="AT102" s="54">
        <f>IF(AND(AT$97+6&gt;$B102,AT$97&lt;$C102),1,"")</f>
      </c>
      <c r="AU102" s="54">
        <f>IF(AND(AU$97+6&gt;$B102,AU$97&lt;$C102),1,"")</f>
      </c>
      <c r="AV102" s="54">
        <f>IF(AND(AV$97+6&gt;$B102,AV$97&lt;$C102),1,"")</f>
      </c>
      <c r="AW102" s="54">
        <f>IF(AND(AW$97+6&gt;$B102,AW$97&lt;$C102),1,"")</f>
      </c>
      <c r="AX102" s="54">
        <f>IF(AND(AX$97+6&gt;$B102,AX$97&lt;$C102),1,"")</f>
      </c>
    </row>
    <row r="103">
      <c r="A103" s="9" t="inlineStr">
        <is>
          <t>정제기 2 B1 정제</t>
        </is>
      </c>
      <c r="B103" s="14">
        <f>C102</f>
        <v>34</v>
      </c>
      <c r="C103" s="14">
        <f>B103+'01_Inputs'!$B$16</f>
        <v>79</v>
      </c>
      <c r="D103" s="9" t="inlineStr">
        <is>
          <t>정제기 2</t>
        </is>
      </c>
      <c r="H103" s="47" t="inlineStr">
        <is>
          <t>45 h</t>
        </is>
      </c>
      <c r="J103" s="54">
        <f>IF(AND(J$97+6&gt;$B103,J$97&lt;$C103),1,"")</f>
      </c>
      <c r="K103" s="54">
        <f>IF(AND(K$97+6&gt;$B103,K$97&lt;$C103),1,"")</f>
      </c>
      <c r="L103" s="54">
        <f>IF(AND(L$97+6&gt;$B103,L$97&lt;$C103),1,"")</f>
      </c>
      <c r="M103" s="54">
        <f>IF(AND(M$97+6&gt;$B103,M$97&lt;$C103),1,"")</f>
      </c>
      <c r="N103" s="54">
        <f>IF(AND(N$97+6&gt;$B103,N$97&lt;$C103),1,"")</f>
      </c>
      <c r="O103" s="54">
        <f>IF(AND(O$97+6&gt;$B103,O$97&lt;$C103),1,"")</f>
        <v>1</v>
      </c>
      <c r="P103" s="54">
        <f>IF(AND(P$97+6&gt;$B103,P$97&lt;$C103),1,"")</f>
        <v>1</v>
      </c>
      <c r="Q103" s="54">
        <f>IF(AND(Q$97+6&gt;$B103,Q$97&lt;$C103),1,"")</f>
        <v>1</v>
      </c>
      <c r="R103" s="54">
        <f>IF(AND(R$97+6&gt;$B103,R$97&lt;$C103),1,"")</f>
        <v>1</v>
      </c>
      <c r="S103" s="54">
        <f>IF(AND(S$97+6&gt;$B103,S$97&lt;$C103),1,"")</f>
        <v>1</v>
      </c>
      <c r="T103" s="54">
        <f>IF(AND(T$97+6&gt;$B103,T$97&lt;$C103),1,"")</f>
        <v>1</v>
      </c>
      <c r="U103" s="54">
        <f>IF(AND(U$97+6&gt;$B103,U$97&lt;$C103),1,"")</f>
        <v>1</v>
      </c>
      <c r="V103" s="54">
        <f>IF(AND(V$97+6&gt;$B103,V$97&lt;$C103),1,"")</f>
        <v>1</v>
      </c>
      <c r="W103" s="54">
        <f>IF(AND(W$97+6&gt;$B103,W$97&lt;$C103),1,"")</f>
        <v>1</v>
      </c>
      <c r="X103" s="54">
        <f>IF(AND(X$97+6&gt;$B103,X$97&lt;$C103),1,"")</f>
      </c>
      <c r="Y103" s="54">
        <f>IF(AND(Y$97+6&gt;$B103,Y$97&lt;$C103),1,"")</f>
      </c>
      <c r="Z103" s="54">
        <f>IF(AND(Z$97+6&gt;$B103,Z$97&lt;$C103),1,"")</f>
      </c>
      <c r="AA103" s="54">
        <f>IF(AND(AA$97+6&gt;$B103,AA$97&lt;$C103),1,"")</f>
      </c>
      <c r="AB103" s="54">
        <f>IF(AND(AB$97+6&gt;$B103,AB$97&lt;$C103),1,"")</f>
      </c>
      <c r="AC103" s="54">
        <f>IF(AND(AC$97+6&gt;$B103,AC$97&lt;$C103),1,"")</f>
      </c>
      <c r="AD103" s="54">
        <f>IF(AND(AD$97+6&gt;$B103,AD$97&lt;$C103),1,"")</f>
      </c>
      <c r="AE103" s="54">
        <f>IF(AND(AE$97+6&gt;$B103,AE$97&lt;$C103),1,"")</f>
      </c>
      <c r="AF103" s="54">
        <f>IF(AND(AF$97+6&gt;$B103,AF$97&lt;$C103),1,"")</f>
      </c>
      <c r="AG103" s="54">
        <f>IF(AND(AG$97+6&gt;$B103,AG$97&lt;$C103),1,"")</f>
      </c>
      <c r="AH103" s="54">
        <f>IF(AND(AH$97+6&gt;$B103,AH$97&lt;$C103),1,"")</f>
      </c>
      <c r="AI103" s="54">
        <f>IF(AND(AI$97+6&gt;$B103,AI$97&lt;$C103),1,"")</f>
      </c>
      <c r="AJ103" s="54">
        <f>IF(AND(AJ$97+6&gt;$B103,AJ$97&lt;$C103),1,"")</f>
      </c>
      <c r="AK103" s="54">
        <f>IF(AND(AK$97+6&gt;$B103,AK$97&lt;$C103),1,"")</f>
      </c>
      <c r="AL103" s="54">
        <f>IF(AND(AL$97+6&gt;$B103,AL$97&lt;$C103),1,"")</f>
      </c>
      <c r="AM103" s="54">
        <f>IF(AND(AM$97+6&gt;$B103,AM$97&lt;$C103),1,"")</f>
      </c>
      <c r="AN103" s="54">
        <f>IF(AND(AN$97+6&gt;$B103,AN$97&lt;$C103),1,"")</f>
      </c>
      <c r="AO103" s="54">
        <f>IF(AND(AO$97+6&gt;$B103,AO$97&lt;$C103),1,"")</f>
      </c>
      <c r="AP103" s="54">
        <f>IF(AND(AP$97+6&gt;$B103,AP$97&lt;$C103),1,"")</f>
      </c>
      <c r="AQ103" s="54">
        <f>IF(AND(AQ$97+6&gt;$B103,AQ$97&lt;$C103),1,"")</f>
      </c>
      <c r="AR103" s="54">
        <f>IF(AND(AR$97+6&gt;$B103,AR$97&lt;$C103),1,"")</f>
      </c>
      <c r="AS103" s="54">
        <f>IF(AND(AS$97+6&gt;$B103,AS$97&lt;$C103),1,"")</f>
      </c>
      <c r="AT103" s="54">
        <f>IF(AND(AT$97+6&gt;$B103,AT$97&lt;$C103),1,"")</f>
      </c>
      <c r="AU103" s="54">
        <f>IF(AND(AU$97+6&gt;$B103,AU$97&lt;$C103),1,"")</f>
      </c>
      <c r="AV103" s="54">
        <f>IF(AND(AV$97+6&gt;$B103,AV$97&lt;$C103),1,"")</f>
      </c>
      <c r="AW103" s="54">
        <f>IF(AND(AW$97+6&gt;$B103,AW$97&lt;$C103),1,"")</f>
      </c>
      <c r="AX103" s="54">
        <f>IF(AND(AX$97+6&gt;$B103,AX$97&lt;$C103),1,"")</f>
      </c>
    </row>
    <row r="104">
      <c r="A104" s="9" t="inlineStr">
        <is>
          <t>정제기 2 B1 PQC·이송·FQC</t>
        </is>
      </c>
      <c r="B104" s="14">
        <f>C103</f>
        <v>79</v>
      </c>
      <c r="C104" s="14">
        <f>B104+'01_Inputs'!$B$17+'01_Inputs'!$B$18</f>
        <v>87</v>
      </c>
      <c r="D104" s="9" t="inlineStr">
        <is>
          <t>검사·Tank</t>
        </is>
      </c>
      <c r="H104" s="47" t="inlineStr">
        <is>
          <t>6 + 2 h</t>
        </is>
      </c>
      <c r="J104" s="54">
        <f>IF(AND(J$97+6&gt;$B104,J$97&lt;$C104),1,"")</f>
      </c>
      <c r="K104" s="54">
        <f>IF(AND(K$97+6&gt;$B104,K$97&lt;$C104),1,"")</f>
      </c>
      <c r="L104" s="54">
        <f>IF(AND(L$97+6&gt;$B104,L$97&lt;$C104),1,"")</f>
      </c>
      <c r="M104" s="54">
        <f>IF(AND(M$97+6&gt;$B104,M$97&lt;$C104),1,"")</f>
      </c>
      <c r="N104" s="54">
        <f>IF(AND(N$97+6&gt;$B104,N$97&lt;$C104),1,"")</f>
      </c>
      <c r="O104" s="54">
        <f>IF(AND(O$97+6&gt;$B104,O$97&lt;$C104),1,"")</f>
      </c>
      <c r="P104" s="54">
        <f>IF(AND(P$97+6&gt;$B104,P$97&lt;$C104),1,"")</f>
      </c>
      <c r="Q104" s="54">
        <f>IF(AND(Q$97+6&gt;$B104,Q$97&lt;$C104),1,"")</f>
      </c>
      <c r="R104" s="54">
        <f>IF(AND(R$97+6&gt;$B104,R$97&lt;$C104),1,"")</f>
      </c>
      <c r="S104" s="54">
        <f>IF(AND(S$97+6&gt;$B104,S$97&lt;$C104),1,"")</f>
      </c>
      <c r="T104" s="54">
        <f>IF(AND(T$97+6&gt;$B104,T$97&lt;$C104),1,"")</f>
      </c>
      <c r="U104" s="54">
        <f>IF(AND(U$97+6&gt;$B104,U$97&lt;$C104),1,"")</f>
      </c>
      <c r="V104" s="54">
        <f>IF(AND(V$97+6&gt;$B104,V$97&lt;$C104),1,"")</f>
      </c>
      <c r="W104" s="54">
        <f>IF(AND(W$97+6&gt;$B104,W$97&lt;$C104),1,"")</f>
        <v>1</v>
      </c>
      <c r="X104" s="54">
        <f>IF(AND(X$97+6&gt;$B104,X$97&lt;$C104),1,"")</f>
        <v>1</v>
      </c>
      <c r="Y104" s="54">
        <f>IF(AND(Y$97+6&gt;$B104,Y$97&lt;$C104),1,"")</f>
      </c>
      <c r="Z104" s="54">
        <f>IF(AND(Z$97+6&gt;$B104,Z$97&lt;$C104),1,"")</f>
      </c>
      <c r="AA104" s="54">
        <f>IF(AND(AA$97+6&gt;$B104,AA$97&lt;$C104),1,"")</f>
      </c>
      <c r="AB104" s="54">
        <f>IF(AND(AB$97+6&gt;$B104,AB$97&lt;$C104),1,"")</f>
      </c>
      <c r="AC104" s="54">
        <f>IF(AND(AC$97+6&gt;$B104,AC$97&lt;$C104),1,"")</f>
      </c>
      <c r="AD104" s="54">
        <f>IF(AND(AD$97+6&gt;$B104,AD$97&lt;$C104),1,"")</f>
      </c>
      <c r="AE104" s="54">
        <f>IF(AND(AE$97+6&gt;$B104,AE$97&lt;$C104),1,"")</f>
      </c>
      <c r="AF104" s="54">
        <f>IF(AND(AF$97+6&gt;$B104,AF$97&lt;$C104),1,"")</f>
      </c>
      <c r="AG104" s="54">
        <f>IF(AND(AG$97+6&gt;$B104,AG$97&lt;$C104),1,"")</f>
      </c>
      <c r="AH104" s="54">
        <f>IF(AND(AH$97+6&gt;$B104,AH$97&lt;$C104),1,"")</f>
      </c>
      <c r="AI104" s="54">
        <f>IF(AND(AI$97+6&gt;$B104,AI$97&lt;$C104),1,"")</f>
      </c>
      <c r="AJ104" s="54">
        <f>IF(AND(AJ$97+6&gt;$B104,AJ$97&lt;$C104),1,"")</f>
      </c>
      <c r="AK104" s="54">
        <f>IF(AND(AK$97+6&gt;$B104,AK$97&lt;$C104),1,"")</f>
      </c>
      <c r="AL104" s="54">
        <f>IF(AND(AL$97+6&gt;$B104,AL$97&lt;$C104),1,"")</f>
      </c>
      <c r="AM104" s="54">
        <f>IF(AND(AM$97+6&gt;$B104,AM$97&lt;$C104),1,"")</f>
      </c>
      <c r="AN104" s="54">
        <f>IF(AND(AN$97+6&gt;$B104,AN$97&lt;$C104),1,"")</f>
      </c>
      <c r="AO104" s="54">
        <f>IF(AND(AO$97+6&gt;$B104,AO$97&lt;$C104),1,"")</f>
      </c>
      <c r="AP104" s="54">
        <f>IF(AND(AP$97+6&gt;$B104,AP$97&lt;$C104),1,"")</f>
      </c>
      <c r="AQ104" s="54">
        <f>IF(AND(AQ$97+6&gt;$B104,AQ$97&lt;$C104),1,"")</f>
      </c>
      <c r="AR104" s="54">
        <f>IF(AND(AR$97+6&gt;$B104,AR$97&lt;$C104),1,"")</f>
      </c>
      <c r="AS104" s="54">
        <f>IF(AND(AS$97+6&gt;$B104,AS$97&lt;$C104),1,"")</f>
      </c>
      <c r="AT104" s="54">
        <f>IF(AND(AT$97+6&gt;$B104,AT$97&lt;$C104),1,"")</f>
      </c>
      <c r="AU104" s="54">
        <f>IF(AND(AU$97+6&gt;$B104,AU$97&lt;$C104),1,"")</f>
      </c>
      <c r="AV104" s="54">
        <f>IF(AND(AV$97+6&gt;$B104,AV$97&lt;$C104),1,"")</f>
      </c>
      <c r="AW104" s="54">
        <f>IF(AND(AW$97+6&gt;$B104,AW$97&lt;$C104),1,"")</f>
      </c>
      <c r="AX104" s="54">
        <f>IF(AND(AX$97+6&gt;$B104,AX$97&lt;$C104),1,"")</f>
      </c>
    </row>
    <row r="105">
      <c r="A105" s="9" t="inlineStr">
        <is>
          <t>정제기 2 B1 5 Gal 충진</t>
        </is>
      </c>
      <c r="B105" s="14">
        <f>C104</f>
        <v>87</v>
      </c>
      <c r="C105" s="14">
        <f>B105+'01_Inputs'!$B$30</f>
        <v>105</v>
      </c>
      <c r="D105" s="9" t="inlineStr">
        <is>
          <t>글로브 박스 (공용)</t>
        </is>
      </c>
      <c r="H105" s="47" t="inlineStr">
        <is>
          <t>연속 작업 18 h</t>
        </is>
      </c>
      <c r="J105" s="54">
        <f>IF(AND(J$97+6&gt;$B105,J$97&lt;$C105),1,"")</f>
      </c>
      <c r="K105" s="54">
        <f>IF(AND(K$97+6&gt;$B105,K$97&lt;$C105),1,"")</f>
      </c>
      <c r="L105" s="54">
        <f>IF(AND(L$97+6&gt;$B105,L$97&lt;$C105),1,"")</f>
      </c>
      <c r="M105" s="54">
        <f>IF(AND(M$97+6&gt;$B105,M$97&lt;$C105),1,"")</f>
      </c>
      <c r="N105" s="54">
        <f>IF(AND(N$97+6&gt;$B105,N$97&lt;$C105),1,"")</f>
      </c>
      <c r="O105" s="54">
        <f>IF(AND(O$97+6&gt;$B105,O$97&lt;$C105),1,"")</f>
      </c>
      <c r="P105" s="54">
        <f>IF(AND(P$97+6&gt;$B105,P$97&lt;$C105),1,"")</f>
      </c>
      <c r="Q105" s="54">
        <f>IF(AND(Q$97+6&gt;$B105,Q$97&lt;$C105),1,"")</f>
      </c>
      <c r="R105" s="54">
        <f>IF(AND(R$97+6&gt;$B105,R$97&lt;$C105),1,"")</f>
      </c>
      <c r="S105" s="54">
        <f>IF(AND(S$97+6&gt;$B105,S$97&lt;$C105),1,"")</f>
      </c>
      <c r="T105" s="54">
        <f>IF(AND(T$97+6&gt;$B105,T$97&lt;$C105),1,"")</f>
      </c>
      <c r="U105" s="54">
        <f>IF(AND(U$97+6&gt;$B105,U$97&lt;$C105),1,"")</f>
      </c>
      <c r="V105" s="54">
        <f>IF(AND(V$97+6&gt;$B105,V$97&lt;$C105),1,"")</f>
      </c>
      <c r="W105" s="54">
        <f>IF(AND(W$97+6&gt;$B105,W$97&lt;$C105),1,"")</f>
      </c>
      <c r="X105" s="54">
        <f>IF(AND(X$97+6&gt;$B105,X$97&lt;$C105),1,"")</f>
        <v>1</v>
      </c>
      <c r="Y105" s="54">
        <f>IF(AND(Y$97+6&gt;$B105,Y$97&lt;$C105),1,"")</f>
        <v>1</v>
      </c>
      <c r="Z105" s="54">
        <f>IF(AND(Z$97+6&gt;$B105,Z$97&lt;$C105),1,"")</f>
        <v>1</v>
      </c>
      <c r="AA105" s="54">
        <f>IF(AND(AA$97+6&gt;$B105,AA$97&lt;$C105),1,"")</f>
        <v>1</v>
      </c>
      <c r="AB105" s="54">
        <f>IF(AND(AB$97+6&gt;$B105,AB$97&lt;$C105),1,"")</f>
      </c>
      <c r="AC105" s="54">
        <f>IF(AND(AC$97+6&gt;$B105,AC$97&lt;$C105),1,"")</f>
      </c>
      <c r="AD105" s="54">
        <f>IF(AND(AD$97+6&gt;$B105,AD$97&lt;$C105),1,"")</f>
      </c>
      <c r="AE105" s="54">
        <f>IF(AND(AE$97+6&gt;$B105,AE$97&lt;$C105),1,"")</f>
      </c>
      <c r="AF105" s="54">
        <f>IF(AND(AF$97+6&gt;$B105,AF$97&lt;$C105),1,"")</f>
      </c>
      <c r="AG105" s="54">
        <f>IF(AND(AG$97+6&gt;$B105,AG$97&lt;$C105),1,"")</f>
      </c>
      <c r="AH105" s="54">
        <f>IF(AND(AH$97+6&gt;$B105,AH$97&lt;$C105),1,"")</f>
      </c>
      <c r="AI105" s="54">
        <f>IF(AND(AI$97+6&gt;$B105,AI$97&lt;$C105),1,"")</f>
      </c>
      <c r="AJ105" s="54">
        <f>IF(AND(AJ$97+6&gt;$B105,AJ$97&lt;$C105),1,"")</f>
      </c>
      <c r="AK105" s="54">
        <f>IF(AND(AK$97+6&gt;$B105,AK$97&lt;$C105),1,"")</f>
      </c>
      <c r="AL105" s="54">
        <f>IF(AND(AL$97+6&gt;$B105,AL$97&lt;$C105),1,"")</f>
      </c>
      <c r="AM105" s="54">
        <f>IF(AND(AM$97+6&gt;$B105,AM$97&lt;$C105),1,"")</f>
      </c>
      <c r="AN105" s="54">
        <f>IF(AND(AN$97+6&gt;$B105,AN$97&lt;$C105),1,"")</f>
      </c>
      <c r="AO105" s="54">
        <f>IF(AND(AO$97+6&gt;$B105,AO$97&lt;$C105),1,"")</f>
      </c>
      <c r="AP105" s="54">
        <f>IF(AND(AP$97+6&gt;$B105,AP$97&lt;$C105),1,"")</f>
      </c>
      <c r="AQ105" s="54">
        <f>IF(AND(AQ$97+6&gt;$B105,AQ$97&lt;$C105),1,"")</f>
      </c>
      <c r="AR105" s="54">
        <f>IF(AND(AR$97+6&gt;$B105,AR$97&lt;$C105),1,"")</f>
      </c>
      <c r="AS105" s="54">
        <f>IF(AND(AS$97+6&gt;$B105,AS$97&lt;$C105),1,"")</f>
      </c>
      <c r="AT105" s="54">
        <f>IF(AND(AT$97+6&gt;$B105,AT$97&lt;$C105),1,"")</f>
      </c>
      <c r="AU105" s="54">
        <f>IF(AND(AU$97+6&gt;$B105,AU$97&lt;$C105),1,"")</f>
      </c>
      <c r="AV105" s="54">
        <f>IF(AND(AV$97+6&gt;$B105,AV$97&lt;$C105),1,"")</f>
      </c>
      <c r="AW105" s="54">
        <f>IF(AND(AW$97+6&gt;$B105,AW$97&lt;$C105),1,"")</f>
      </c>
      <c r="AX105" s="54">
        <f>IF(AND(AX$97+6&gt;$B105,AX$97&lt;$C105),1,"")</f>
      </c>
    </row>
    <row r="106">
      <c r="A106" s="9" t="inlineStr">
        <is>
          <t>정제기 1 B2 준비·투입</t>
        </is>
      </c>
      <c r="B106" s="14">
        <f>(0+1*'03_Capacity_Model'!$B$96)+'01_Inputs'!$B$14</f>
        <v>68.3</v>
      </c>
      <c r="C106" s="14">
        <f>B106+'01_Inputs'!$B$15</f>
        <v>70.3</v>
      </c>
      <c r="D106" s="9" t="inlineStr">
        <is>
          <t>정제기 1</t>
        </is>
      </c>
      <c r="H106" s="47" t="inlineStr"/>
      <c r="J106" s="54">
        <f>IF(AND(J$97+6&gt;$B106,J$97&lt;$C106),1,"")</f>
      </c>
      <c r="K106" s="54">
        <f>IF(AND(K$97+6&gt;$B106,K$97&lt;$C106),1,"")</f>
      </c>
      <c r="L106" s="54">
        <f>IF(AND(L$97+6&gt;$B106,L$97&lt;$C106),1,"")</f>
      </c>
      <c r="M106" s="54">
        <f>IF(AND(M$97+6&gt;$B106,M$97&lt;$C106),1,"")</f>
      </c>
      <c r="N106" s="54">
        <f>IF(AND(N$97+6&gt;$B106,N$97&lt;$C106),1,"")</f>
      </c>
      <c r="O106" s="54">
        <f>IF(AND(O$97+6&gt;$B106,O$97&lt;$C106),1,"")</f>
      </c>
      <c r="P106" s="54">
        <f>IF(AND(P$97+6&gt;$B106,P$97&lt;$C106),1,"")</f>
      </c>
      <c r="Q106" s="54">
        <f>IF(AND(Q$97+6&gt;$B106,Q$97&lt;$C106),1,"")</f>
      </c>
      <c r="R106" s="54">
        <f>IF(AND(R$97+6&gt;$B106,R$97&lt;$C106),1,"")</f>
      </c>
      <c r="S106" s="54">
        <f>IF(AND(S$97+6&gt;$B106,S$97&lt;$C106),1,"")</f>
      </c>
      <c r="T106" s="54">
        <f>IF(AND(T$97+6&gt;$B106,T$97&lt;$C106),1,"")</f>
      </c>
      <c r="U106" s="54">
        <f>IF(AND(U$97+6&gt;$B106,U$97&lt;$C106),1,"")</f>
        <v>1</v>
      </c>
      <c r="V106" s="54">
        <f>IF(AND(V$97+6&gt;$B106,V$97&lt;$C106),1,"")</f>
      </c>
      <c r="W106" s="54">
        <f>IF(AND(W$97+6&gt;$B106,W$97&lt;$C106),1,"")</f>
      </c>
      <c r="X106" s="54">
        <f>IF(AND(X$97+6&gt;$B106,X$97&lt;$C106),1,"")</f>
      </c>
      <c r="Y106" s="54">
        <f>IF(AND(Y$97+6&gt;$B106,Y$97&lt;$C106),1,"")</f>
      </c>
      <c r="Z106" s="54">
        <f>IF(AND(Z$97+6&gt;$B106,Z$97&lt;$C106),1,"")</f>
      </c>
      <c r="AA106" s="54">
        <f>IF(AND(AA$97+6&gt;$B106,AA$97&lt;$C106),1,"")</f>
      </c>
      <c r="AB106" s="54">
        <f>IF(AND(AB$97+6&gt;$B106,AB$97&lt;$C106),1,"")</f>
      </c>
      <c r="AC106" s="54">
        <f>IF(AND(AC$97+6&gt;$B106,AC$97&lt;$C106),1,"")</f>
      </c>
      <c r="AD106" s="54">
        <f>IF(AND(AD$97+6&gt;$B106,AD$97&lt;$C106),1,"")</f>
      </c>
      <c r="AE106" s="54">
        <f>IF(AND(AE$97+6&gt;$B106,AE$97&lt;$C106),1,"")</f>
      </c>
      <c r="AF106" s="54">
        <f>IF(AND(AF$97+6&gt;$B106,AF$97&lt;$C106),1,"")</f>
      </c>
      <c r="AG106" s="54">
        <f>IF(AND(AG$97+6&gt;$B106,AG$97&lt;$C106),1,"")</f>
      </c>
      <c r="AH106" s="54">
        <f>IF(AND(AH$97+6&gt;$B106,AH$97&lt;$C106),1,"")</f>
      </c>
      <c r="AI106" s="54">
        <f>IF(AND(AI$97+6&gt;$B106,AI$97&lt;$C106),1,"")</f>
      </c>
      <c r="AJ106" s="54">
        <f>IF(AND(AJ$97+6&gt;$B106,AJ$97&lt;$C106),1,"")</f>
      </c>
      <c r="AK106" s="54">
        <f>IF(AND(AK$97+6&gt;$B106,AK$97&lt;$C106),1,"")</f>
      </c>
      <c r="AL106" s="54">
        <f>IF(AND(AL$97+6&gt;$B106,AL$97&lt;$C106),1,"")</f>
      </c>
      <c r="AM106" s="54">
        <f>IF(AND(AM$97+6&gt;$B106,AM$97&lt;$C106),1,"")</f>
      </c>
      <c r="AN106" s="54">
        <f>IF(AND(AN$97+6&gt;$B106,AN$97&lt;$C106),1,"")</f>
      </c>
      <c r="AO106" s="54">
        <f>IF(AND(AO$97+6&gt;$B106,AO$97&lt;$C106),1,"")</f>
      </c>
      <c r="AP106" s="54">
        <f>IF(AND(AP$97+6&gt;$B106,AP$97&lt;$C106),1,"")</f>
      </c>
      <c r="AQ106" s="54">
        <f>IF(AND(AQ$97+6&gt;$B106,AQ$97&lt;$C106),1,"")</f>
      </c>
      <c r="AR106" s="54">
        <f>IF(AND(AR$97+6&gt;$B106,AR$97&lt;$C106),1,"")</f>
      </c>
      <c r="AS106" s="54">
        <f>IF(AND(AS$97+6&gt;$B106,AS$97&lt;$C106),1,"")</f>
      </c>
      <c r="AT106" s="54">
        <f>IF(AND(AT$97+6&gt;$B106,AT$97&lt;$C106),1,"")</f>
      </c>
      <c r="AU106" s="54">
        <f>IF(AND(AU$97+6&gt;$B106,AU$97&lt;$C106),1,"")</f>
      </c>
      <c r="AV106" s="54">
        <f>IF(AND(AV$97+6&gt;$B106,AV$97&lt;$C106),1,"")</f>
      </c>
      <c r="AW106" s="54">
        <f>IF(AND(AW$97+6&gt;$B106,AW$97&lt;$C106),1,"")</f>
      </c>
      <c r="AX106" s="54">
        <f>IF(AND(AX$97+6&gt;$B106,AX$97&lt;$C106),1,"")</f>
      </c>
    </row>
    <row r="107">
      <c r="A107" s="9" t="inlineStr">
        <is>
          <t>정제기 1 B2 정제</t>
        </is>
      </c>
      <c r="B107" s="14">
        <f>C106</f>
        <v>70.3</v>
      </c>
      <c r="C107" s="14">
        <f>B107+'01_Inputs'!$B$16</f>
        <v>115.3</v>
      </c>
      <c r="D107" s="9" t="inlineStr">
        <is>
          <t>정제기 1</t>
        </is>
      </c>
      <c r="H107" s="47" t="inlineStr">
        <is>
          <t>45 h</t>
        </is>
      </c>
      <c r="J107" s="54">
        <f>IF(AND(J$97+6&gt;$B107,J$97&lt;$C107),1,"")</f>
      </c>
      <c r="K107" s="54">
        <f>IF(AND(K$97+6&gt;$B107,K$97&lt;$C107),1,"")</f>
      </c>
      <c r="L107" s="54">
        <f>IF(AND(L$97+6&gt;$B107,L$97&lt;$C107),1,"")</f>
      </c>
      <c r="M107" s="54">
        <f>IF(AND(M$97+6&gt;$B107,M$97&lt;$C107),1,"")</f>
      </c>
      <c r="N107" s="54">
        <f>IF(AND(N$97+6&gt;$B107,N$97&lt;$C107),1,"")</f>
      </c>
      <c r="O107" s="54">
        <f>IF(AND(O$97+6&gt;$B107,O$97&lt;$C107),1,"")</f>
      </c>
      <c r="P107" s="54">
        <f>IF(AND(P$97+6&gt;$B107,P$97&lt;$C107),1,"")</f>
      </c>
      <c r="Q107" s="54">
        <f>IF(AND(Q$97+6&gt;$B107,Q$97&lt;$C107),1,"")</f>
      </c>
      <c r="R107" s="54">
        <f>IF(AND(R$97+6&gt;$B107,R$97&lt;$C107),1,"")</f>
      </c>
      <c r="S107" s="54">
        <f>IF(AND(S$97+6&gt;$B107,S$97&lt;$C107),1,"")</f>
      </c>
      <c r="T107" s="54">
        <f>IF(AND(T$97+6&gt;$B107,T$97&lt;$C107),1,"")</f>
      </c>
      <c r="U107" s="54">
        <f>IF(AND(U$97+6&gt;$B107,U$97&lt;$C107),1,"")</f>
        <v>1</v>
      </c>
      <c r="V107" s="54">
        <f>IF(AND(V$97+6&gt;$B107,V$97&lt;$C107),1,"")</f>
        <v>1</v>
      </c>
      <c r="W107" s="54">
        <f>IF(AND(W$97+6&gt;$B107,W$97&lt;$C107),1,"")</f>
        <v>1</v>
      </c>
      <c r="X107" s="54">
        <f>IF(AND(X$97+6&gt;$B107,X$97&lt;$C107),1,"")</f>
        <v>1</v>
      </c>
      <c r="Y107" s="54">
        <f>IF(AND(Y$97+6&gt;$B107,Y$97&lt;$C107),1,"")</f>
        <v>1</v>
      </c>
      <c r="Z107" s="54">
        <f>IF(AND(Z$97+6&gt;$B107,Z$97&lt;$C107),1,"")</f>
        <v>1</v>
      </c>
      <c r="AA107" s="54">
        <f>IF(AND(AA$97+6&gt;$B107,AA$97&lt;$C107),1,"")</f>
        <v>1</v>
      </c>
      <c r="AB107" s="54">
        <f>IF(AND(AB$97+6&gt;$B107,AB$97&lt;$C107),1,"")</f>
        <v>1</v>
      </c>
      <c r="AC107" s="54">
        <f>IF(AND(AC$97+6&gt;$B107,AC$97&lt;$C107),1,"")</f>
        <v>1</v>
      </c>
      <c r="AD107" s="54">
        <f>IF(AND(AD$97+6&gt;$B107,AD$97&lt;$C107),1,"")</f>
      </c>
      <c r="AE107" s="54">
        <f>IF(AND(AE$97+6&gt;$B107,AE$97&lt;$C107),1,"")</f>
      </c>
      <c r="AF107" s="54">
        <f>IF(AND(AF$97+6&gt;$B107,AF$97&lt;$C107),1,"")</f>
      </c>
      <c r="AG107" s="54">
        <f>IF(AND(AG$97+6&gt;$B107,AG$97&lt;$C107),1,"")</f>
      </c>
      <c r="AH107" s="54">
        <f>IF(AND(AH$97+6&gt;$B107,AH$97&lt;$C107),1,"")</f>
      </c>
      <c r="AI107" s="54">
        <f>IF(AND(AI$97+6&gt;$B107,AI$97&lt;$C107),1,"")</f>
      </c>
      <c r="AJ107" s="54">
        <f>IF(AND(AJ$97+6&gt;$B107,AJ$97&lt;$C107),1,"")</f>
      </c>
      <c r="AK107" s="54">
        <f>IF(AND(AK$97+6&gt;$B107,AK$97&lt;$C107),1,"")</f>
      </c>
      <c r="AL107" s="54">
        <f>IF(AND(AL$97+6&gt;$B107,AL$97&lt;$C107),1,"")</f>
      </c>
      <c r="AM107" s="54">
        <f>IF(AND(AM$97+6&gt;$B107,AM$97&lt;$C107),1,"")</f>
      </c>
      <c r="AN107" s="54">
        <f>IF(AND(AN$97+6&gt;$B107,AN$97&lt;$C107),1,"")</f>
      </c>
      <c r="AO107" s="54">
        <f>IF(AND(AO$97+6&gt;$B107,AO$97&lt;$C107),1,"")</f>
      </c>
      <c r="AP107" s="54">
        <f>IF(AND(AP$97+6&gt;$B107,AP$97&lt;$C107),1,"")</f>
      </c>
      <c r="AQ107" s="54">
        <f>IF(AND(AQ$97+6&gt;$B107,AQ$97&lt;$C107),1,"")</f>
      </c>
      <c r="AR107" s="54">
        <f>IF(AND(AR$97+6&gt;$B107,AR$97&lt;$C107),1,"")</f>
      </c>
      <c r="AS107" s="54">
        <f>IF(AND(AS$97+6&gt;$B107,AS$97&lt;$C107),1,"")</f>
      </c>
      <c r="AT107" s="54">
        <f>IF(AND(AT$97+6&gt;$B107,AT$97&lt;$C107),1,"")</f>
      </c>
      <c r="AU107" s="54">
        <f>IF(AND(AU$97+6&gt;$B107,AU$97&lt;$C107),1,"")</f>
      </c>
      <c r="AV107" s="54">
        <f>IF(AND(AV$97+6&gt;$B107,AV$97&lt;$C107),1,"")</f>
      </c>
      <c r="AW107" s="54">
        <f>IF(AND(AW$97+6&gt;$B107,AW$97&lt;$C107),1,"")</f>
      </c>
      <c r="AX107" s="54">
        <f>IF(AND(AX$97+6&gt;$B107,AX$97&lt;$C107),1,"")</f>
      </c>
    </row>
    <row r="108">
      <c r="A108" s="9" t="inlineStr">
        <is>
          <t>정제기 1 B2 PQC·이송·FQC</t>
        </is>
      </c>
      <c r="B108" s="14">
        <f>C107</f>
        <v>115.3</v>
      </c>
      <c r="C108" s="14">
        <f>B108+'01_Inputs'!$B$17+'01_Inputs'!$B$18</f>
        <v>123.3</v>
      </c>
      <c r="D108" s="9" t="inlineStr">
        <is>
          <t>검사·Tank</t>
        </is>
      </c>
      <c r="H108" s="47" t="inlineStr">
        <is>
          <t>6 + 2 h</t>
        </is>
      </c>
      <c r="J108" s="54">
        <f>IF(AND(J$97+6&gt;$B108,J$97&lt;$C108),1,"")</f>
      </c>
      <c r="K108" s="54">
        <f>IF(AND(K$97+6&gt;$B108,K$97&lt;$C108),1,"")</f>
      </c>
      <c r="L108" s="54">
        <f>IF(AND(L$97+6&gt;$B108,L$97&lt;$C108),1,"")</f>
      </c>
      <c r="M108" s="54">
        <f>IF(AND(M$97+6&gt;$B108,M$97&lt;$C108),1,"")</f>
      </c>
      <c r="N108" s="54">
        <f>IF(AND(N$97+6&gt;$B108,N$97&lt;$C108),1,"")</f>
      </c>
      <c r="O108" s="54">
        <f>IF(AND(O$97+6&gt;$B108,O$97&lt;$C108),1,"")</f>
      </c>
      <c r="P108" s="54">
        <f>IF(AND(P$97+6&gt;$B108,P$97&lt;$C108),1,"")</f>
      </c>
      <c r="Q108" s="54">
        <f>IF(AND(Q$97+6&gt;$B108,Q$97&lt;$C108),1,"")</f>
      </c>
      <c r="R108" s="54">
        <f>IF(AND(R$97+6&gt;$B108,R$97&lt;$C108),1,"")</f>
      </c>
      <c r="S108" s="54">
        <f>IF(AND(S$97+6&gt;$B108,S$97&lt;$C108),1,"")</f>
      </c>
      <c r="T108" s="54">
        <f>IF(AND(T$97+6&gt;$B108,T$97&lt;$C108),1,"")</f>
      </c>
      <c r="U108" s="54">
        <f>IF(AND(U$97+6&gt;$B108,U$97&lt;$C108),1,"")</f>
      </c>
      <c r="V108" s="54">
        <f>IF(AND(V$97+6&gt;$B108,V$97&lt;$C108),1,"")</f>
      </c>
      <c r="W108" s="54">
        <f>IF(AND(W$97+6&gt;$B108,W$97&lt;$C108),1,"")</f>
      </c>
      <c r="X108" s="54">
        <f>IF(AND(X$97+6&gt;$B108,X$97&lt;$C108),1,"")</f>
      </c>
      <c r="Y108" s="54">
        <f>IF(AND(Y$97+6&gt;$B108,Y$97&lt;$C108),1,"")</f>
      </c>
      <c r="Z108" s="54">
        <f>IF(AND(Z$97+6&gt;$B108,Z$97&lt;$C108),1,"")</f>
      </c>
      <c r="AA108" s="54">
        <f>IF(AND(AA$97+6&gt;$B108,AA$97&lt;$C108),1,"")</f>
      </c>
      <c r="AB108" s="54">
        <f>IF(AND(AB$97+6&gt;$B108,AB$97&lt;$C108),1,"")</f>
      </c>
      <c r="AC108" s="54">
        <f>IF(AND(AC$97+6&gt;$B108,AC$97&lt;$C108),1,"")</f>
        <v>1</v>
      </c>
      <c r="AD108" s="54">
        <f>IF(AND(AD$97+6&gt;$B108,AD$97&lt;$C108),1,"")</f>
        <v>1</v>
      </c>
      <c r="AE108" s="54">
        <f>IF(AND(AE$97+6&gt;$B108,AE$97&lt;$C108),1,"")</f>
      </c>
      <c r="AF108" s="54">
        <f>IF(AND(AF$97+6&gt;$B108,AF$97&lt;$C108),1,"")</f>
      </c>
      <c r="AG108" s="54">
        <f>IF(AND(AG$97+6&gt;$B108,AG$97&lt;$C108),1,"")</f>
      </c>
      <c r="AH108" s="54">
        <f>IF(AND(AH$97+6&gt;$B108,AH$97&lt;$C108),1,"")</f>
      </c>
      <c r="AI108" s="54">
        <f>IF(AND(AI$97+6&gt;$B108,AI$97&lt;$C108),1,"")</f>
      </c>
      <c r="AJ108" s="54">
        <f>IF(AND(AJ$97+6&gt;$B108,AJ$97&lt;$C108),1,"")</f>
      </c>
      <c r="AK108" s="54">
        <f>IF(AND(AK$97+6&gt;$B108,AK$97&lt;$C108),1,"")</f>
      </c>
      <c r="AL108" s="54">
        <f>IF(AND(AL$97+6&gt;$B108,AL$97&lt;$C108),1,"")</f>
      </c>
      <c r="AM108" s="54">
        <f>IF(AND(AM$97+6&gt;$B108,AM$97&lt;$C108),1,"")</f>
      </c>
      <c r="AN108" s="54">
        <f>IF(AND(AN$97+6&gt;$B108,AN$97&lt;$C108),1,"")</f>
      </c>
      <c r="AO108" s="54">
        <f>IF(AND(AO$97+6&gt;$B108,AO$97&lt;$C108),1,"")</f>
      </c>
      <c r="AP108" s="54">
        <f>IF(AND(AP$97+6&gt;$B108,AP$97&lt;$C108),1,"")</f>
      </c>
      <c r="AQ108" s="54">
        <f>IF(AND(AQ$97+6&gt;$B108,AQ$97&lt;$C108),1,"")</f>
      </c>
      <c r="AR108" s="54">
        <f>IF(AND(AR$97+6&gt;$B108,AR$97&lt;$C108),1,"")</f>
      </c>
      <c r="AS108" s="54">
        <f>IF(AND(AS$97+6&gt;$B108,AS$97&lt;$C108),1,"")</f>
      </c>
      <c r="AT108" s="54">
        <f>IF(AND(AT$97+6&gt;$B108,AT$97&lt;$C108),1,"")</f>
      </c>
      <c r="AU108" s="54">
        <f>IF(AND(AU$97+6&gt;$B108,AU$97&lt;$C108),1,"")</f>
      </c>
      <c r="AV108" s="54">
        <f>IF(AND(AV$97+6&gt;$B108,AV$97&lt;$C108),1,"")</f>
      </c>
      <c r="AW108" s="54">
        <f>IF(AND(AW$97+6&gt;$B108,AW$97&lt;$C108),1,"")</f>
      </c>
      <c r="AX108" s="54">
        <f>IF(AND(AX$97+6&gt;$B108,AX$97&lt;$C108),1,"")</f>
      </c>
    </row>
    <row r="109">
      <c r="A109" s="9" t="inlineStr">
        <is>
          <t>정제기 1 B2 5 Gal 충진</t>
        </is>
      </c>
      <c r="B109" s="14">
        <f>C108</f>
        <v>123.3</v>
      </c>
      <c r="C109" s="14">
        <f>B109+'01_Inputs'!$B$30</f>
        <v>141.3</v>
      </c>
      <c r="D109" s="9" t="inlineStr">
        <is>
          <t>글로브 박스 (공용)</t>
        </is>
      </c>
      <c r="H109" s="47" t="inlineStr">
        <is>
          <t>연속 작업 18 h</t>
        </is>
      </c>
      <c r="J109" s="54">
        <f>IF(AND(J$97+6&gt;$B109,J$97&lt;$C109),1,"")</f>
      </c>
      <c r="K109" s="54">
        <f>IF(AND(K$97+6&gt;$B109,K$97&lt;$C109),1,"")</f>
      </c>
      <c r="L109" s="54">
        <f>IF(AND(L$97+6&gt;$B109,L$97&lt;$C109),1,"")</f>
      </c>
      <c r="M109" s="54">
        <f>IF(AND(M$97+6&gt;$B109,M$97&lt;$C109),1,"")</f>
      </c>
      <c r="N109" s="54">
        <f>IF(AND(N$97+6&gt;$B109,N$97&lt;$C109),1,"")</f>
      </c>
      <c r="O109" s="54">
        <f>IF(AND(O$97+6&gt;$B109,O$97&lt;$C109),1,"")</f>
      </c>
      <c r="P109" s="54">
        <f>IF(AND(P$97+6&gt;$B109,P$97&lt;$C109),1,"")</f>
      </c>
      <c r="Q109" s="54">
        <f>IF(AND(Q$97+6&gt;$B109,Q$97&lt;$C109),1,"")</f>
      </c>
      <c r="R109" s="54">
        <f>IF(AND(R$97+6&gt;$B109,R$97&lt;$C109),1,"")</f>
      </c>
      <c r="S109" s="54">
        <f>IF(AND(S$97+6&gt;$B109,S$97&lt;$C109),1,"")</f>
      </c>
      <c r="T109" s="54">
        <f>IF(AND(T$97+6&gt;$B109,T$97&lt;$C109),1,"")</f>
      </c>
      <c r="U109" s="54">
        <f>IF(AND(U$97+6&gt;$B109,U$97&lt;$C109),1,"")</f>
      </c>
      <c r="V109" s="54">
        <f>IF(AND(V$97+6&gt;$B109,V$97&lt;$C109),1,"")</f>
      </c>
      <c r="W109" s="54">
        <f>IF(AND(W$97+6&gt;$B109,W$97&lt;$C109),1,"")</f>
      </c>
      <c r="X109" s="54">
        <f>IF(AND(X$97+6&gt;$B109,X$97&lt;$C109),1,"")</f>
      </c>
      <c r="Y109" s="54">
        <f>IF(AND(Y$97+6&gt;$B109,Y$97&lt;$C109),1,"")</f>
      </c>
      <c r="Z109" s="54">
        <f>IF(AND(Z$97+6&gt;$B109,Z$97&lt;$C109),1,"")</f>
      </c>
      <c r="AA109" s="54">
        <f>IF(AND(AA$97+6&gt;$B109,AA$97&lt;$C109),1,"")</f>
      </c>
      <c r="AB109" s="54">
        <f>IF(AND(AB$97+6&gt;$B109,AB$97&lt;$C109),1,"")</f>
      </c>
      <c r="AC109" s="54">
        <f>IF(AND(AC$97+6&gt;$B109,AC$97&lt;$C109),1,"")</f>
      </c>
      <c r="AD109" s="54">
        <f>IF(AND(AD$97+6&gt;$B109,AD$97&lt;$C109),1,"")</f>
        <v>1</v>
      </c>
      <c r="AE109" s="54">
        <f>IF(AND(AE$97+6&gt;$B109,AE$97&lt;$C109),1,"")</f>
        <v>1</v>
      </c>
      <c r="AF109" s="54">
        <f>IF(AND(AF$97+6&gt;$B109,AF$97&lt;$C109),1,"")</f>
        <v>1</v>
      </c>
      <c r="AG109" s="54">
        <f>IF(AND(AG$97+6&gt;$B109,AG$97&lt;$C109),1,"")</f>
        <v>1</v>
      </c>
      <c r="AH109" s="54">
        <f>IF(AND(AH$97+6&gt;$B109,AH$97&lt;$C109),1,"")</f>
      </c>
      <c r="AI109" s="54">
        <f>IF(AND(AI$97+6&gt;$B109,AI$97&lt;$C109),1,"")</f>
      </c>
      <c r="AJ109" s="54">
        <f>IF(AND(AJ$97+6&gt;$B109,AJ$97&lt;$C109),1,"")</f>
      </c>
      <c r="AK109" s="54">
        <f>IF(AND(AK$97+6&gt;$B109,AK$97&lt;$C109),1,"")</f>
      </c>
      <c r="AL109" s="54">
        <f>IF(AND(AL$97+6&gt;$B109,AL$97&lt;$C109),1,"")</f>
      </c>
      <c r="AM109" s="54">
        <f>IF(AND(AM$97+6&gt;$B109,AM$97&lt;$C109),1,"")</f>
      </c>
      <c r="AN109" s="54">
        <f>IF(AND(AN$97+6&gt;$B109,AN$97&lt;$C109),1,"")</f>
      </c>
      <c r="AO109" s="54">
        <f>IF(AND(AO$97+6&gt;$B109,AO$97&lt;$C109),1,"")</f>
      </c>
      <c r="AP109" s="54">
        <f>IF(AND(AP$97+6&gt;$B109,AP$97&lt;$C109),1,"")</f>
      </c>
      <c r="AQ109" s="54">
        <f>IF(AND(AQ$97+6&gt;$B109,AQ$97&lt;$C109),1,"")</f>
      </c>
      <c r="AR109" s="54">
        <f>IF(AND(AR$97+6&gt;$B109,AR$97&lt;$C109),1,"")</f>
      </c>
      <c r="AS109" s="54">
        <f>IF(AND(AS$97+6&gt;$B109,AS$97&lt;$C109),1,"")</f>
      </c>
      <c r="AT109" s="54">
        <f>IF(AND(AT$97+6&gt;$B109,AT$97&lt;$C109),1,"")</f>
      </c>
      <c r="AU109" s="54">
        <f>IF(AND(AU$97+6&gt;$B109,AU$97&lt;$C109),1,"")</f>
      </c>
      <c r="AV109" s="54">
        <f>IF(AND(AV$97+6&gt;$B109,AV$97&lt;$C109),1,"")</f>
      </c>
      <c r="AW109" s="54">
        <f>IF(AND(AW$97+6&gt;$B109,AW$97&lt;$C109),1,"")</f>
      </c>
      <c r="AX109" s="54">
        <f>IF(AND(AX$97+6&gt;$B109,AX$97&lt;$C109),1,"")</f>
      </c>
    </row>
    <row r="110">
      <c r="A110" s="9" t="inlineStr">
        <is>
          <t>정제기 2 B2 준비·투입</t>
        </is>
      </c>
      <c r="B110" s="14">
        <f>('03_Capacity_Model'!$B$95+1*'03_Capacity_Model'!$B$96)+'01_Inputs'!$B$14</f>
        <v>98.3</v>
      </c>
      <c r="C110" s="14">
        <f>B110+'01_Inputs'!$B$15</f>
        <v>100.3</v>
      </c>
      <c r="D110" s="9" t="inlineStr">
        <is>
          <t>정제기 2</t>
        </is>
      </c>
      <c r="H110" s="47" t="inlineStr"/>
      <c r="J110" s="54">
        <f>IF(AND(J$97+6&gt;$B110,J$97&lt;$C110),1,"")</f>
      </c>
      <c r="K110" s="54">
        <f>IF(AND(K$97+6&gt;$B110,K$97&lt;$C110),1,"")</f>
      </c>
      <c r="L110" s="54">
        <f>IF(AND(L$97+6&gt;$B110,L$97&lt;$C110),1,"")</f>
      </c>
      <c r="M110" s="54">
        <f>IF(AND(M$97+6&gt;$B110,M$97&lt;$C110),1,"")</f>
      </c>
      <c r="N110" s="54">
        <f>IF(AND(N$97+6&gt;$B110,N$97&lt;$C110),1,"")</f>
      </c>
      <c r="O110" s="54">
        <f>IF(AND(O$97+6&gt;$B110,O$97&lt;$C110),1,"")</f>
      </c>
      <c r="P110" s="54">
        <f>IF(AND(P$97+6&gt;$B110,P$97&lt;$C110),1,"")</f>
      </c>
      <c r="Q110" s="54">
        <f>IF(AND(Q$97+6&gt;$B110,Q$97&lt;$C110),1,"")</f>
      </c>
      <c r="R110" s="54">
        <f>IF(AND(R$97+6&gt;$B110,R$97&lt;$C110),1,"")</f>
      </c>
      <c r="S110" s="54">
        <f>IF(AND(S$97+6&gt;$B110,S$97&lt;$C110),1,"")</f>
      </c>
      <c r="T110" s="54">
        <f>IF(AND(T$97+6&gt;$B110,T$97&lt;$C110),1,"")</f>
      </c>
      <c r="U110" s="54">
        <f>IF(AND(U$97+6&gt;$B110,U$97&lt;$C110),1,"")</f>
      </c>
      <c r="V110" s="54">
        <f>IF(AND(V$97+6&gt;$B110,V$97&lt;$C110),1,"")</f>
      </c>
      <c r="W110" s="54">
        <f>IF(AND(W$97+6&gt;$B110,W$97&lt;$C110),1,"")</f>
      </c>
      <c r="X110" s="54">
        <f>IF(AND(X$97+6&gt;$B110,X$97&lt;$C110),1,"")</f>
      </c>
      <c r="Y110" s="54">
        <f>IF(AND(Y$97+6&gt;$B110,Y$97&lt;$C110),1,"")</f>
      </c>
      <c r="Z110" s="54">
        <f>IF(AND(Z$97+6&gt;$B110,Z$97&lt;$C110),1,"")</f>
        <v>1</v>
      </c>
      <c r="AA110" s="54">
        <f>IF(AND(AA$97+6&gt;$B110,AA$97&lt;$C110),1,"")</f>
      </c>
      <c r="AB110" s="54">
        <f>IF(AND(AB$97+6&gt;$B110,AB$97&lt;$C110),1,"")</f>
      </c>
      <c r="AC110" s="54">
        <f>IF(AND(AC$97+6&gt;$B110,AC$97&lt;$C110),1,"")</f>
      </c>
      <c r="AD110" s="54">
        <f>IF(AND(AD$97+6&gt;$B110,AD$97&lt;$C110),1,"")</f>
      </c>
      <c r="AE110" s="54">
        <f>IF(AND(AE$97+6&gt;$B110,AE$97&lt;$C110),1,"")</f>
      </c>
      <c r="AF110" s="54">
        <f>IF(AND(AF$97+6&gt;$B110,AF$97&lt;$C110),1,"")</f>
      </c>
      <c r="AG110" s="54">
        <f>IF(AND(AG$97+6&gt;$B110,AG$97&lt;$C110),1,"")</f>
      </c>
      <c r="AH110" s="54">
        <f>IF(AND(AH$97+6&gt;$B110,AH$97&lt;$C110),1,"")</f>
      </c>
      <c r="AI110" s="54">
        <f>IF(AND(AI$97+6&gt;$B110,AI$97&lt;$C110),1,"")</f>
      </c>
      <c r="AJ110" s="54">
        <f>IF(AND(AJ$97+6&gt;$B110,AJ$97&lt;$C110),1,"")</f>
      </c>
      <c r="AK110" s="54">
        <f>IF(AND(AK$97+6&gt;$B110,AK$97&lt;$C110),1,"")</f>
      </c>
      <c r="AL110" s="54">
        <f>IF(AND(AL$97+6&gt;$B110,AL$97&lt;$C110),1,"")</f>
      </c>
      <c r="AM110" s="54">
        <f>IF(AND(AM$97+6&gt;$B110,AM$97&lt;$C110),1,"")</f>
      </c>
      <c r="AN110" s="54">
        <f>IF(AND(AN$97+6&gt;$B110,AN$97&lt;$C110),1,"")</f>
      </c>
      <c r="AO110" s="54">
        <f>IF(AND(AO$97+6&gt;$B110,AO$97&lt;$C110),1,"")</f>
      </c>
      <c r="AP110" s="54">
        <f>IF(AND(AP$97+6&gt;$B110,AP$97&lt;$C110),1,"")</f>
      </c>
      <c r="AQ110" s="54">
        <f>IF(AND(AQ$97+6&gt;$B110,AQ$97&lt;$C110),1,"")</f>
      </c>
      <c r="AR110" s="54">
        <f>IF(AND(AR$97+6&gt;$B110,AR$97&lt;$C110),1,"")</f>
      </c>
      <c r="AS110" s="54">
        <f>IF(AND(AS$97+6&gt;$B110,AS$97&lt;$C110),1,"")</f>
      </c>
      <c r="AT110" s="54">
        <f>IF(AND(AT$97+6&gt;$B110,AT$97&lt;$C110),1,"")</f>
      </c>
      <c r="AU110" s="54">
        <f>IF(AND(AU$97+6&gt;$B110,AU$97&lt;$C110),1,"")</f>
      </c>
      <c r="AV110" s="54">
        <f>IF(AND(AV$97+6&gt;$B110,AV$97&lt;$C110),1,"")</f>
      </c>
      <c r="AW110" s="54">
        <f>IF(AND(AW$97+6&gt;$B110,AW$97&lt;$C110),1,"")</f>
      </c>
      <c r="AX110" s="54">
        <f>IF(AND(AX$97+6&gt;$B110,AX$97&lt;$C110),1,"")</f>
      </c>
    </row>
    <row r="111">
      <c r="A111" s="9" t="inlineStr">
        <is>
          <t>정제기 2 B2 정제</t>
        </is>
      </c>
      <c r="B111" s="14">
        <f>C110</f>
        <v>100.3</v>
      </c>
      <c r="C111" s="14">
        <f>B111+'01_Inputs'!$B$16</f>
        <v>145.3</v>
      </c>
      <c r="D111" s="9" t="inlineStr">
        <is>
          <t>정제기 2</t>
        </is>
      </c>
      <c r="H111" s="47" t="inlineStr">
        <is>
          <t>45 h</t>
        </is>
      </c>
      <c r="J111" s="54">
        <f>IF(AND(J$97+6&gt;$B111,J$97&lt;$C111),1,"")</f>
      </c>
      <c r="K111" s="54">
        <f>IF(AND(K$97+6&gt;$B111,K$97&lt;$C111),1,"")</f>
      </c>
      <c r="L111" s="54">
        <f>IF(AND(L$97+6&gt;$B111,L$97&lt;$C111),1,"")</f>
      </c>
      <c r="M111" s="54">
        <f>IF(AND(M$97+6&gt;$B111,M$97&lt;$C111),1,"")</f>
      </c>
      <c r="N111" s="54">
        <f>IF(AND(N$97+6&gt;$B111,N$97&lt;$C111),1,"")</f>
      </c>
      <c r="O111" s="54">
        <f>IF(AND(O$97+6&gt;$B111,O$97&lt;$C111),1,"")</f>
      </c>
      <c r="P111" s="54">
        <f>IF(AND(P$97+6&gt;$B111,P$97&lt;$C111),1,"")</f>
      </c>
      <c r="Q111" s="54">
        <f>IF(AND(Q$97+6&gt;$B111,Q$97&lt;$C111),1,"")</f>
      </c>
      <c r="R111" s="54">
        <f>IF(AND(R$97+6&gt;$B111,R$97&lt;$C111),1,"")</f>
      </c>
      <c r="S111" s="54">
        <f>IF(AND(S$97+6&gt;$B111,S$97&lt;$C111),1,"")</f>
      </c>
      <c r="T111" s="54">
        <f>IF(AND(T$97+6&gt;$B111,T$97&lt;$C111),1,"")</f>
      </c>
      <c r="U111" s="54">
        <f>IF(AND(U$97+6&gt;$B111,U$97&lt;$C111),1,"")</f>
      </c>
      <c r="V111" s="54">
        <f>IF(AND(V$97+6&gt;$B111,V$97&lt;$C111),1,"")</f>
      </c>
      <c r="W111" s="54">
        <f>IF(AND(W$97+6&gt;$B111,W$97&lt;$C111),1,"")</f>
      </c>
      <c r="X111" s="54">
        <f>IF(AND(X$97+6&gt;$B111,X$97&lt;$C111),1,"")</f>
      </c>
      <c r="Y111" s="54">
        <f>IF(AND(Y$97+6&gt;$B111,Y$97&lt;$C111),1,"")</f>
      </c>
      <c r="Z111" s="54">
        <f>IF(AND(Z$97+6&gt;$B111,Z$97&lt;$C111),1,"")</f>
        <v>1</v>
      </c>
      <c r="AA111" s="54">
        <f>IF(AND(AA$97+6&gt;$B111,AA$97&lt;$C111),1,"")</f>
        <v>1</v>
      </c>
      <c r="AB111" s="54">
        <f>IF(AND(AB$97+6&gt;$B111,AB$97&lt;$C111),1,"")</f>
        <v>1</v>
      </c>
      <c r="AC111" s="54">
        <f>IF(AND(AC$97+6&gt;$B111,AC$97&lt;$C111),1,"")</f>
        <v>1</v>
      </c>
      <c r="AD111" s="54">
        <f>IF(AND(AD$97+6&gt;$B111,AD$97&lt;$C111),1,"")</f>
        <v>1</v>
      </c>
      <c r="AE111" s="54">
        <f>IF(AND(AE$97+6&gt;$B111,AE$97&lt;$C111),1,"")</f>
        <v>1</v>
      </c>
      <c r="AF111" s="54">
        <f>IF(AND(AF$97+6&gt;$B111,AF$97&lt;$C111),1,"")</f>
        <v>1</v>
      </c>
      <c r="AG111" s="54">
        <f>IF(AND(AG$97+6&gt;$B111,AG$97&lt;$C111),1,"")</f>
        <v>1</v>
      </c>
      <c r="AH111" s="54">
        <f>IF(AND(AH$97+6&gt;$B111,AH$97&lt;$C111),1,"")</f>
        <v>1</v>
      </c>
      <c r="AI111" s="54">
        <f>IF(AND(AI$97+6&gt;$B111,AI$97&lt;$C111),1,"")</f>
      </c>
      <c r="AJ111" s="54">
        <f>IF(AND(AJ$97+6&gt;$B111,AJ$97&lt;$C111),1,"")</f>
      </c>
      <c r="AK111" s="54">
        <f>IF(AND(AK$97+6&gt;$B111,AK$97&lt;$C111),1,"")</f>
      </c>
      <c r="AL111" s="54">
        <f>IF(AND(AL$97+6&gt;$B111,AL$97&lt;$C111),1,"")</f>
      </c>
      <c r="AM111" s="54">
        <f>IF(AND(AM$97+6&gt;$B111,AM$97&lt;$C111),1,"")</f>
      </c>
      <c r="AN111" s="54">
        <f>IF(AND(AN$97+6&gt;$B111,AN$97&lt;$C111),1,"")</f>
      </c>
      <c r="AO111" s="54">
        <f>IF(AND(AO$97+6&gt;$B111,AO$97&lt;$C111),1,"")</f>
      </c>
      <c r="AP111" s="54">
        <f>IF(AND(AP$97+6&gt;$B111,AP$97&lt;$C111),1,"")</f>
      </c>
      <c r="AQ111" s="54">
        <f>IF(AND(AQ$97+6&gt;$B111,AQ$97&lt;$C111),1,"")</f>
      </c>
      <c r="AR111" s="54">
        <f>IF(AND(AR$97+6&gt;$B111,AR$97&lt;$C111),1,"")</f>
      </c>
      <c r="AS111" s="54">
        <f>IF(AND(AS$97+6&gt;$B111,AS$97&lt;$C111),1,"")</f>
      </c>
      <c r="AT111" s="54">
        <f>IF(AND(AT$97+6&gt;$B111,AT$97&lt;$C111),1,"")</f>
      </c>
      <c r="AU111" s="54">
        <f>IF(AND(AU$97+6&gt;$B111,AU$97&lt;$C111),1,"")</f>
      </c>
      <c r="AV111" s="54">
        <f>IF(AND(AV$97+6&gt;$B111,AV$97&lt;$C111),1,"")</f>
      </c>
      <c r="AW111" s="54">
        <f>IF(AND(AW$97+6&gt;$B111,AW$97&lt;$C111),1,"")</f>
      </c>
      <c r="AX111" s="54">
        <f>IF(AND(AX$97+6&gt;$B111,AX$97&lt;$C111),1,"")</f>
      </c>
    </row>
    <row r="112">
      <c r="A112" s="9" t="inlineStr">
        <is>
          <t>정제기 2 B2 PQC·이송·FQC</t>
        </is>
      </c>
      <c r="B112" s="14">
        <f>C111</f>
        <v>145.3</v>
      </c>
      <c r="C112" s="14">
        <f>B112+'01_Inputs'!$B$17+'01_Inputs'!$B$18</f>
        <v>153.3</v>
      </c>
      <c r="D112" s="9" t="inlineStr">
        <is>
          <t>검사·Tank</t>
        </is>
      </c>
      <c r="H112" s="47" t="inlineStr">
        <is>
          <t>6 + 2 h</t>
        </is>
      </c>
      <c r="J112" s="54">
        <f>IF(AND(J$97+6&gt;$B112,J$97&lt;$C112),1,"")</f>
      </c>
      <c r="K112" s="54">
        <f>IF(AND(K$97+6&gt;$B112,K$97&lt;$C112),1,"")</f>
      </c>
      <c r="L112" s="54">
        <f>IF(AND(L$97+6&gt;$B112,L$97&lt;$C112),1,"")</f>
      </c>
      <c r="M112" s="54">
        <f>IF(AND(M$97+6&gt;$B112,M$97&lt;$C112),1,"")</f>
      </c>
      <c r="N112" s="54">
        <f>IF(AND(N$97+6&gt;$B112,N$97&lt;$C112),1,"")</f>
      </c>
      <c r="O112" s="54">
        <f>IF(AND(O$97+6&gt;$B112,O$97&lt;$C112),1,"")</f>
      </c>
      <c r="P112" s="54">
        <f>IF(AND(P$97+6&gt;$B112,P$97&lt;$C112),1,"")</f>
      </c>
      <c r="Q112" s="54">
        <f>IF(AND(Q$97+6&gt;$B112,Q$97&lt;$C112),1,"")</f>
      </c>
      <c r="R112" s="54">
        <f>IF(AND(R$97+6&gt;$B112,R$97&lt;$C112),1,"")</f>
      </c>
      <c r="S112" s="54">
        <f>IF(AND(S$97+6&gt;$B112,S$97&lt;$C112),1,"")</f>
      </c>
      <c r="T112" s="54">
        <f>IF(AND(T$97+6&gt;$B112,T$97&lt;$C112),1,"")</f>
      </c>
      <c r="U112" s="54">
        <f>IF(AND(U$97+6&gt;$B112,U$97&lt;$C112),1,"")</f>
      </c>
      <c r="V112" s="54">
        <f>IF(AND(V$97+6&gt;$B112,V$97&lt;$C112),1,"")</f>
      </c>
      <c r="W112" s="54">
        <f>IF(AND(W$97+6&gt;$B112,W$97&lt;$C112),1,"")</f>
      </c>
      <c r="X112" s="54">
        <f>IF(AND(X$97+6&gt;$B112,X$97&lt;$C112),1,"")</f>
      </c>
      <c r="Y112" s="54">
        <f>IF(AND(Y$97+6&gt;$B112,Y$97&lt;$C112),1,"")</f>
      </c>
      <c r="Z112" s="54">
        <f>IF(AND(Z$97+6&gt;$B112,Z$97&lt;$C112),1,"")</f>
      </c>
      <c r="AA112" s="54">
        <f>IF(AND(AA$97+6&gt;$B112,AA$97&lt;$C112),1,"")</f>
      </c>
      <c r="AB112" s="54">
        <f>IF(AND(AB$97+6&gt;$B112,AB$97&lt;$C112),1,"")</f>
      </c>
      <c r="AC112" s="54">
        <f>IF(AND(AC$97+6&gt;$B112,AC$97&lt;$C112),1,"")</f>
      </c>
      <c r="AD112" s="54">
        <f>IF(AND(AD$97+6&gt;$B112,AD$97&lt;$C112),1,"")</f>
      </c>
      <c r="AE112" s="54">
        <f>IF(AND(AE$97+6&gt;$B112,AE$97&lt;$C112),1,"")</f>
      </c>
      <c r="AF112" s="54">
        <f>IF(AND(AF$97+6&gt;$B112,AF$97&lt;$C112),1,"")</f>
      </c>
      <c r="AG112" s="54">
        <f>IF(AND(AG$97+6&gt;$B112,AG$97&lt;$C112),1,"")</f>
      </c>
      <c r="AH112" s="54">
        <f>IF(AND(AH$97+6&gt;$B112,AH$97&lt;$C112),1,"")</f>
        <v>1</v>
      </c>
      <c r="AI112" s="54">
        <f>IF(AND(AI$97+6&gt;$B112,AI$97&lt;$C112),1,"")</f>
        <v>1</v>
      </c>
      <c r="AJ112" s="54">
        <f>IF(AND(AJ$97+6&gt;$B112,AJ$97&lt;$C112),1,"")</f>
      </c>
      <c r="AK112" s="54">
        <f>IF(AND(AK$97+6&gt;$B112,AK$97&lt;$C112),1,"")</f>
      </c>
      <c r="AL112" s="54">
        <f>IF(AND(AL$97+6&gt;$B112,AL$97&lt;$C112),1,"")</f>
      </c>
      <c r="AM112" s="54">
        <f>IF(AND(AM$97+6&gt;$B112,AM$97&lt;$C112),1,"")</f>
      </c>
      <c r="AN112" s="54">
        <f>IF(AND(AN$97+6&gt;$B112,AN$97&lt;$C112),1,"")</f>
      </c>
      <c r="AO112" s="54">
        <f>IF(AND(AO$97+6&gt;$B112,AO$97&lt;$C112),1,"")</f>
      </c>
      <c r="AP112" s="54">
        <f>IF(AND(AP$97+6&gt;$B112,AP$97&lt;$C112),1,"")</f>
      </c>
      <c r="AQ112" s="54">
        <f>IF(AND(AQ$97+6&gt;$B112,AQ$97&lt;$C112),1,"")</f>
      </c>
      <c r="AR112" s="54">
        <f>IF(AND(AR$97+6&gt;$B112,AR$97&lt;$C112),1,"")</f>
      </c>
      <c r="AS112" s="54">
        <f>IF(AND(AS$97+6&gt;$B112,AS$97&lt;$C112),1,"")</f>
      </c>
      <c r="AT112" s="54">
        <f>IF(AND(AT$97+6&gt;$B112,AT$97&lt;$C112),1,"")</f>
      </c>
      <c r="AU112" s="54">
        <f>IF(AND(AU$97+6&gt;$B112,AU$97&lt;$C112),1,"")</f>
      </c>
      <c r="AV112" s="54">
        <f>IF(AND(AV$97+6&gt;$B112,AV$97&lt;$C112),1,"")</f>
      </c>
      <c r="AW112" s="54">
        <f>IF(AND(AW$97+6&gt;$B112,AW$97&lt;$C112),1,"")</f>
      </c>
      <c r="AX112" s="54">
        <f>IF(AND(AX$97+6&gt;$B112,AX$97&lt;$C112),1,"")</f>
      </c>
    </row>
    <row r="113">
      <c r="A113" s="9" t="inlineStr">
        <is>
          <t>정제기 2 B2 5 Gal 충진</t>
        </is>
      </c>
      <c r="B113" s="14">
        <f>C112</f>
        <v>153.3</v>
      </c>
      <c r="C113" s="14">
        <f>B113+'01_Inputs'!$B$30</f>
        <v>171.3</v>
      </c>
      <c r="D113" s="9" t="inlineStr">
        <is>
          <t>글로브 박스 (공용)</t>
        </is>
      </c>
      <c r="H113" s="47" t="inlineStr">
        <is>
          <t>연속 작업 18 h</t>
        </is>
      </c>
      <c r="J113" s="54">
        <f>IF(AND(J$97+6&gt;$B113,J$97&lt;$C113),1,"")</f>
      </c>
      <c r="K113" s="54">
        <f>IF(AND(K$97+6&gt;$B113,K$97&lt;$C113),1,"")</f>
      </c>
      <c r="L113" s="54">
        <f>IF(AND(L$97+6&gt;$B113,L$97&lt;$C113),1,"")</f>
      </c>
      <c r="M113" s="54">
        <f>IF(AND(M$97+6&gt;$B113,M$97&lt;$C113),1,"")</f>
      </c>
      <c r="N113" s="54">
        <f>IF(AND(N$97+6&gt;$B113,N$97&lt;$C113),1,"")</f>
      </c>
      <c r="O113" s="54">
        <f>IF(AND(O$97+6&gt;$B113,O$97&lt;$C113),1,"")</f>
      </c>
      <c r="P113" s="54">
        <f>IF(AND(P$97+6&gt;$B113,P$97&lt;$C113),1,"")</f>
      </c>
      <c r="Q113" s="54">
        <f>IF(AND(Q$97+6&gt;$B113,Q$97&lt;$C113),1,"")</f>
      </c>
      <c r="R113" s="54">
        <f>IF(AND(R$97+6&gt;$B113,R$97&lt;$C113),1,"")</f>
      </c>
      <c r="S113" s="54">
        <f>IF(AND(S$97+6&gt;$B113,S$97&lt;$C113),1,"")</f>
      </c>
      <c r="T113" s="54">
        <f>IF(AND(T$97+6&gt;$B113,T$97&lt;$C113),1,"")</f>
      </c>
      <c r="U113" s="54">
        <f>IF(AND(U$97+6&gt;$B113,U$97&lt;$C113),1,"")</f>
      </c>
      <c r="V113" s="54">
        <f>IF(AND(V$97+6&gt;$B113,V$97&lt;$C113),1,"")</f>
      </c>
      <c r="W113" s="54">
        <f>IF(AND(W$97+6&gt;$B113,W$97&lt;$C113),1,"")</f>
      </c>
      <c r="X113" s="54">
        <f>IF(AND(X$97+6&gt;$B113,X$97&lt;$C113),1,"")</f>
      </c>
      <c r="Y113" s="54">
        <f>IF(AND(Y$97+6&gt;$B113,Y$97&lt;$C113),1,"")</f>
      </c>
      <c r="Z113" s="54">
        <f>IF(AND(Z$97+6&gt;$B113,Z$97&lt;$C113),1,"")</f>
      </c>
      <c r="AA113" s="54">
        <f>IF(AND(AA$97+6&gt;$B113,AA$97&lt;$C113),1,"")</f>
      </c>
      <c r="AB113" s="54">
        <f>IF(AND(AB$97+6&gt;$B113,AB$97&lt;$C113),1,"")</f>
      </c>
      <c r="AC113" s="54">
        <f>IF(AND(AC$97+6&gt;$B113,AC$97&lt;$C113),1,"")</f>
      </c>
      <c r="AD113" s="54">
        <f>IF(AND(AD$97+6&gt;$B113,AD$97&lt;$C113),1,"")</f>
      </c>
      <c r="AE113" s="54">
        <f>IF(AND(AE$97+6&gt;$B113,AE$97&lt;$C113),1,"")</f>
      </c>
      <c r="AF113" s="54">
        <f>IF(AND(AF$97+6&gt;$B113,AF$97&lt;$C113),1,"")</f>
      </c>
      <c r="AG113" s="54">
        <f>IF(AND(AG$97+6&gt;$B113,AG$97&lt;$C113),1,"")</f>
      </c>
      <c r="AH113" s="54">
        <f>IF(AND(AH$97+6&gt;$B113,AH$97&lt;$C113),1,"")</f>
      </c>
      <c r="AI113" s="54">
        <f>IF(AND(AI$97+6&gt;$B113,AI$97&lt;$C113),1,"")</f>
        <v>1</v>
      </c>
      <c r="AJ113" s="54">
        <f>IF(AND(AJ$97+6&gt;$B113,AJ$97&lt;$C113),1,"")</f>
        <v>1</v>
      </c>
      <c r="AK113" s="54">
        <f>IF(AND(AK$97+6&gt;$B113,AK$97&lt;$C113),1,"")</f>
        <v>1</v>
      </c>
      <c r="AL113" s="54">
        <f>IF(AND(AL$97+6&gt;$B113,AL$97&lt;$C113),1,"")</f>
        <v>1</v>
      </c>
      <c r="AM113" s="54">
        <f>IF(AND(AM$97+6&gt;$B113,AM$97&lt;$C113),1,"")</f>
      </c>
      <c r="AN113" s="54">
        <f>IF(AND(AN$97+6&gt;$B113,AN$97&lt;$C113),1,"")</f>
      </c>
      <c r="AO113" s="54">
        <f>IF(AND(AO$97+6&gt;$B113,AO$97&lt;$C113),1,"")</f>
      </c>
      <c r="AP113" s="54">
        <f>IF(AND(AP$97+6&gt;$B113,AP$97&lt;$C113),1,"")</f>
      </c>
      <c r="AQ113" s="54">
        <f>IF(AND(AQ$97+6&gt;$B113,AQ$97&lt;$C113),1,"")</f>
      </c>
      <c r="AR113" s="54">
        <f>IF(AND(AR$97+6&gt;$B113,AR$97&lt;$C113),1,"")</f>
      </c>
      <c r="AS113" s="54">
        <f>IF(AND(AS$97+6&gt;$B113,AS$97&lt;$C113),1,"")</f>
      </c>
      <c r="AT113" s="54">
        <f>IF(AND(AT$97+6&gt;$B113,AT$97&lt;$C113),1,"")</f>
      </c>
      <c r="AU113" s="54">
        <f>IF(AND(AU$97+6&gt;$B113,AU$97&lt;$C113),1,"")</f>
      </c>
      <c r="AV113" s="54">
        <f>IF(AND(AV$97+6&gt;$B113,AV$97&lt;$C113),1,"")</f>
      </c>
      <c r="AW113" s="54">
        <f>IF(AND(AW$97+6&gt;$B113,AW$97&lt;$C113),1,"")</f>
      </c>
      <c r="AX113" s="54">
        <f>IF(AND(AX$97+6&gt;$B113,AX$97&lt;$C113),1,"")</f>
      </c>
    </row>
    <row r="114">
      <c r="A114" s="9" t="inlineStr">
        <is>
          <t>충진 투입 최소 간격 (두 설비 교차)</t>
        </is>
      </c>
      <c r="B114" s="14">
        <f>MIN('03_Capacity_Model'!$B$95,'03_Capacity_Model'!$B$96-'03_Capacity_Model'!$B$95)</f>
        <v>30</v>
      </c>
      <c r="C114" s="9" t="inlineStr">
        <is>
          <t>h</t>
        </is>
      </c>
      <c r="D114" s="47" t="inlineStr">
        <is>
          <t>충진이 한꺼번에 몰리지 않도록 시차 배치</t>
        </is>
      </c>
    </row>
    <row r="116">
      <c r="A116" s="46" t="inlineStr">
        <is>
          <t>9. 후공정 작업량 vs 가용시간 (정제기 720 h 자동 적용 안 함)</t>
        </is>
      </c>
    </row>
    <row r="117">
      <c r="A117" s="9" t="inlineStr">
        <is>
          <t>5 Gal 충진 작업 2027 연간</t>
        </is>
      </c>
      <c r="B117" s="16">
        <f>SUM('04_Monthly_2026_2028'!AB18:AB29)</f>
        <v>2972</v>
      </c>
      <c r="C117" s="9" t="inlineStr">
        <is>
          <t>h/년</t>
        </is>
      </c>
      <c r="D117" s="47" t="inlineStr">
        <is>
          <t>(하이닉스+CXMT) ÷ 20 × 2 — OQC 별도</t>
        </is>
      </c>
    </row>
    <row r="118">
      <c r="A118" s="9" t="inlineStr">
        <is>
          <t>5 Gal 충진 작업 2028 연간</t>
        </is>
      </c>
      <c r="B118" s="16">
        <f>SUM('04_Monthly_2026_2028'!AB30:AB41)</f>
        <v>3208</v>
      </c>
      <c r="C118" s="9" t="inlineStr">
        <is>
          <t>h/년</t>
        </is>
      </c>
      <c r="D118" s="47" t="inlineStr"/>
    </row>
    <row r="119">
      <c r="A119" s="9" t="inlineStr">
        <is>
          <t>5 Gal 월 최대 (2027~2028)</t>
        </is>
      </c>
      <c r="B119" s="16">
        <f>MAX('04_Monthly_2026_2028'!AB18:AB41)</f>
        <v>267.333333333333</v>
      </c>
      <c r="C119" s="9" t="inlineStr">
        <is>
          <t>h/월</t>
        </is>
      </c>
      <c r="D119" s="47" t="inlineStr"/>
    </row>
    <row r="120">
      <c r="A120" s="9" t="inlineStr">
        <is>
          <t>200 L 용기 2027 연간 (이지켐+한솔)</t>
        </is>
      </c>
      <c r="B120" s="19">
        <f>SUM('04_Monthly_2026_2028'!AD18:AE29)</f>
        <v>96</v>
      </c>
      <c r="C120" s="9" t="inlineStr">
        <is>
          <t>용기</t>
        </is>
      </c>
      <c r="D120" s="47" t="inlineStr"/>
    </row>
    <row r="121">
      <c r="A121" s="9" t="inlineStr">
        <is>
          <t>200 L 용기 2028 연간</t>
        </is>
      </c>
      <c r="B121" s="19">
        <f>SUM('04_Monthly_2026_2028'!AD30:AE41)</f>
        <v>96</v>
      </c>
      <c r="C121" s="9" t="inlineStr">
        <is>
          <t>용기</t>
        </is>
      </c>
      <c r="D121" s="47" t="inlineStr"/>
    </row>
    <row r="122" ht="30" customHeight="1">
      <c r="A122" s="11" t="inlineStr">
        <is>
          <t>가용시간 시나리오 (글로브 박스)</t>
        </is>
      </c>
      <c r="B122" s="11" t="inlineStr">
        <is>
          <t>일 근무 (h)</t>
        </is>
      </c>
      <c r="C122" s="11" t="inlineStr">
        <is>
          <t>근무일</t>
        </is>
      </c>
      <c r="D122" s="11" t="inlineStr">
        <is>
          <t>월 가용 (h)</t>
        </is>
      </c>
      <c r="E122" s="11" t="inlineStr">
        <is>
          <t>5 Gal 최대
부하율</t>
        </is>
      </c>
      <c r="F122" s="11" t="inlineStr">
        <is>
          <t>5 Gal 여유
(h)</t>
        </is>
      </c>
      <c r="G122" s="11" t="inlineStr"/>
      <c r="H122" s="11" t="inlineStr">
        <is>
          <t>비고</t>
        </is>
      </c>
    </row>
    <row r="123">
      <c r="A123" s="37" t="inlineStr">
        <is>
          <t>입력값</t>
        </is>
      </c>
      <c r="B123" s="14" t="inlineStr">
        <is>
          <t>-</t>
        </is>
      </c>
      <c r="C123" s="15" t="inlineStr">
        <is>
          <t>-</t>
        </is>
      </c>
      <c r="D123" s="14" t="str">
        <f>IF(ISNUMBER('01_Inputs'!$B$86),'01_Inputs'!$B$86,"미확인")</f>
        <v>미확인</v>
      </c>
      <c r="E123" s="51" t="str">
        <f>IF(ISNUMBER(D123),'03_Capacity_Model'!$B$119/D123,"미확인")</f>
        <v>미확인</v>
      </c>
      <c r="F123" s="14" t="str">
        <f>IF(ISNUMBER(D123),D123-'03_Capacity_Model'!$B$119,"미확인")</f>
        <v>미확인</v>
      </c>
      <c r="H123" s="47" t="inlineStr">
        <is>
          <t>01_Inputs H — 미확인</t>
        </is>
      </c>
    </row>
    <row r="124">
      <c r="A124" s="37" t="inlineStr">
        <is>
          <t>참고 ① 1교대</t>
        </is>
      </c>
      <c r="B124" s="14">
        <f>'01_Inputs'!$B$92</f>
        <v>8</v>
      </c>
      <c r="C124" s="15">
        <f>'01_Inputs'!$B$91</f>
        <v>22</v>
      </c>
      <c r="D124" s="14">
        <f>B124*C124</f>
        <v>176</v>
      </c>
      <c r="E124" s="51">
        <f>IF(ISNUMBER(D124),'03_Capacity_Model'!$B$119/D124,"미확인")</f>
        <v>1.51893939393939</v>
      </c>
      <c r="F124" s="14">
        <f>IF(ISNUMBER(D124),D124-'03_Capacity_Model'!$B$119,"미확인")</f>
        <v>-91.3333333333333</v>
      </c>
      <c r="H124" s="47" t="inlineStr">
        <is>
          <t>가정</t>
        </is>
      </c>
    </row>
    <row r="125">
      <c r="A125" s="37" t="inlineStr">
        <is>
          <t>참고 ② 2교대</t>
        </is>
      </c>
      <c r="B125" s="14">
        <f>'01_Inputs'!$B$93</f>
        <v>16</v>
      </c>
      <c r="C125" s="15">
        <f>'01_Inputs'!$B$91</f>
        <v>22</v>
      </c>
      <c r="D125" s="14">
        <f>B125*C125</f>
        <v>352</v>
      </c>
      <c r="E125" s="51">
        <f>IF(ISNUMBER(D125),'03_Capacity_Model'!$B$119/D125,"미확인")</f>
        <v>0.759469696969697</v>
      </c>
      <c r="F125" s="14">
        <f>IF(ISNUMBER(D125),D125-'03_Capacity_Model'!$B$119,"미확인")</f>
        <v>84.6666666666667</v>
      </c>
      <c r="H125" s="47" t="inlineStr">
        <is>
          <t>가정</t>
        </is>
      </c>
    </row>
    <row r="126">
      <c r="A126" s="37" t="inlineStr">
        <is>
          <t>참고 ③ 연속 (30일)</t>
        </is>
      </c>
      <c r="B126" s="14">
        <f>'01_Inputs'!$B$94</f>
        <v>24</v>
      </c>
      <c r="C126" s="15">
        <f>30</f>
        <v>30</v>
      </c>
      <c r="D126" s="14">
        <f>B126*C126</f>
        <v>720</v>
      </c>
      <c r="E126" s="51">
        <f>IF(ISNUMBER(D126),'03_Capacity_Model'!$B$119/D126,"미확인")</f>
        <v>0.371296296296296</v>
      </c>
      <c r="F126" s="14">
        <f>IF(ISNUMBER(D126),D126-'03_Capacity_Model'!$B$119,"미확인")</f>
        <v>452.666666666667</v>
      </c>
      <c r="H126" s="47" t="inlineStr">
        <is>
          <t>가정</t>
        </is>
      </c>
    </row>
    <row r="128">
      <c r="A128" s="46" t="inlineStr">
        <is>
          <t>10. Product Tank 회전 (Tank 1기 가정 시: FQC·충진 완료 ≤ 다음 제품 도착)</t>
        </is>
      </c>
    </row>
    <row r="129" ht="30" customHeight="1">
      <c r="A129" s="11" t="inlineStr">
        <is>
          <t>5 Gal Batch 충진 18 h 경과</t>
        </is>
      </c>
      <c r="B129" s="11" t="inlineStr">
        <is>
          <t>일 근무
(h)</t>
        </is>
      </c>
      <c r="C129" s="11" t="inlineStr">
        <is>
          <t>충진 경과
(h)</t>
        </is>
      </c>
      <c r="D129" s="11" t="inlineStr">
        <is>
          <t>Tank 점유
(FQC+충진)</t>
        </is>
      </c>
      <c r="E129" s="11" t="inlineStr">
        <is>
          <t>여유 vs As-is
관측 간격</t>
        </is>
      </c>
      <c r="F129" s="11" t="inlineStr">
        <is>
          <t>여유 vs To-be
2대 합산 간격</t>
        </is>
      </c>
      <c r="G129" s="11" t="inlineStr"/>
      <c r="H129" s="11" t="inlineStr">
        <is>
          <t>판단</t>
        </is>
      </c>
    </row>
    <row r="130">
      <c r="A130" s="37" t="inlineStr">
        <is>
          <t>참고 ① 1교대</t>
        </is>
      </c>
      <c r="B130" s="14">
        <f>'01_Inputs'!$B$92</f>
        <v>8</v>
      </c>
      <c r="C130" s="14">
        <f>'01_Inputs'!$B$30/(B130/24)</f>
        <v>54</v>
      </c>
      <c r="D130" s="14">
        <f>'01_Inputs'!$B$18+N('01_Inputs'!$B$23)+C130</f>
        <v>56</v>
      </c>
      <c r="E130" s="14">
        <f>'03_Capacity_Model'!$B$51-D130</f>
        <v>11.4716981132076</v>
      </c>
      <c r="F130" s="14">
        <f>'03_Capacity_Model'!$B$89-D130</f>
        <v>-22.8412588020516</v>
      </c>
      <c r="G130" s="9" t="str">
        <f>IF(F130&lt;0,"To-be Tank·충진 병목 가능","여유")</f>
        <v>To-be Tank·충진 병목 가능</v>
      </c>
    </row>
    <row r="131">
      <c r="A131" s="37" t="inlineStr">
        <is>
          <t>참고 ② 2교대</t>
        </is>
      </c>
      <c r="B131" s="14">
        <f>'01_Inputs'!$B$93</f>
        <v>16</v>
      </c>
      <c r="C131" s="14">
        <f>'01_Inputs'!$B$30/(B131/24)</f>
        <v>27</v>
      </c>
      <c r="D131" s="14">
        <f>'01_Inputs'!$B$18+N('01_Inputs'!$B$23)+C131</f>
        <v>29</v>
      </c>
      <c r="E131" s="14">
        <f>'03_Capacity_Model'!$B$51-D131</f>
        <v>38.4716981132076</v>
      </c>
      <c r="F131" s="14">
        <f>'03_Capacity_Model'!$B$89-D131</f>
        <v>4.15874119794836</v>
      </c>
      <c r="G131" s="9" t="str">
        <f>IF(F131&lt;0,"To-be Tank·충진 병목 가능","여유")</f>
        <v>여유</v>
      </c>
    </row>
    <row r="132">
      <c r="A132" s="37" t="inlineStr">
        <is>
          <t>참고 ③ 연속</t>
        </is>
      </c>
      <c r="B132" s="14">
        <f>'01_Inputs'!$B$94</f>
        <v>24</v>
      </c>
      <c r="C132" s="14">
        <f>'01_Inputs'!$B$30/(B132/24)</f>
        <v>18</v>
      </c>
      <c r="D132" s="14">
        <f>'01_Inputs'!$B$18+N('01_Inputs'!$B$23)+C132</f>
        <v>20</v>
      </c>
      <c r="E132" s="14">
        <f>'03_Capacity_Model'!$B$51-D132</f>
        <v>47.4716981132076</v>
      </c>
      <c r="F132" s="14">
        <f>'03_Capacity_Model'!$B$89-D132</f>
        <v>13.1587411979484</v>
      </c>
      <c r="G132" s="9" t="str">
        <f>IF(F132&lt;0,"To-be Tank·충진 병목 가능","여유")</f>
        <v>여유</v>
      </c>
    </row>
    <row r="134">
      <c r="A134" s="46" t="inlineStr">
        <is>
          <t>11. 생산량 · 수율 · 잔량 (구두 수치는 확정값으로 통합하지 않음)</t>
        </is>
      </c>
    </row>
    <row r="135">
      <c r="A135" s="9" t="inlineStr">
        <is>
          <t>190 kg − 9병(180 kg)</t>
        </is>
      </c>
      <c r="B135" s="22">
        <f>'01_Inputs'!$B$51</f>
        <v>10</v>
      </c>
      <c r="C135" s="9" t="inlineStr">
        <is>
          <t>kg/Batch</t>
        </is>
      </c>
      <c r="D135" s="47" t="inlineStr">
        <is>
          <t>잔량·추가 충진·재고 처리 확인 — 자동 손실 처리 안 함</t>
        </is>
      </c>
    </row>
    <row r="136">
      <c r="A136" s="9" t="inlineStr">
        <is>
          <t>혼합 경로 예: 이지켐 1용기 후 잔량</t>
        </is>
      </c>
      <c r="B136" s="25">
        <f>'01_Inputs'!$B$49-'01_Inputs'!$B$43</f>
        <v>50</v>
      </c>
      <c r="C136" s="9" t="inlineStr">
        <is>
          <t>kg</t>
        </is>
      </c>
      <c r="D136" s="47" t="inlineStr">
        <is>
          <t>190 − 140 = 50 kg → 5 Gal 2병 + 10 kg 또는 보관</t>
        </is>
      </c>
    </row>
    <row r="137">
      <c r="A137" s="9" t="inlineStr">
        <is>
          <t>혼합 경로 예: 한솔 1용기 후 잔량</t>
        </is>
      </c>
      <c r="B137" s="25">
        <f>'01_Inputs'!$B$49-'01_Inputs'!$B$44</f>
        <v>40</v>
      </c>
      <c r="C137" s="9" t="inlineStr">
        <is>
          <t>kg</t>
        </is>
      </c>
      <c r="D137" s="47" t="inlineStr">
        <is>
          <t>190 − 150 = 40 kg → 5 Gal 2병</t>
        </is>
      </c>
    </row>
    <row r="138">
      <c r="A138" s="9" t="inlineStr">
        <is>
          <t>구두 참고: Crude 200 kg × 75%</t>
        </is>
      </c>
      <c r="B138" s="26">
        <f>'01_Inputs'!$B$52*'01_Inputs'!$B$53</f>
        <v>150</v>
      </c>
      <c r="C138" s="9" t="inlineStr">
        <is>
          <t>kg</t>
        </is>
      </c>
      <c r="D138" s="47" t="inlineStr">
        <is>
          <t>순수 회수 — 리사이클·추가 투입 전</t>
        </is>
      </c>
    </row>
    <row r="139">
      <c r="A139" s="9" t="inlineStr">
        <is>
          <t>구두 참고: Crude 200 kg × 80%</t>
        </is>
      </c>
      <c r="B139" s="26">
        <f>'01_Inputs'!$B$52*'01_Inputs'!$B$54</f>
        <v>160</v>
      </c>
      <c r="C139" s="9" t="inlineStr">
        <is>
          <t>kg</t>
        </is>
      </c>
      <c r="D139" s="47" t="inlineStr"/>
    </row>
    <row r="140">
      <c r="A140" s="9" t="inlineStr">
        <is>
          <t>실측 수율 (양품 ÷ 신규 Crude)</t>
        </is>
      </c>
      <c r="B140" s="51" t="str">
        <f>IF(AND(ISNUMBER('01_Inputs'!$B$60),ISNUMBER('01_Inputs'!$B$58)),'01_Inputs'!$B$60/'01_Inputs'!$B$58,"보류")</f>
        <v>보류</v>
      </c>
      <c r="C140" s="9" t="inlineStr">
        <is>
          <t>%</t>
        </is>
      </c>
      <c r="D140" s="47" t="inlineStr">
        <is>
          <t>실측 입력 시 계산</t>
        </is>
      </c>
    </row>
    <row r="141">
      <c r="A141" s="9" t="inlineStr">
        <is>
          <t>실측 수율 (양품 ÷ 총 투입 = 신규 + 재순환)</t>
        </is>
      </c>
      <c r="B141" s="51" t="str">
        <f>IF(AND(ISNUMBER('01_Inputs'!$B$60),ISNUMBER('01_Inputs'!$B$58),ISNUMBER('01_Inputs'!$B$59)),'01_Inputs'!$B$60/('01_Inputs'!$B$58+'01_Inputs'!$B$59),"보류")</f>
        <v>보류</v>
      </c>
      <c r="C141" s="9" t="inlineStr">
        <is>
          <t>%</t>
        </is>
      </c>
      <c r="D141" s="47" t="inlineStr"/>
    </row>
  </sheetData>
  <mergeCells count="74">
    <mergeCell ref="D59:H59"/>
    <mergeCell ref="D60:H60"/>
    <mergeCell ref="D69:H69"/>
    <mergeCell ref="D138:H138"/>
    <mergeCell ref="D119:H119"/>
    <mergeCell ref="D63:H63"/>
    <mergeCell ref="D90:H90"/>
    <mergeCell ref="D80:H80"/>
    <mergeCell ref="D31:H31"/>
    <mergeCell ref="D46:H46"/>
    <mergeCell ref="D84:H84"/>
    <mergeCell ref="D22:H22"/>
    <mergeCell ref="D40:H40"/>
    <mergeCell ref="D140:H140"/>
    <mergeCell ref="D36:H36"/>
    <mergeCell ref="D96:H96"/>
    <mergeCell ref="D139:H139"/>
    <mergeCell ref="D52:H52"/>
    <mergeCell ref="D21:H21"/>
    <mergeCell ref="D57:H57"/>
    <mergeCell ref="D95:H95"/>
    <mergeCell ref="D86:H86"/>
    <mergeCell ref="D49:H49"/>
    <mergeCell ref="D27:H27"/>
    <mergeCell ref="D120:H120"/>
    <mergeCell ref="D136:H136"/>
    <mergeCell ref="D41:H41"/>
    <mergeCell ref="D32:H32"/>
    <mergeCell ref="D61:H61"/>
    <mergeCell ref="D141:H141"/>
    <mergeCell ref="D70:H70"/>
    <mergeCell ref="D135:H135"/>
    <mergeCell ref="D48:H48"/>
    <mergeCell ref="D17:H17"/>
    <mergeCell ref="D53:H53"/>
    <mergeCell ref="D91:H91"/>
    <mergeCell ref="D47:H47"/>
    <mergeCell ref="D43:H43"/>
    <mergeCell ref="D87:H87"/>
    <mergeCell ref="D72:H72"/>
    <mergeCell ref="D28:H28"/>
    <mergeCell ref="D37:H37"/>
    <mergeCell ref="D71:H71"/>
    <mergeCell ref="D93:H93"/>
    <mergeCell ref="D62:H62"/>
    <mergeCell ref="D118:H118"/>
    <mergeCell ref="D137:H137"/>
    <mergeCell ref="D18:H18"/>
    <mergeCell ref="D56:H56"/>
    <mergeCell ref="D58:H58"/>
    <mergeCell ref="D88:H88"/>
    <mergeCell ref="D92:H92"/>
    <mergeCell ref="D30:H30"/>
    <mergeCell ref="D39:H39"/>
    <mergeCell ref="D68:H68"/>
    <mergeCell ref="D83:H83"/>
    <mergeCell ref="D114:H114"/>
    <mergeCell ref="D117:H117"/>
    <mergeCell ref="D55:H55"/>
    <mergeCell ref="D121:H121"/>
    <mergeCell ref="D42:H42"/>
    <mergeCell ref="D64:H64"/>
    <mergeCell ref="D33:H33"/>
    <mergeCell ref="D89:H89"/>
    <mergeCell ref="D29:H29"/>
    <mergeCell ref="D67:H67"/>
    <mergeCell ref="D51:H51"/>
    <mergeCell ref="D23:H23"/>
    <mergeCell ref="D38:H38"/>
    <mergeCell ref="D94:H94"/>
    <mergeCell ref="D85:H85"/>
    <mergeCell ref="D54:H54"/>
    <mergeCell ref="D50:H50"/>
    <mergeCell ref="D26:H26"/>
  </mergeCells>
  <conditionalFormatting sqref="J98:AX113">
    <cfRule type="expression" priority="1" dxfId="2">
      <formula>AND(J98=1,ISNUMBER(SEARCH("정제",$A98)))</formula>
    </cfRule>
    <cfRule type="expression" priority="2" dxfId="3">
      <formula>AND(J98=1,ISNUMBER(SEARCH("준비",$A98)))</formula>
    </cfRule>
    <cfRule type="expression" priority="3" dxfId="4">
      <formula>AND(J98=1,ISNUMBER(SEARCH("PQC",$A98)))</formula>
    </cfRule>
    <cfRule type="expression" priority="4" dxfId="5">
      <formula>AND(J98=1,ISNUMBER(SEARCH("충진",$A98)))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7900"/>
    <outlinePr summaryBelow="1" summaryRight="1"/>
    <pageSetUpPr/>
  </sheetPr>
  <dimension ref="A1:BE55"/>
  <sheetViews>
    <sheetView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.5" customWidth="1" min="2" max="2"/>
    <col width="10.5" customWidth="1" min="3" max="3"/>
    <col width="1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4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6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0.5" customWidth="1" min="41" max="41"/>
    <col width="10.5" customWidth="1" min="42" max="42"/>
    <col width="10.5" customWidth="1" min="43" max="43"/>
    <col width="10.5" customWidth="1" min="44" max="44"/>
    <col width="10.5" customWidth="1" min="45" max="45"/>
    <col width="10.5" customWidth="1" min="46" max="46"/>
    <col width="10.5" customWidth="1" min="47" max="47"/>
    <col width="10.5" customWidth="1" min="48" max="48"/>
    <col width="10.5" customWidth="1" min="49" max="49"/>
    <col width="10.5" customWidth="1" min="50" max="50"/>
    <col width="10.5" customWidth="1" min="51" max="51"/>
    <col width="10.5" customWidth="1" min="52" max="52"/>
    <col width="10.5" customWidth="1" min="53" max="53"/>
    <col width="10.5" customWidth="1" min="54" max="54"/>
    <col width="10.5" customWidth="1" min="55" max="55"/>
    <col width="18" customWidth="1" min="56" max="56"/>
    <col width="60" customWidth="1" min="57" max="57"/>
  </cols>
  <sheetData>
    <row r="1">
      <c r="A1" s="1" t="inlineStr">
        <is>
          <t>04_Monthly_2026_2028 | 36개월 생산 가능량 · 4개 고객 출하 · 충진 · 재고</t>
        </is>
      </c>
    </row>
    <row r="2">
      <c r="A2" s="2" t="inlineStr">
        <is>
          <t>2026 = 관측 간격 추정 생산 가능량 · 2027~2028 = 생산 계획 ('27.1~4 확정, 이후 Capa. 기준 = (연간 Capa. − 대정비) ÷ 11). 미확인 조건은 0으로 치환하지 않음.</t>
        </is>
      </c>
    </row>
    <row r="3">
      <c r="A3" s="3" t="inlineStr">
        <is>
          <t xml:space="preserve">  </t>
        </is>
      </c>
      <c r="B3" s="4" t="inlineStr">
        <is>
          <t>입력 (제공·확정·계획)</t>
        </is>
      </c>
      <c r="C3" s="5" t="inlineStr">
        <is>
          <t xml:space="preserve">  </t>
        </is>
      </c>
      <c r="D3" s="4" t="inlineStr">
        <is>
          <t>미확인 입력란 (공란 유지)</t>
        </is>
      </c>
      <c r="E3" s="6" t="inlineStr">
        <is>
          <t xml:space="preserve">  </t>
        </is>
      </c>
      <c r="F3" s="4" t="inlineStr">
        <is>
          <t>추정·가정 입력</t>
        </is>
      </c>
      <c r="G3" s="7" t="inlineStr">
        <is>
          <t xml:space="preserve">  </t>
        </is>
      </c>
      <c r="H3" s="4" t="inlineStr">
        <is>
          <t>구두 언급 (미검증)</t>
        </is>
      </c>
      <c r="I3" s="8" t="inlineStr">
        <is>
          <t xml:space="preserve">  </t>
        </is>
      </c>
      <c r="J3" s="4" t="inlineStr">
        <is>
          <t>검토안 (미확정)</t>
        </is>
      </c>
      <c r="K3" s="9" t="inlineStr">
        <is>
          <t xml:space="preserve">  </t>
        </is>
      </c>
      <c r="L3" s="4" t="inlineStr">
        <is>
          <t>수식 / 시트 참조(초록)</t>
        </is>
      </c>
      <c r="M3" s="10" t="inlineStr">
        <is>
          <t xml:space="preserve">  </t>
        </is>
      </c>
      <c r="N3" s="4" t="inlineStr">
        <is>
          <t>핵심 결과</t>
        </is>
      </c>
    </row>
    <row r="5" ht="54" customHeight="1">
      <c r="A5" s="11" t="inlineStr">
        <is>
          <t>연월</t>
        </is>
      </c>
      <c r="B5" s="11" t="inlineStr">
        <is>
          <t>연도</t>
        </is>
      </c>
      <c r="C5" s="11" t="inlineStr">
        <is>
          <t>월 일수</t>
        </is>
      </c>
      <c r="D5" s="11" t="inlineStr">
        <is>
          <t>운전 조건</t>
        </is>
      </c>
      <c r="E5" s="11" t="inlineStr">
        <is>
          <t>정제기 수</t>
        </is>
      </c>
      <c r="F5" s="11" t="inlineStr">
        <is>
          <t>정지·보수
입력 (h)</t>
        </is>
      </c>
      <c r="G5" s="11" t="inlineStr">
        <is>
          <t>정제기 가용
합계 (h)</t>
        </is>
      </c>
      <c r="H5" s="11" t="inlineStr">
        <is>
          <t>설비별 Batch
간격 (h)</t>
        </is>
      </c>
      <c r="I5" s="11" t="inlineStr">
        <is>
          <t>이월 (h)</t>
        </is>
      </c>
      <c r="J5" s="11" t="inlineStr">
        <is>
          <t>생산 가능
완료 Batch</t>
        </is>
      </c>
      <c r="K5" s="11" t="inlineStr">
        <is>
          <t>월말 진행
이월 (h)</t>
        </is>
      </c>
      <c r="L5" s="11" t="inlineStr">
        <is>
          <t>과거계획
번호 개수</t>
        </is>
      </c>
      <c r="M5" s="11" t="inlineStr">
        <is>
          <t>과거계획
Total</t>
        </is>
      </c>
      <c r="N5" s="11" t="inlineStr">
        <is>
          <t>확정 생산 Batch
(실적 입력)</t>
        </is>
      </c>
      <c r="O5" s="11" t="inlineStr">
        <is>
          <t>적용 Batch</t>
        </is>
      </c>
      <c r="P5" s="11" t="inlineStr">
        <is>
          <t>적용 기준</t>
        </is>
      </c>
      <c r="Q5" s="11" t="inlineStr">
        <is>
          <t>Batch당
생산량 (kg)</t>
        </is>
      </c>
      <c r="R5" s="11" t="inlineStr">
        <is>
          <t>정제 생산량
(kg · '27~ 계획)</t>
        </is>
      </c>
      <c r="S5" s="11" t="inlineStr">
        <is>
          <t>출하 가능 양품
(kg)</t>
        </is>
      </c>
      <c r="T5" s="11" t="inlineStr">
        <is>
          <t>Capa. 기준
월 (kg)</t>
        </is>
      </c>
      <c r="U5" s="11" t="inlineStr">
        <is>
          <t>하이닉스
(kg)</t>
        </is>
      </c>
      <c r="V5" s="11" t="inlineStr">
        <is>
          <t>CXMT
(kg)</t>
        </is>
      </c>
      <c r="W5" s="11" t="inlineStr">
        <is>
          <t>이지켐
(kg)</t>
        </is>
      </c>
      <c r="X5" s="11" t="inlineStr">
        <is>
          <t>한솔
(kg)</t>
        </is>
      </c>
      <c r="Y5" s="11" t="inlineStr">
        <is>
          <t>출하 합계
(kg)</t>
        </is>
      </c>
      <c r="Z5" s="11" t="inlineStr">
        <is>
          <t>필요 Batch
(÷190)</t>
        </is>
      </c>
      <c r="AA5" s="11" t="inlineStr">
        <is>
          <t>5 Gal 병 상당
(병)</t>
        </is>
      </c>
      <c r="AB5" s="11" t="inlineStr">
        <is>
          <t>5 Gal 충진
작업 (h)</t>
        </is>
      </c>
      <c r="AC5" s="11" t="inlineStr">
        <is>
          <t>5 Gal OQC
(h)</t>
        </is>
      </c>
      <c r="AD5" s="11" t="inlineStr">
        <is>
          <t>이지켐
용기</t>
        </is>
      </c>
      <c r="AE5" s="11" t="inlineStr">
        <is>
          <t>한솔
용기</t>
        </is>
      </c>
      <c r="AF5" s="11" t="inlineStr">
        <is>
          <t>이지켐
방식</t>
        </is>
      </c>
      <c r="AG5" s="11" t="inlineStr">
        <is>
          <t>한솔
방식</t>
        </is>
      </c>
      <c r="AH5" s="11" t="inlineStr">
        <is>
          <t>이지켐 충진
(h)</t>
        </is>
      </c>
      <c r="AI5" s="11" t="inlineStr">
        <is>
          <t>한솔 충진
(h)</t>
        </is>
      </c>
      <c r="AJ5" s="11" t="inlineStr">
        <is>
          <t>200 L 충진
확인분 (h)</t>
        </is>
      </c>
      <c r="AK5" s="11" t="inlineStr">
        <is>
          <t>200 L 공통 8 h
적용 가정 (h)</t>
        </is>
      </c>
      <c r="AL5" s="11" t="inlineStr">
        <is>
          <t>200 L OQC
(h)</t>
        </is>
      </c>
      <c r="AM5" s="11" t="inlineStr">
        <is>
          <t>글로브 박스
가용 (h)</t>
        </is>
      </c>
      <c r="AN5" s="11" t="inlineStr">
        <is>
          <t>글로브 박스
여유 (h)</t>
        </is>
      </c>
      <c r="AO5" s="11" t="inlineStr">
        <is>
          <t>Capa. 기준
− 출하 (kg)</t>
        </is>
      </c>
      <c r="AP5" s="11" t="inlineStr">
        <is>
          <t>양품 생산
− 출하 (kg)</t>
        </is>
      </c>
      <c r="AQ5" s="11" t="inlineStr">
        <is>
          <t>누적 증감 (기초재고
제외 · '27.1 재시작)</t>
        </is>
      </c>
      <c r="AR5" s="11" t="inlineStr">
        <is>
          <t>기초재고</t>
        </is>
      </c>
      <c r="AS5" s="11" t="inlineStr">
        <is>
          <t>공급 가능량</t>
        </is>
      </c>
      <c r="AT5" s="11" t="inlineStr">
        <is>
          <t>① 하이닉스
배정</t>
        </is>
      </c>
      <c r="AU5" s="11" t="inlineStr">
        <is>
          <t>② 하이닉스
목표재고</t>
        </is>
      </c>
      <c r="AV5" s="11" t="inlineStr">
        <is>
          <t>③ CXMT
배정</t>
        </is>
      </c>
      <c r="AW5" s="11" t="inlineStr">
        <is>
          <t>③ 이지켐
배정</t>
        </is>
      </c>
      <c r="AX5" s="11" t="inlineStr">
        <is>
          <t>③ 한솔
배정</t>
        </is>
      </c>
      <c r="AY5" s="11" t="inlineStr">
        <is>
          <t>출하 부족</t>
        </is>
      </c>
      <c r="AZ5" s="11" t="inlineStr">
        <is>
          <t>기말재고</t>
        </is>
      </c>
      <c r="BA5" s="11" t="inlineStr">
        <is>
          <t>목표
기말재고</t>
        </is>
      </c>
      <c r="BB5" s="11" t="inlineStr">
        <is>
          <t>필요
생산량</t>
        </is>
      </c>
      <c r="BC5" s="11" t="inlineStr">
        <is>
          <t>여유·부족
(기말−목표)</t>
        </is>
      </c>
      <c r="BD5" s="11" t="inlineStr">
        <is>
          <t>계산 상태</t>
        </is>
      </c>
      <c r="BE5" s="11" t="inlineStr">
        <is>
          <t>미확인 항목</t>
        </is>
      </c>
    </row>
    <row r="6">
      <c r="A6" s="55" t="n">
        <v>46023</v>
      </c>
      <c r="B6" s="15">
        <f>YEAR(A6)</f>
        <v>2026</v>
      </c>
      <c r="C6" s="15">
        <f>DAY(EOMONTH(A6,0))</f>
        <v>31</v>
      </c>
      <c r="D6" s="9" t="str">
        <f>IF(AND(YEAR(A6)&gt;=2027,MONTH(A6)='01_Inputs'!$B$69),"대정비",IF(A6&lt;'01_Inputs'!$B$80,"현재 (1대)",IF(AND(ISNUMBER('01_Inputs'!$B$76),A6&gt;='01_Inputs'!$B$76),"개선 (2대·105℃)","개선 (2대)")))</f>
        <v>현재 (1대)</v>
      </c>
      <c r="E6" s="15">
        <f>IF(LEFT(D6,2)="개선",'01_Inputs'!$B$8,'01_Inputs'!$B$7)</f>
        <v>1</v>
      </c>
      <c r="F6" s="56" t="n"/>
      <c r="G6" s="14">
        <f>IF(D6="대정비","대정비",E6*C6*24-N(F6))</f>
        <v>744</v>
      </c>
      <c r="H6" s="30">
        <f>IF(D6="현재 (1대)",'03_Capacity_Model'!$B$80,IF(D6="개선 (2대)",IF(ISNUMBER('01_Inputs'!$B$82),'01_Inputs'!$B$82,"미확인"),IF(D6="개선 (2대·105℃)",IF(ISNUMBER('01_Inputs'!$B$77),'01_Inputs'!$B$77,"미확인"),"-")))</f>
        <v>67.4716981132076</v>
      </c>
      <c r="I6" s="14">
        <f>0</f>
        <v>0</v>
      </c>
      <c r="J6" s="45">
        <f>IF(AND(ISNUMBER(G6),ISNUMBER(H6)),INT((G6+I6)/H6),IF(D6="대정비","대정비","미확인"))</f>
        <v>11</v>
      </c>
      <c r="K6" s="14">
        <f>IF(AND(ISNUMBER(G6),ISNUMBER(H6),ISNUMBER(J6)),G6+I6-J6*H6,"")</f>
        <v>1.81132075471692</v>
      </c>
      <c r="L6" s="19">
        <f>IF(COUNTIFS('02_Batch_Raw'!$E$6:$E$99,"&gt;="&amp;A6,'02_Batch_Raw'!$E$6:$E$99,"&lt;="&amp;EOMONTH(A6,0))=0,"",COUNTIFS('02_Batch_Raw'!$E$6:$E$99,"&gt;="&amp;A6,'02_Batch_Raw'!$E$6:$E$99,"&lt;="&amp;EOMONTH(A6,0)))</f>
      </c>
      <c r="M6" s="19">
        <f>""</f>
      </c>
      <c r="N6" s="57" t="n"/>
      <c r="O6" s="15">
        <f>IF(ISNUMBER(N6),N6,J6)</f>
        <v>11</v>
      </c>
      <c r="P6" s="9" t="str">
        <f>IF(ISNUMBER(N6),"실적 입력",IF(ISNUMBER(J6),"추정 생산 가능량","미확인"))</f>
        <v>추정 생산 가능량</v>
      </c>
      <c r="Q6" s="25">
        <f>IF(LEFT(D6,2)="개선",IF(ISNUMBER('01_Inputs'!$B$61),'01_Inputs'!$B$61,'01_Inputs'!$B$49),'01_Inputs'!$B$49)</f>
        <v>190</v>
      </c>
      <c r="R6" s="25">
        <f>IF(ISNUMBER(O6),O6*Q6,"미확인")</f>
        <v>2090</v>
      </c>
      <c r="S6" s="40">
        <f>IF(ISNUMBER(R6),R6*IF(ISNUMBER('01_Inputs'!$B$105),'01_Inputs'!$B$105,1),"미확인")</f>
        <v>2090</v>
      </c>
      <c r="T6" s="32">
        <f>IF(D6="대정비",'01_Inputs'!$B$70,IF(D6="개선 (2대·105℃)",'01_Inputs'!$B$72,IF(D6="개선 (2대)",'01_Inputs'!$B$71,'01_Inputs'!$B$63*1000/12)))</f>
        <v>2183.33333333333</v>
      </c>
      <c r="U6" s="31">
        <f>IF(ISNUMBER('01_Inputs'!$C$114),'01_Inputs'!$C$114,"미제시")</f>
        <v>1600</v>
      </c>
      <c r="V6" s="31" t="str">
        <f>IF(ISNUMBER('01_Inputs'!$C$115),'01_Inputs'!$C$115,"미제시")</f>
        <v>미제시</v>
      </c>
      <c r="W6" s="31">
        <f>IF(ISNUMBER('01_Inputs'!$C$116),'01_Inputs'!$C$116,"미제시")</f>
        <v>0</v>
      </c>
      <c r="X6" s="31" t="str">
        <f>IF(ISNUMBER('01_Inputs'!$C$117),'01_Inputs'!$C$117,"미제시")</f>
        <v>미제시</v>
      </c>
      <c r="Y6" s="36">
        <f>SUM(U6:X6)</f>
        <v>1600</v>
      </c>
      <c r="Z6" s="52">
        <f>Y6/Q6</f>
        <v>8.42105263157895</v>
      </c>
      <c r="AA6" s="52">
        <f>(N(U6)+N(V6))/'01_Inputs'!$B$42</f>
        <v>80</v>
      </c>
      <c r="AB6" s="14">
        <f>AA6*'01_Inputs'!$B$28</f>
        <v>160</v>
      </c>
      <c r="AC6" s="14">
        <f>AA6/'01_Inputs'!$B$29*'01_Inputs'!$B$32</f>
        <v>17.7777777777778</v>
      </c>
      <c r="AD6" s="52">
        <f>N(W6)/'01_Inputs'!$B$43</f>
        <v>0</v>
      </c>
      <c r="AE6" s="52">
        <f>N(X6)/'01_Inputs'!$B$44</f>
        <v>0</v>
      </c>
      <c r="AF6" s="9" t="str">
        <f>IF(AD6=0,"-",IF(A6&gt;='01_Inputs'!$B$47,"ARS","수동"))</f>
        <v>-</v>
      </c>
      <c r="AG6" s="9" t="str">
        <f>IF(AE6=0,"-",IF(A6&gt;='01_Inputs'!$B$46,"ARS","수동"))</f>
        <v>-</v>
      </c>
      <c r="AH6" s="14">
        <f>IF(AD6=0,0,IF(AF6="수동",AD6*'01_Inputs'!$B$34,IF(ISNUMBER('01_Inputs'!$B$36),AD6*'01_Inputs'!$B$36,"미확인")))</f>
        <v>0</v>
      </c>
      <c r="AI6" s="14">
        <f>IF(AE6=0,0,IF(AG6="수동",IF(ISNUMBER('01_Inputs'!$B$35),AE6*'01_Inputs'!$B$35,"미확인"),IF(ISNUMBER('01_Inputs'!$B$37),AE6*'01_Inputs'!$B$37,"미확인")))</f>
        <v>0</v>
      </c>
      <c r="AJ6" s="14">
        <f>IF(AND(ISNUMBER(AH6),ISNUMBER(AI6)),AH6+AI6,"부분 "&amp;TEXT(N(AH6)+N(AI6),"0")&amp;" h + 미확인")</f>
        <v>0</v>
      </c>
      <c r="AK6" s="14">
        <f>(AD6+AE6)*'01_Inputs'!$B$38</f>
        <v>0</v>
      </c>
      <c r="AL6" s="14">
        <f>(AD6+AE6)*'01_Inputs'!$B$33</f>
        <v>0</v>
      </c>
      <c r="AM6" s="14" t="str">
        <f>IF(ISNUMBER('01_Inputs'!$B$86),'01_Inputs'!$B$86,"미확인")</f>
        <v>미확인</v>
      </c>
      <c r="AN6" s="14" t="str">
        <f>IF(ISNUMBER(AM6),AM6-AB6,"미확인")</f>
        <v>미확인</v>
      </c>
      <c r="AO6" s="32">
        <f>T6-Y6</f>
        <v>583.333333333334</v>
      </c>
      <c r="AP6" s="32">
        <f>IF(ISNUMBER(S6),S6-Y6,"미확인")</f>
        <v>490</v>
      </c>
      <c r="AQ6" s="32">
        <f>IF(ISNUMBER(AP6),AP6,"보류")</f>
        <v>490</v>
      </c>
      <c r="AR6" s="32" t="str">
        <f>IF(ISNUMBER('01_Inputs'!$B$102),'01_Inputs'!$B$102,"미입력")</f>
        <v>미입력</v>
      </c>
      <c r="AS6" s="32" t="str">
        <f>IF(AND(ISNUMBER(AR6),ISNUMBER(S6)),AR6+S6,"보류")</f>
        <v>보류</v>
      </c>
      <c r="AT6" s="32" t="str">
        <f>IF(ISNUMBER(AS6),MIN(AS6,U6),"보류")</f>
        <v>보류</v>
      </c>
      <c r="AU6" s="32" t="str">
        <f>IF(ISNUMBER(AS6),MIN(AS6-AT6,N('01_Inputs'!$B$103)),"보류")</f>
        <v>보류</v>
      </c>
      <c r="AV6" s="32" t="str">
        <f>IF(ISNUMBER(AS6),IF((N(V6)+N(W6)+N(X6))=0,0,MIN(N(V6),(AS6-AT6-AU6)*N(V6)/(N(V6)+N(W6)+N(X6)))),"보류")</f>
        <v>보류</v>
      </c>
      <c r="AW6" s="32" t="str">
        <f>IF(ISNUMBER(AS6),IF((N(V6)+N(W6)+N(X6))=0,0,MIN(N(W6),(AS6-AT6-AU6)*N(W6)/(N(V6)+N(W6)+N(X6)))),"보류")</f>
        <v>보류</v>
      </c>
      <c r="AX6" s="32" t="str">
        <f>IF(ISNUMBER(AS6),IF((N(V6)+N(W6)+N(X6))=0,0,MIN(N(X6),(AS6-AT6-AU6)*N(X6)/(N(V6)+N(W6)+N(X6)))),"보류")</f>
        <v>보류</v>
      </c>
      <c r="AY6" s="32" t="str">
        <f>IF(ISNUMBER(AS6),Y6-AT6-AV6-AW6-AX6,"보류")</f>
        <v>보류</v>
      </c>
      <c r="AZ6" s="36" t="str">
        <f>IF(ISNUMBER(AS6),AS6-AT6-AV6-AW6-AX6,"보류")</f>
        <v>보류</v>
      </c>
      <c r="BA6" s="32" t="str">
        <f>IF(ISNUMBER('01_Inputs'!$B$104),'01_Inputs'!$B$104,"미입력")</f>
        <v>미입력</v>
      </c>
      <c r="BB6" s="32" t="str">
        <f>IF(AND(ISNUMBER(AR6),ISNUMBER(BA6)),Y6+BA6-AR6,"보류")</f>
        <v>보류</v>
      </c>
      <c r="BC6" s="32" t="str">
        <f>IF(AND(ISNUMBER(AZ6),ISNUMBER(BA6)),AZ6-BA6,"보류")</f>
        <v>보류</v>
      </c>
      <c r="BD6" s="9" t="str">
        <f>IF(ISNUMBER(AZ6),"계산 가능",IF(ISNUMBER(AP6),"부분 (재고 입력 필요)","보류 (생산 조건 미확인)"))</f>
        <v>부분 (재고 입력 필요)</v>
      </c>
      <c r="BE6" s="9" t="str">
        <f>IF(D6="개선 (2대)",IF(ISNUMBER('01_Inputs'!$B$82),"","설비별 간격·"),"")&amp;IF(D6="개선 (2대·105℃)",IF(ISNUMBER('01_Inputs'!$B$77),"","105℃ 간격·"),"")&amp;IF(ISNUMBER(N6),"","실적·")&amp;IF(ISNUMBER('01_Inputs'!$B$105),"","양품률(100% 상한)·")&amp;IF(COUNTIF(U6:X6,"미제시")&gt;0,"고객 물량 미제시·","")&amp;IF(ISNUMBER(AJ6),"","200 L 충진시간·")&amp;IF(ISNUMBER('01_Inputs'!$B$86),"","글로브 박스 가용·")&amp;IF(ISNUMBER('01_Inputs'!$B$102),"","기초재고·")</f>
        <v>실적·양품률(100% 상한)·고객 물량 미제시·글로브 박스 가용·기초재고·</v>
      </c>
    </row>
    <row r="7">
      <c r="A7" s="55" t="n">
        <v>46054</v>
      </c>
      <c r="B7" s="15">
        <f>YEAR(A7)</f>
        <v>2026</v>
      </c>
      <c r="C7" s="15">
        <f>DAY(EOMONTH(A7,0))</f>
        <v>28</v>
      </c>
      <c r="D7" s="9" t="str">
        <f>IF(AND(YEAR(A7)&gt;=2027,MONTH(A7)='01_Inputs'!$B$69),"대정비",IF(A7&lt;'01_Inputs'!$B$80,"현재 (1대)",IF(AND(ISNUMBER('01_Inputs'!$B$76),A7&gt;='01_Inputs'!$B$76),"개선 (2대·105℃)","개선 (2대)")))</f>
        <v>현재 (1대)</v>
      </c>
      <c r="E7" s="15">
        <f>IF(LEFT(D7,2)="개선",'01_Inputs'!$B$8,'01_Inputs'!$B$7)</f>
        <v>1</v>
      </c>
      <c r="F7" s="56" t="n"/>
      <c r="G7" s="14">
        <f>IF(D7="대정비","대정비",E7*C7*24-N(F7))</f>
        <v>672</v>
      </c>
      <c r="H7" s="30">
        <f>IF(D7="현재 (1대)",'03_Capacity_Model'!$B$80,IF(D7="개선 (2대)",IF(ISNUMBER('01_Inputs'!$B$82),'01_Inputs'!$B$82,"미확인"),IF(D7="개선 (2대·105℃)",IF(ISNUMBER('01_Inputs'!$B$77),'01_Inputs'!$B$77,"미확인"),"-")))</f>
        <v>67.4716981132076</v>
      </c>
      <c r="I7" s="14">
        <f>IF(AND(ISNUMBER(K6),D6=D7),K6,0)</f>
        <v>1.81132075471692</v>
      </c>
      <c r="J7" s="45">
        <f>IF(AND(ISNUMBER(G7),ISNUMBER(H7)),INT((G7+I7)/H7),IF(D7="대정비","대정비","미확인"))</f>
        <v>9</v>
      </c>
      <c r="K7" s="14">
        <f>IF(AND(ISNUMBER(G7),ISNUMBER(H7),ISNUMBER(J7)),G7+I7-J7*H7,"")</f>
        <v>66.5660377358489</v>
      </c>
      <c r="L7" s="19">
        <f>IF(COUNTIFS('02_Batch_Raw'!$E$6:$E$99,"&gt;="&amp;A7,'02_Batch_Raw'!$E$6:$E$99,"&lt;="&amp;EOMONTH(A7,0))=0,"",COUNTIFS('02_Batch_Raw'!$E$6:$E$99,"&gt;="&amp;A7,'02_Batch_Raw'!$E$6:$E$99,"&lt;="&amp;EOMONTH(A7,0)))</f>
      </c>
      <c r="M7" s="19">
        <f>""</f>
      </c>
      <c r="N7" s="57" t="n"/>
      <c r="O7" s="15">
        <f>IF(ISNUMBER(N7),N7,J7)</f>
        <v>9</v>
      </c>
      <c r="P7" s="9" t="str">
        <f>IF(ISNUMBER(N7),"실적 입력",IF(ISNUMBER(J7),"추정 생산 가능량","미확인"))</f>
        <v>추정 생산 가능량</v>
      </c>
      <c r="Q7" s="25">
        <f>IF(LEFT(D7,2)="개선",IF(ISNUMBER('01_Inputs'!$B$61),'01_Inputs'!$B$61,'01_Inputs'!$B$49),'01_Inputs'!$B$49)</f>
        <v>190</v>
      </c>
      <c r="R7" s="25">
        <f>IF(ISNUMBER(O7),O7*Q7,"미확인")</f>
        <v>1710</v>
      </c>
      <c r="S7" s="40">
        <f>IF(ISNUMBER(R7),R7*IF(ISNUMBER('01_Inputs'!$B$105),'01_Inputs'!$B$105,1),"미확인")</f>
        <v>1710</v>
      </c>
      <c r="T7" s="32">
        <f>IF(D7="대정비",'01_Inputs'!$B$70,IF(D7="개선 (2대·105℃)",'01_Inputs'!$B$72,IF(D7="개선 (2대)",'01_Inputs'!$B$71,'01_Inputs'!$B$63*1000/12)))</f>
        <v>2183.33333333333</v>
      </c>
      <c r="U7" s="31">
        <f>IF(ISNUMBER('01_Inputs'!$D$114),'01_Inputs'!$D$114,"미제시")</f>
        <v>1420</v>
      </c>
      <c r="V7" s="31" t="str">
        <f>IF(ISNUMBER('01_Inputs'!$D$115),'01_Inputs'!$D$115,"미제시")</f>
        <v>미제시</v>
      </c>
      <c r="W7" s="31">
        <f>IF(ISNUMBER('01_Inputs'!$D$116),'01_Inputs'!$D$116,"미제시")</f>
        <v>0</v>
      </c>
      <c r="X7" s="31" t="str">
        <f>IF(ISNUMBER('01_Inputs'!$D$117),'01_Inputs'!$D$117,"미제시")</f>
        <v>미제시</v>
      </c>
      <c r="Y7" s="36">
        <f>SUM(U7:X7)</f>
        <v>1420</v>
      </c>
      <c r="Z7" s="52">
        <f>Y7/Q7</f>
        <v>7.47368421052632</v>
      </c>
      <c r="AA7" s="52">
        <f>(N(U7)+N(V7))/'01_Inputs'!$B$42</f>
        <v>71</v>
      </c>
      <c r="AB7" s="14">
        <f>AA7*'01_Inputs'!$B$28</f>
        <v>142</v>
      </c>
      <c r="AC7" s="14">
        <f>AA7/'01_Inputs'!$B$29*'01_Inputs'!$B$32</f>
        <v>15.7777777777778</v>
      </c>
      <c r="AD7" s="52">
        <f>N(W7)/'01_Inputs'!$B$43</f>
        <v>0</v>
      </c>
      <c r="AE7" s="52">
        <f>N(X7)/'01_Inputs'!$B$44</f>
        <v>0</v>
      </c>
      <c r="AF7" s="9" t="str">
        <f>IF(AD7=0,"-",IF(A7&gt;='01_Inputs'!$B$47,"ARS","수동"))</f>
        <v>-</v>
      </c>
      <c r="AG7" s="9" t="str">
        <f>IF(AE7=0,"-",IF(A7&gt;='01_Inputs'!$B$46,"ARS","수동"))</f>
        <v>-</v>
      </c>
      <c r="AH7" s="14">
        <f>IF(AD7=0,0,IF(AF7="수동",AD7*'01_Inputs'!$B$34,IF(ISNUMBER('01_Inputs'!$B$36),AD7*'01_Inputs'!$B$36,"미확인")))</f>
        <v>0</v>
      </c>
      <c r="AI7" s="14">
        <f>IF(AE7=0,0,IF(AG7="수동",IF(ISNUMBER('01_Inputs'!$B$35),AE7*'01_Inputs'!$B$35,"미확인"),IF(ISNUMBER('01_Inputs'!$B$37),AE7*'01_Inputs'!$B$37,"미확인")))</f>
        <v>0</v>
      </c>
      <c r="AJ7" s="14">
        <f>IF(AND(ISNUMBER(AH7),ISNUMBER(AI7)),AH7+AI7,"부분 "&amp;TEXT(N(AH7)+N(AI7),"0")&amp;" h + 미확인")</f>
        <v>0</v>
      </c>
      <c r="AK7" s="14">
        <f>(AD7+AE7)*'01_Inputs'!$B$38</f>
        <v>0</v>
      </c>
      <c r="AL7" s="14">
        <f>(AD7+AE7)*'01_Inputs'!$B$33</f>
        <v>0</v>
      </c>
      <c r="AM7" s="14" t="str">
        <f>IF(ISNUMBER('01_Inputs'!$B$86),'01_Inputs'!$B$86,"미확인")</f>
        <v>미확인</v>
      </c>
      <c r="AN7" s="14" t="str">
        <f>IF(ISNUMBER(AM7),AM7-AB7,"미확인")</f>
        <v>미확인</v>
      </c>
      <c r="AO7" s="32">
        <f>T7-Y7</f>
        <v>763.333333333334</v>
      </c>
      <c r="AP7" s="32">
        <f>IF(ISNUMBER(S7),S7-Y7,"미확인")</f>
        <v>290</v>
      </c>
      <c r="AQ7" s="32">
        <f>IF(AND(ISNUMBER(AP7),ISNUMBER(AQ6)),AQ6+AP7,"보류")</f>
        <v>780</v>
      </c>
      <c r="AR7" s="32" t="str">
        <f>IF(ISNUMBER(AZ6),AZ6,"보류")</f>
        <v>보류</v>
      </c>
      <c r="AS7" s="32" t="str">
        <f>IF(AND(ISNUMBER(AR7),ISNUMBER(S7)),AR7+S7,"보류")</f>
        <v>보류</v>
      </c>
      <c r="AT7" s="32" t="str">
        <f>IF(ISNUMBER(AS7),MIN(AS7,U7),"보류")</f>
        <v>보류</v>
      </c>
      <c r="AU7" s="32" t="str">
        <f>IF(ISNUMBER(AS7),MIN(AS7-AT7,N('01_Inputs'!$B$103)),"보류")</f>
        <v>보류</v>
      </c>
      <c r="AV7" s="32" t="str">
        <f>IF(ISNUMBER(AS7),IF((N(V7)+N(W7)+N(X7))=0,0,MIN(N(V7),(AS7-AT7-AU7)*N(V7)/(N(V7)+N(W7)+N(X7)))),"보류")</f>
        <v>보류</v>
      </c>
      <c r="AW7" s="32" t="str">
        <f>IF(ISNUMBER(AS7),IF((N(V7)+N(W7)+N(X7))=0,0,MIN(N(W7),(AS7-AT7-AU7)*N(W7)/(N(V7)+N(W7)+N(X7)))),"보류")</f>
        <v>보류</v>
      </c>
      <c r="AX7" s="32" t="str">
        <f>IF(ISNUMBER(AS7),IF((N(V7)+N(W7)+N(X7))=0,0,MIN(N(X7),(AS7-AT7-AU7)*N(X7)/(N(V7)+N(W7)+N(X7)))),"보류")</f>
        <v>보류</v>
      </c>
      <c r="AY7" s="32" t="str">
        <f>IF(ISNUMBER(AS7),Y7-AT7-AV7-AW7-AX7,"보류")</f>
        <v>보류</v>
      </c>
      <c r="AZ7" s="36" t="str">
        <f>IF(ISNUMBER(AS7),AS7-AT7-AV7-AW7-AX7,"보류")</f>
        <v>보류</v>
      </c>
      <c r="BA7" s="32" t="str">
        <f>IF(ISNUMBER('01_Inputs'!$B$104),'01_Inputs'!$B$104,"미입력")</f>
        <v>미입력</v>
      </c>
      <c r="BB7" s="32" t="str">
        <f>IF(AND(ISNUMBER(AR7),ISNUMBER(BA7)),Y7+BA7-AR7,"보류")</f>
        <v>보류</v>
      </c>
      <c r="BC7" s="32" t="str">
        <f>IF(AND(ISNUMBER(AZ7),ISNUMBER(BA7)),AZ7-BA7,"보류")</f>
        <v>보류</v>
      </c>
      <c r="BD7" s="9" t="str">
        <f>IF(ISNUMBER(AZ7),"계산 가능",IF(ISNUMBER(AP7),"부분 (재고 입력 필요)","보류 (생산 조건 미확인)"))</f>
        <v>부분 (재고 입력 필요)</v>
      </c>
      <c r="BE7" s="9" t="str">
        <f>IF(D7="개선 (2대)",IF(ISNUMBER('01_Inputs'!$B$82),"","설비별 간격·"),"")&amp;IF(D7="개선 (2대·105℃)",IF(ISNUMBER('01_Inputs'!$B$77),"","105℃ 간격·"),"")&amp;IF(ISNUMBER(N7),"","실적·")&amp;IF(ISNUMBER('01_Inputs'!$B$105),"","양품률(100% 상한)·")&amp;IF(COUNTIF(U7:X7,"미제시")&gt;0,"고객 물량 미제시·","")&amp;IF(ISNUMBER(AJ7),"","200 L 충진시간·")&amp;IF(ISNUMBER('01_Inputs'!$B$86),"","글로브 박스 가용·")&amp;IF(ISNUMBER('01_Inputs'!$B$102),"","기초재고·")</f>
        <v>실적·양품률(100% 상한)·고객 물량 미제시·글로브 박스 가용·기초재고·</v>
      </c>
    </row>
    <row r="8">
      <c r="A8" s="55" t="n">
        <v>46082</v>
      </c>
      <c r="B8" s="15">
        <f>YEAR(A8)</f>
        <v>2026</v>
      </c>
      <c r="C8" s="15">
        <f>DAY(EOMONTH(A8,0))</f>
        <v>31</v>
      </c>
      <c r="D8" s="9" t="str">
        <f>IF(AND(YEAR(A8)&gt;=2027,MONTH(A8)='01_Inputs'!$B$69),"대정비",IF(A8&lt;'01_Inputs'!$B$80,"현재 (1대)",IF(AND(ISNUMBER('01_Inputs'!$B$76),A8&gt;='01_Inputs'!$B$76),"개선 (2대·105℃)","개선 (2대)")))</f>
        <v>현재 (1대)</v>
      </c>
      <c r="E8" s="15">
        <f>IF(LEFT(D8,2)="개선",'01_Inputs'!$B$8,'01_Inputs'!$B$7)</f>
        <v>1</v>
      </c>
      <c r="F8" s="56" t="n"/>
      <c r="G8" s="14">
        <f>IF(D8="대정비","대정비",E8*C8*24-N(F8))</f>
        <v>744</v>
      </c>
      <c r="H8" s="30">
        <f>IF(D8="현재 (1대)",'03_Capacity_Model'!$B$80,IF(D8="개선 (2대)",IF(ISNUMBER('01_Inputs'!$B$82),'01_Inputs'!$B$82,"미확인"),IF(D8="개선 (2대·105℃)",IF(ISNUMBER('01_Inputs'!$B$77),'01_Inputs'!$B$77,"미확인"),"-")))</f>
        <v>67.4716981132076</v>
      </c>
      <c r="I8" s="14">
        <f>IF(AND(ISNUMBER(K7),D7=D8),K7,0)</f>
        <v>66.5660377358489</v>
      </c>
      <c r="J8" s="45">
        <f>IF(AND(ISNUMBER(G8),ISNUMBER(H8)),INT((G8+I8)/H8),IF(D8="대정비","대정비","미확인"))</f>
        <v>12</v>
      </c>
      <c r="K8" s="14">
        <f>IF(AND(ISNUMBER(G8),ISNUMBER(H8),ISNUMBER(J8)),G8+I8-J8*H8,"")</f>
        <v>0.905660377358231</v>
      </c>
      <c r="L8" s="19">
        <f>IF(COUNTIFS('02_Batch_Raw'!$E$6:$E$99,"&gt;="&amp;A8,'02_Batch_Raw'!$E$6:$E$99,"&lt;="&amp;EOMONTH(A8,0))=0,"",COUNTIFS('02_Batch_Raw'!$E$6:$E$99,"&gt;="&amp;A8,'02_Batch_Raw'!$E$6:$E$99,"&lt;="&amp;EOMONTH(A8,0)))</f>
      </c>
      <c r="M8" s="19">
        <f>""</f>
      </c>
      <c r="N8" s="57" t="n"/>
      <c r="O8" s="15">
        <f>IF(ISNUMBER(N8),N8,J8)</f>
        <v>12</v>
      </c>
      <c r="P8" s="9" t="str">
        <f>IF(ISNUMBER(N8),"실적 입력",IF(ISNUMBER(J8),"추정 생산 가능량","미확인"))</f>
        <v>추정 생산 가능량</v>
      </c>
      <c r="Q8" s="25">
        <f>IF(LEFT(D8,2)="개선",IF(ISNUMBER('01_Inputs'!$B$61),'01_Inputs'!$B$61,'01_Inputs'!$B$49),'01_Inputs'!$B$49)</f>
        <v>190</v>
      </c>
      <c r="R8" s="25">
        <f>IF(ISNUMBER(O8),O8*Q8,"미확인")</f>
        <v>2280</v>
      </c>
      <c r="S8" s="40">
        <f>IF(ISNUMBER(R8),R8*IF(ISNUMBER('01_Inputs'!$B$105),'01_Inputs'!$B$105,1),"미확인")</f>
        <v>2280</v>
      </c>
      <c r="T8" s="32">
        <f>IF(D8="대정비",'01_Inputs'!$B$70,IF(D8="개선 (2대·105℃)",'01_Inputs'!$B$72,IF(D8="개선 (2대)",'01_Inputs'!$B$71,'01_Inputs'!$B$63*1000/12)))</f>
        <v>2183.33333333333</v>
      </c>
      <c r="U8" s="31">
        <f>IF(ISNUMBER('01_Inputs'!$E$114),'01_Inputs'!$E$114,"미제시")</f>
        <v>1440</v>
      </c>
      <c r="V8" s="31" t="str">
        <f>IF(ISNUMBER('01_Inputs'!$E$115),'01_Inputs'!$E$115,"미제시")</f>
        <v>미제시</v>
      </c>
      <c r="W8" s="31">
        <f>IF(ISNUMBER('01_Inputs'!$E$116),'01_Inputs'!$E$116,"미제시")</f>
        <v>0</v>
      </c>
      <c r="X8" s="31" t="str">
        <f>IF(ISNUMBER('01_Inputs'!$E$117),'01_Inputs'!$E$117,"미제시")</f>
        <v>미제시</v>
      </c>
      <c r="Y8" s="36">
        <f>SUM(U8:X8)</f>
        <v>1440</v>
      </c>
      <c r="Z8" s="52">
        <f>Y8/Q8</f>
        <v>7.57894736842105</v>
      </c>
      <c r="AA8" s="52">
        <f>(N(U8)+N(V8))/'01_Inputs'!$B$42</f>
        <v>72</v>
      </c>
      <c r="AB8" s="14">
        <f>AA8*'01_Inputs'!$B$28</f>
        <v>144</v>
      </c>
      <c r="AC8" s="14">
        <f>AA8/'01_Inputs'!$B$29*'01_Inputs'!$B$32</f>
        <v>16</v>
      </c>
      <c r="AD8" s="52">
        <f>N(W8)/'01_Inputs'!$B$43</f>
        <v>0</v>
      </c>
      <c r="AE8" s="52">
        <f>N(X8)/'01_Inputs'!$B$44</f>
        <v>0</v>
      </c>
      <c r="AF8" s="9" t="str">
        <f>IF(AD8=0,"-",IF(A8&gt;='01_Inputs'!$B$47,"ARS","수동"))</f>
        <v>-</v>
      </c>
      <c r="AG8" s="9" t="str">
        <f>IF(AE8=0,"-",IF(A8&gt;='01_Inputs'!$B$46,"ARS","수동"))</f>
        <v>-</v>
      </c>
      <c r="AH8" s="14">
        <f>IF(AD8=0,0,IF(AF8="수동",AD8*'01_Inputs'!$B$34,IF(ISNUMBER('01_Inputs'!$B$36),AD8*'01_Inputs'!$B$36,"미확인")))</f>
        <v>0</v>
      </c>
      <c r="AI8" s="14">
        <f>IF(AE8=0,0,IF(AG8="수동",IF(ISNUMBER('01_Inputs'!$B$35),AE8*'01_Inputs'!$B$35,"미확인"),IF(ISNUMBER('01_Inputs'!$B$37),AE8*'01_Inputs'!$B$37,"미확인")))</f>
        <v>0</v>
      </c>
      <c r="AJ8" s="14">
        <f>IF(AND(ISNUMBER(AH8),ISNUMBER(AI8)),AH8+AI8,"부분 "&amp;TEXT(N(AH8)+N(AI8),"0")&amp;" h + 미확인")</f>
        <v>0</v>
      </c>
      <c r="AK8" s="14">
        <f>(AD8+AE8)*'01_Inputs'!$B$38</f>
        <v>0</v>
      </c>
      <c r="AL8" s="14">
        <f>(AD8+AE8)*'01_Inputs'!$B$33</f>
        <v>0</v>
      </c>
      <c r="AM8" s="14" t="str">
        <f>IF(ISNUMBER('01_Inputs'!$B$86),'01_Inputs'!$B$86,"미확인")</f>
        <v>미확인</v>
      </c>
      <c r="AN8" s="14" t="str">
        <f>IF(ISNUMBER(AM8),AM8-AB8,"미확인")</f>
        <v>미확인</v>
      </c>
      <c r="AO8" s="32">
        <f>T8-Y8</f>
        <v>743.333333333334</v>
      </c>
      <c r="AP8" s="32">
        <f>IF(ISNUMBER(S8),S8-Y8,"미확인")</f>
        <v>840</v>
      </c>
      <c r="AQ8" s="32">
        <f>IF(AND(ISNUMBER(AP8),ISNUMBER(AQ7)),AQ7+AP8,"보류")</f>
        <v>1620</v>
      </c>
      <c r="AR8" s="32" t="str">
        <f>IF(ISNUMBER(AZ7),AZ7,"보류")</f>
        <v>보류</v>
      </c>
      <c r="AS8" s="32" t="str">
        <f>IF(AND(ISNUMBER(AR8),ISNUMBER(S8)),AR8+S8,"보류")</f>
        <v>보류</v>
      </c>
      <c r="AT8" s="32" t="str">
        <f>IF(ISNUMBER(AS8),MIN(AS8,U8),"보류")</f>
        <v>보류</v>
      </c>
      <c r="AU8" s="32" t="str">
        <f>IF(ISNUMBER(AS8),MIN(AS8-AT8,N('01_Inputs'!$B$103)),"보류")</f>
        <v>보류</v>
      </c>
      <c r="AV8" s="32" t="str">
        <f>IF(ISNUMBER(AS8),IF((N(V8)+N(W8)+N(X8))=0,0,MIN(N(V8),(AS8-AT8-AU8)*N(V8)/(N(V8)+N(W8)+N(X8)))),"보류")</f>
        <v>보류</v>
      </c>
      <c r="AW8" s="32" t="str">
        <f>IF(ISNUMBER(AS8),IF((N(V8)+N(W8)+N(X8))=0,0,MIN(N(W8),(AS8-AT8-AU8)*N(W8)/(N(V8)+N(W8)+N(X8)))),"보류")</f>
        <v>보류</v>
      </c>
      <c r="AX8" s="32" t="str">
        <f>IF(ISNUMBER(AS8),IF((N(V8)+N(W8)+N(X8))=0,0,MIN(N(X8),(AS8-AT8-AU8)*N(X8)/(N(V8)+N(W8)+N(X8)))),"보류")</f>
        <v>보류</v>
      </c>
      <c r="AY8" s="32" t="str">
        <f>IF(ISNUMBER(AS8),Y8-AT8-AV8-AW8-AX8,"보류")</f>
        <v>보류</v>
      </c>
      <c r="AZ8" s="36" t="str">
        <f>IF(ISNUMBER(AS8),AS8-AT8-AV8-AW8-AX8,"보류")</f>
        <v>보류</v>
      </c>
      <c r="BA8" s="32" t="str">
        <f>IF(ISNUMBER('01_Inputs'!$B$104),'01_Inputs'!$B$104,"미입력")</f>
        <v>미입력</v>
      </c>
      <c r="BB8" s="32" t="str">
        <f>IF(AND(ISNUMBER(AR8),ISNUMBER(BA8)),Y8+BA8-AR8,"보류")</f>
        <v>보류</v>
      </c>
      <c r="BC8" s="32" t="str">
        <f>IF(AND(ISNUMBER(AZ8),ISNUMBER(BA8)),AZ8-BA8,"보류")</f>
        <v>보류</v>
      </c>
      <c r="BD8" s="9" t="str">
        <f>IF(ISNUMBER(AZ8),"계산 가능",IF(ISNUMBER(AP8),"부분 (재고 입력 필요)","보류 (생산 조건 미확인)"))</f>
        <v>부분 (재고 입력 필요)</v>
      </c>
      <c r="BE8" s="9" t="str">
        <f>IF(D8="개선 (2대)",IF(ISNUMBER('01_Inputs'!$B$82),"","설비별 간격·"),"")&amp;IF(D8="개선 (2대·105℃)",IF(ISNUMBER('01_Inputs'!$B$77),"","105℃ 간격·"),"")&amp;IF(ISNUMBER(N8),"","실적·")&amp;IF(ISNUMBER('01_Inputs'!$B$105),"","양품률(100% 상한)·")&amp;IF(COUNTIF(U8:X8,"미제시")&gt;0,"고객 물량 미제시·","")&amp;IF(ISNUMBER(AJ8),"","200 L 충진시간·")&amp;IF(ISNUMBER('01_Inputs'!$B$86),"","글로브 박스 가용·")&amp;IF(ISNUMBER('01_Inputs'!$B$102),"","기초재고·")</f>
        <v>실적·양품률(100% 상한)·고객 물량 미제시·글로브 박스 가용·기초재고·</v>
      </c>
    </row>
    <row r="9">
      <c r="A9" s="55" t="n">
        <v>46113</v>
      </c>
      <c r="B9" s="15">
        <f>YEAR(A9)</f>
        <v>2026</v>
      </c>
      <c r="C9" s="15">
        <f>DAY(EOMONTH(A9,0))</f>
        <v>30</v>
      </c>
      <c r="D9" s="9" t="str">
        <f>IF(AND(YEAR(A9)&gt;=2027,MONTH(A9)='01_Inputs'!$B$69),"대정비",IF(A9&lt;'01_Inputs'!$B$80,"현재 (1대)",IF(AND(ISNUMBER('01_Inputs'!$B$76),A9&gt;='01_Inputs'!$B$76),"개선 (2대·105℃)","개선 (2대)")))</f>
        <v>현재 (1대)</v>
      </c>
      <c r="E9" s="15">
        <f>IF(LEFT(D9,2)="개선",'01_Inputs'!$B$8,'01_Inputs'!$B$7)</f>
        <v>1</v>
      </c>
      <c r="F9" s="56" t="n"/>
      <c r="G9" s="14">
        <f>IF(D9="대정비","대정비",E9*C9*24-N(F9))</f>
        <v>720</v>
      </c>
      <c r="H9" s="30">
        <f>IF(D9="현재 (1대)",'03_Capacity_Model'!$B$80,IF(D9="개선 (2대)",IF(ISNUMBER('01_Inputs'!$B$82),'01_Inputs'!$B$82,"미확인"),IF(D9="개선 (2대·105℃)",IF(ISNUMBER('01_Inputs'!$B$77),'01_Inputs'!$B$77,"미확인"),"-")))</f>
        <v>67.4716981132076</v>
      </c>
      <c r="I9" s="14">
        <f>IF(AND(ISNUMBER(K8),D8=D9),K8,0)</f>
        <v>0.905660377358231</v>
      </c>
      <c r="J9" s="45">
        <f>IF(AND(ISNUMBER(G9),ISNUMBER(H9)),INT((G9+I9)/H9),IF(D9="대정비","대정비","미확인"))</f>
        <v>10</v>
      </c>
      <c r="K9" s="14">
        <f>IF(AND(ISNUMBER(G9),ISNUMBER(H9),ISNUMBER(J9)),G9+I9-J9*H9,"")</f>
        <v>46.1886792452827</v>
      </c>
      <c r="L9" s="19">
        <f>IF(COUNTIFS('02_Batch_Raw'!$E$6:$E$99,"&gt;="&amp;A9,'02_Batch_Raw'!$E$6:$E$99,"&lt;="&amp;EOMONTH(A9,0))=0,"",COUNTIFS('02_Batch_Raw'!$E$6:$E$99,"&gt;="&amp;A9,'02_Batch_Raw'!$E$6:$E$99,"&lt;="&amp;EOMONTH(A9,0)))</f>
      </c>
      <c r="M9" s="19">
        <f>""</f>
      </c>
      <c r="N9" s="57" t="n"/>
      <c r="O9" s="15">
        <f>IF(ISNUMBER(N9),N9,J9)</f>
        <v>10</v>
      </c>
      <c r="P9" s="9" t="str">
        <f>IF(ISNUMBER(N9),"실적 입력",IF(ISNUMBER(J9),"추정 생산 가능량","미확인"))</f>
        <v>추정 생산 가능량</v>
      </c>
      <c r="Q9" s="25">
        <f>IF(LEFT(D9,2)="개선",IF(ISNUMBER('01_Inputs'!$B$61),'01_Inputs'!$B$61,'01_Inputs'!$B$49),'01_Inputs'!$B$49)</f>
        <v>190</v>
      </c>
      <c r="R9" s="25">
        <f>IF(ISNUMBER(O9),O9*Q9,"미확인")</f>
        <v>1900</v>
      </c>
      <c r="S9" s="40">
        <f>IF(ISNUMBER(R9),R9*IF(ISNUMBER('01_Inputs'!$B$105),'01_Inputs'!$B$105,1),"미확인")</f>
        <v>1900</v>
      </c>
      <c r="T9" s="32">
        <f>IF(D9="대정비",'01_Inputs'!$B$70,IF(D9="개선 (2대·105℃)",'01_Inputs'!$B$72,IF(D9="개선 (2대)",'01_Inputs'!$B$71,'01_Inputs'!$B$63*1000/12)))</f>
        <v>2183.33333333333</v>
      </c>
      <c r="U9" s="31">
        <f>IF(ISNUMBER('01_Inputs'!$F$114),'01_Inputs'!$F$114,"미제시")</f>
        <v>1580</v>
      </c>
      <c r="V9" s="31" t="str">
        <f>IF(ISNUMBER('01_Inputs'!$F$115),'01_Inputs'!$F$115,"미제시")</f>
        <v>미제시</v>
      </c>
      <c r="W9" s="31">
        <f>IF(ISNUMBER('01_Inputs'!$F$116),'01_Inputs'!$F$116,"미제시")</f>
        <v>0</v>
      </c>
      <c r="X9" s="31" t="str">
        <f>IF(ISNUMBER('01_Inputs'!$F$117),'01_Inputs'!$F$117,"미제시")</f>
        <v>미제시</v>
      </c>
      <c r="Y9" s="36">
        <f>SUM(U9:X9)</f>
        <v>1580</v>
      </c>
      <c r="Z9" s="52">
        <f>Y9/Q9</f>
        <v>8.31578947368421</v>
      </c>
      <c r="AA9" s="52">
        <f>(N(U9)+N(V9))/'01_Inputs'!$B$42</f>
        <v>79</v>
      </c>
      <c r="AB9" s="14">
        <f>AA9*'01_Inputs'!$B$28</f>
        <v>158</v>
      </c>
      <c r="AC9" s="14">
        <f>AA9/'01_Inputs'!$B$29*'01_Inputs'!$B$32</f>
        <v>17.5555555555556</v>
      </c>
      <c r="AD9" s="52">
        <f>N(W9)/'01_Inputs'!$B$43</f>
        <v>0</v>
      </c>
      <c r="AE9" s="52">
        <f>N(X9)/'01_Inputs'!$B$44</f>
        <v>0</v>
      </c>
      <c r="AF9" s="9" t="str">
        <f>IF(AD9=0,"-",IF(A9&gt;='01_Inputs'!$B$47,"ARS","수동"))</f>
        <v>-</v>
      </c>
      <c r="AG9" s="9" t="str">
        <f>IF(AE9=0,"-",IF(A9&gt;='01_Inputs'!$B$46,"ARS","수동"))</f>
        <v>-</v>
      </c>
      <c r="AH9" s="14">
        <f>IF(AD9=0,0,IF(AF9="수동",AD9*'01_Inputs'!$B$34,IF(ISNUMBER('01_Inputs'!$B$36),AD9*'01_Inputs'!$B$36,"미확인")))</f>
        <v>0</v>
      </c>
      <c r="AI9" s="14">
        <f>IF(AE9=0,0,IF(AG9="수동",IF(ISNUMBER('01_Inputs'!$B$35),AE9*'01_Inputs'!$B$35,"미확인"),IF(ISNUMBER('01_Inputs'!$B$37),AE9*'01_Inputs'!$B$37,"미확인")))</f>
        <v>0</v>
      </c>
      <c r="AJ9" s="14">
        <f>IF(AND(ISNUMBER(AH9),ISNUMBER(AI9)),AH9+AI9,"부분 "&amp;TEXT(N(AH9)+N(AI9),"0")&amp;" h + 미확인")</f>
        <v>0</v>
      </c>
      <c r="AK9" s="14">
        <f>(AD9+AE9)*'01_Inputs'!$B$38</f>
        <v>0</v>
      </c>
      <c r="AL9" s="14">
        <f>(AD9+AE9)*'01_Inputs'!$B$33</f>
        <v>0</v>
      </c>
      <c r="AM9" s="14" t="str">
        <f>IF(ISNUMBER('01_Inputs'!$B$86),'01_Inputs'!$B$86,"미확인")</f>
        <v>미확인</v>
      </c>
      <c r="AN9" s="14" t="str">
        <f>IF(ISNUMBER(AM9),AM9-AB9,"미확인")</f>
        <v>미확인</v>
      </c>
      <c r="AO9" s="32">
        <f>T9-Y9</f>
        <v>603.333333333334</v>
      </c>
      <c r="AP9" s="32">
        <f>IF(ISNUMBER(S9),S9-Y9,"미확인")</f>
        <v>320</v>
      </c>
      <c r="AQ9" s="32">
        <f>IF(AND(ISNUMBER(AP9),ISNUMBER(AQ8)),AQ8+AP9,"보류")</f>
        <v>1940</v>
      </c>
      <c r="AR9" s="32" t="str">
        <f>IF(ISNUMBER(AZ8),AZ8,"보류")</f>
        <v>보류</v>
      </c>
      <c r="AS9" s="32" t="str">
        <f>IF(AND(ISNUMBER(AR9),ISNUMBER(S9)),AR9+S9,"보류")</f>
        <v>보류</v>
      </c>
      <c r="AT9" s="32" t="str">
        <f>IF(ISNUMBER(AS9),MIN(AS9,U9),"보류")</f>
        <v>보류</v>
      </c>
      <c r="AU9" s="32" t="str">
        <f>IF(ISNUMBER(AS9),MIN(AS9-AT9,N('01_Inputs'!$B$103)),"보류")</f>
        <v>보류</v>
      </c>
      <c r="AV9" s="32" t="str">
        <f>IF(ISNUMBER(AS9),IF((N(V9)+N(W9)+N(X9))=0,0,MIN(N(V9),(AS9-AT9-AU9)*N(V9)/(N(V9)+N(W9)+N(X9)))),"보류")</f>
        <v>보류</v>
      </c>
      <c r="AW9" s="32" t="str">
        <f>IF(ISNUMBER(AS9),IF((N(V9)+N(W9)+N(X9))=0,0,MIN(N(W9),(AS9-AT9-AU9)*N(W9)/(N(V9)+N(W9)+N(X9)))),"보류")</f>
        <v>보류</v>
      </c>
      <c r="AX9" s="32" t="str">
        <f>IF(ISNUMBER(AS9),IF((N(V9)+N(W9)+N(X9))=0,0,MIN(N(X9),(AS9-AT9-AU9)*N(X9)/(N(V9)+N(W9)+N(X9)))),"보류")</f>
        <v>보류</v>
      </c>
      <c r="AY9" s="32" t="str">
        <f>IF(ISNUMBER(AS9),Y9-AT9-AV9-AW9-AX9,"보류")</f>
        <v>보류</v>
      </c>
      <c r="AZ9" s="36" t="str">
        <f>IF(ISNUMBER(AS9),AS9-AT9-AV9-AW9-AX9,"보류")</f>
        <v>보류</v>
      </c>
      <c r="BA9" s="32" t="str">
        <f>IF(ISNUMBER('01_Inputs'!$B$104),'01_Inputs'!$B$104,"미입력")</f>
        <v>미입력</v>
      </c>
      <c r="BB9" s="32" t="str">
        <f>IF(AND(ISNUMBER(AR9),ISNUMBER(BA9)),Y9+BA9-AR9,"보류")</f>
        <v>보류</v>
      </c>
      <c r="BC9" s="32" t="str">
        <f>IF(AND(ISNUMBER(AZ9),ISNUMBER(BA9)),AZ9-BA9,"보류")</f>
        <v>보류</v>
      </c>
      <c r="BD9" s="9" t="str">
        <f>IF(ISNUMBER(AZ9),"계산 가능",IF(ISNUMBER(AP9),"부분 (재고 입력 필요)","보류 (생산 조건 미확인)"))</f>
        <v>부분 (재고 입력 필요)</v>
      </c>
      <c r="BE9" s="9" t="str">
        <f>IF(D9="개선 (2대)",IF(ISNUMBER('01_Inputs'!$B$82),"","설비별 간격·"),"")&amp;IF(D9="개선 (2대·105℃)",IF(ISNUMBER('01_Inputs'!$B$77),"","105℃ 간격·"),"")&amp;IF(ISNUMBER(N9),"","실적·")&amp;IF(ISNUMBER('01_Inputs'!$B$105),"","양품률(100% 상한)·")&amp;IF(COUNTIF(U9:X9,"미제시")&gt;0,"고객 물량 미제시·","")&amp;IF(ISNUMBER(AJ9),"","200 L 충진시간·")&amp;IF(ISNUMBER('01_Inputs'!$B$86),"","글로브 박스 가용·")&amp;IF(ISNUMBER('01_Inputs'!$B$102),"","기초재고·")</f>
        <v>실적·양품률(100% 상한)·고객 물량 미제시·글로브 박스 가용·기초재고·</v>
      </c>
    </row>
    <row r="10">
      <c r="A10" s="55" t="n">
        <v>46143</v>
      </c>
      <c r="B10" s="15">
        <f>YEAR(A10)</f>
        <v>2026</v>
      </c>
      <c r="C10" s="15">
        <f>DAY(EOMONTH(A10,0))</f>
        <v>31</v>
      </c>
      <c r="D10" s="9" t="str">
        <f>IF(AND(YEAR(A10)&gt;=2027,MONTH(A10)='01_Inputs'!$B$69),"대정비",IF(A10&lt;'01_Inputs'!$B$80,"현재 (1대)",IF(AND(ISNUMBER('01_Inputs'!$B$76),A10&gt;='01_Inputs'!$B$76),"개선 (2대·105℃)","개선 (2대)")))</f>
        <v>현재 (1대)</v>
      </c>
      <c r="E10" s="15">
        <f>IF(LEFT(D10,2)="개선",'01_Inputs'!$B$8,'01_Inputs'!$B$7)</f>
        <v>1</v>
      </c>
      <c r="F10" s="56" t="n"/>
      <c r="G10" s="14">
        <f>IF(D10="대정비","대정비",E10*C10*24-N(F10))</f>
        <v>744</v>
      </c>
      <c r="H10" s="30">
        <f>IF(D10="현재 (1대)",'03_Capacity_Model'!$B$80,IF(D10="개선 (2대)",IF(ISNUMBER('01_Inputs'!$B$82),'01_Inputs'!$B$82,"미확인"),IF(D10="개선 (2대·105℃)",IF(ISNUMBER('01_Inputs'!$B$77),'01_Inputs'!$B$77,"미확인"),"-")))</f>
        <v>67.4716981132076</v>
      </c>
      <c r="I10" s="14">
        <f>IF(AND(ISNUMBER(K9),D9=D10),K9,0)</f>
        <v>46.1886792452827</v>
      </c>
      <c r="J10" s="45">
        <f>IF(AND(ISNUMBER(G10),ISNUMBER(H10)),INT((G10+I10)/H10),IF(D10="대정비","대정비","미확인"))</f>
        <v>11</v>
      </c>
      <c r="K10" s="14">
        <f>IF(AND(ISNUMBER(G10),ISNUMBER(H10),ISNUMBER(J10)),G10+I10-J10*H10,"")</f>
        <v>47.9999999999997</v>
      </c>
      <c r="L10" s="19">
        <f>IF(COUNTIFS('02_Batch_Raw'!$E$6:$E$99,"&gt;="&amp;A10,'02_Batch_Raw'!$E$6:$E$99,"&lt;="&amp;EOMONTH(A10,0))=0,"",COUNTIFS('02_Batch_Raw'!$E$6:$E$99,"&gt;="&amp;A10,'02_Batch_Raw'!$E$6:$E$99,"&lt;="&amp;EOMONTH(A10,0)))</f>
        <v>2</v>
      </c>
      <c r="M10" s="19">
        <f>IF(ISNUMBER('02_Batch_Raw'!$D$103),'02_Batch_Raw'!$D$103,"")</f>
      </c>
      <c r="N10" s="57" t="n"/>
      <c r="O10" s="15">
        <f>IF(ISNUMBER(N10),N10,J10)</f>
        <v>11</v>
      </c>
      <c r="P10" s="9" t="str">
        <f>IF(ISNUMBER(N10),"실적 입력",IF(ISNUMBER(J10),"추정 생산 가능량","미확인"))</f>
        <v>추정 생산 가능량</v>
      </c>
      <c r="Q10" s="25">
        <f>IF(LEFT(D10,2)="개선",IF(ISNUMBER('01_Inputs'!$B$61),'01_Inputs'!$B$61,'01_Inputs'!$B$49),'01_Inputs'!$B$49)</f>
        <v>190</v>
      </c>
      <c r="R10" s="25">
        <f>IF(ISNUMBER(O10),O10*Q10,"미확인")</f>
        <v>2090</v>
      </c>
      <c r="S10" s="40">
        <f>IF(ISNUMBER(R10),R10*IF(ISNUMBER('01_Inputs'!$B$105),'01_Inputs'!$B$105,1),"미확인")</f>
        <v>2090</v>
      </c>
      <c r="T10" s="32">
        <f>IF(D10="대정비",'01_Inputs'!$B$70,IF(D10="개선 (2대·105℃)",'01_Inputs'!$B$72,IF(D10="개선 (2대)",'01_Inputs'!$B$71,'01_Inputs'!$B$63*1000/12)))</f>
        <v>2183.33333333333</v>
      </c>
      <c r="U10" s="31">
        <f>IF(ISNUMBER('01_Inputs'!$G$114),'01_Inputs'!$G$114,"미제시")</f>
        <v>1200</v>
      </c>
      <c r="V10" s="31" t="str">
        <f>IF(ISNUMBER('01_Inputs'!$G$115),'01_Inputs'!$G$115,"미제시")</f>
        <v>미제시</v>
      </c>
      <c r="W10" s="31">
        <f>IF(ISNUMBER('01_Inputs'!$G$116),'01_Inputs'!$G$116,"미제시")</f>
        <v>0</v>
      </c>
      <c r="X10" s="31" t="str">
        <f>IF(ISNUMBER('01_Inputs'!$G$117),'01_Inputs'!$G$117,"미제시")</f>
        <v>미제시</v>
      </c>
      <c r="Y10" s="36">
        <f>SUM(U10:X10)</f>
        <v>1200</v>
      </c>
      <c r="Z10" s="52">
        <f>Y10/Q10</f>
        <v>6.31578947368421</v>
      </c>
      <c r="AA10" s="52">
        <f>(N(U10)+N(V10))/'01_Inputs'!$B$42</f>
        <v>60</v>
      </c>
      <c r="AB10" s="14">
        <f>AA10*'01_Inputs'!$B$28</f>
        <v>120</v>
      </c>
      <c r="AC10" s="14">
        <f>AA10/'01_Inputs'!$B$29*'01_Inputs'!$B$32</f>
        <v>13.3333333333333</v>
      </c>
      <c r="AD10" s="52">
        <f>N(W10)/'01_Inputs'!$B$43</f>
        <v>0</v>
      </c>
      <c r="AE10" s="52">
        <f>N(X10)/'01_Inputs'!$B$44</f>
        <v>0</v>
      </c>
      <c r="AF10" s="9" t="str">
        <f>IF(AD10=0,"-",IF(A10&gt;='01_Inputs'!$B$47,"ARS","수동"))</f>
        <v>-</v>
      </c>
      <c r="AG10" s="9" t="str">
        <f>IF(AE10=0,"-",IF(A10&gt;='01_Inputs'!$B$46,"ARS","수동"))</f>
        <v>-</v>
      </c>
      <c r="AH10" s="14">
        <f>IF(AD10=0,0,IF(AF10="수동",AD10*'01_Inputs'!$B$34,IF(ISNUMBER('01_Inputs'!$B$36),AD10*'01_Inputs'!$B$36,"미확인")))</f>
        <v>0</v>
      </c>
      <c r="AI10" s="14">
        <f>IF(AE10=0,0,IF(AG10="수동",IF(ISNUMBER('01_Inputs'!$B$35),AE10*'01_Inputs'!$B$35,"미확인"),IF(ISNUMBER('01_Inputs'!$B$37),AE10*'01_Inputs'!$B$37,"미확인")))</f>
        <v>0</v>
      </c>
      <c r="AJ10" s="14">
        <f>IF(AND(ISNUMBER(AH10),ISNUMBER(AI10)),AH10+AI10,"부분 "&amp;TEXT(N(AH10)+N(AI10),"0")&amp;" h + 미확인")</f>
        <v>0</v>
      </c>
      <c r="AK10" s="14">
        <f>(AD10+AE10)*'01_Inputs'!$B$38</f>
        <v>0</v>
      </c>
      <c r="AL10" s="14">
        <f>(AD10+AE10)*'01_Inputs'!$B$33</f>
        <v>0</v>
      </c>
      <c r="AM10" s="14" t="str">
        <f>IF(ISNUMBER('01_Inputs'!$B$86),'01_Inputs'!$B$86,"미확인")</f>
        <v>미확인</v>
      </c>
      <c r="AN10" s="14" t="str">
        <f>IF(ISNUMBER(AM10),AM10-AB10,"미확인")</f>
        <v>미확인</v>
      </c>
      <c r="AO10" s="32">
        <f>T10-Y10</f>
        <v>983.333333333334</v>
      </c>
      <c r="AP10" s="32">
        <f>IF(ISNUMBER(S10),S10-Y10,"미확인")</f>
        <v>890</v>
      </c>
      <c r="AQ10" s="32">
        <f>IF(AND(ISNUMBER(AP10),ISNUMBER(AQ9)),AQ9+AP10,"보류")</f>
        <v>2830</v>
      </c>
      <c r="AR10" s="32" t="str">
        <f>IF(ISNUMBER(AZ9),AZ9,"보류")</f>
        <v>보류</v>
      </c>
      <c r="AS10" s="32" t="str">
        <f>IF(AND(ISNUMBER(AR10),ISNUMBER(S10)),AR10+S10,"보류")</f>
        <v>보류</v>
      </c>
      <c r="AT10" s="32" t="str">
        <f>IF(ISNUMBER(AS10),MIN(AS10,U10),"보류")</f>
        <v>보류</v>
      </c>
      <c r="AU10" s="32" t="str">
        <f>IF(ISNUMBER(AS10),MIN(AS10-AT10,N('01_Inputs'!$B$103)),"보류")</f>
        <v>보류</v>
      </c>
      <c r="AV10" s="32" t="str">
        <f>IF(ISNUMBER(AS10),IF((N(V10)+N(W10)+N(X10))=0,0,MIN(N(V10),(AS10-AT10-AU10)*N(V10)/(N(V10)+N(W10)+N(X10)))),"보류")</f>
        <v>보류</v>
      </c>
      <c r="AW10" s="32" t="str">
        <f>IF(ISNUMBER(AS10),IF((N(V10)+N(W10)+N(X10))=0,0,MIN(N(W10),(AS10-AT10-AU10)*N(W10)/(N(V10)+N(W10)+N(X10)))),"보류")</f>
        <v>보류</v>
      </c>
      <c r="AX10" s="32" t="str">
        <f>IF(ISNUMBER(AS10),IF((N(V10)+N(W10)+N(X10))=0,0,MIN(N(X10),(AS10-AT10-AU10)*N(X10)/(N(V10)+N(W10)+N(X10)))),"보류")</f>
        <v>보류</v>
      </c>
      <c r="AY10" s="32" t="str">
        <f>IF(ISNUMBER(AS10),Y10-AT10-AV10-AW10-AX10,"보류")</f>
        <v>보류</v>
      </c>
      <c r="AZ10" s="36" t="str">
        <f>IF(ISNUMBER(AS10),AS10-AT10-AV10-AW10-AX10,"보류")</f>
        <v>보류</v>
      </c>
      <c r="BA10" s="32" t="str">
        <f>IF(ISNUMBER('01_Inputs'!$B$104),'01_Inputs'!$B$104,"미입력")</f>
        <v>미입력</v>
      </c>
      <c r="BB10" s="32" t="str">
        <f>IF(AND(ISNUMBER(AR10),ISNUMBER(BA10)),Y10+BA10-AR10,"보류")</f>
        <v>보류</v>
      </c>
      <c r="BC10" s="32" t="str">
        <f>IF(AND(ISNUMBER(AZ10),ISNUMBER(BA10)),AZ10-BA10,"보류")</f>
        <v>보류</v>
      </c>
      <c r="BD10" s="9" t="str">
        <f>IF(ISNUMBER(AZ10),"계산 가능",IF(ISNUMBER(AP10),"부분 (재고 입력 필요)","보류 (생산 조건 미확인)"))</f>
        <v>부분 (재고 입력 필요)</v>
      </c>
      <c r="BE10" s="9" t="str">
        <f>IF(D10="개선 (2대)",IF(ISNUMBER('01_Inputs'!$B$82),"","설비별 간격·"),"")&amp;IF(D10="개선 (2대·105℃)",IF(ISNUMBER('01_Inputs'!$B$77),"","105℃ 간격·"),"")&amp;IF(ISNUMBER(N10),"","실적·")&amp;IF(ISNUMBER('01_Inputs'!$B$105),"","양품률(100% 상한)·")&amp;IF(COUNTIF(U10:X10,"미제시")&gt;0,"고객 물량 미제시·","")&amp;IF(ISNUMBER(AJ10),"","200 L 충진시간·")&amp;IF(ISNUMBER('01_Inputs'!$B$86),"","글로브 박스 가용·")&amp;IF(ISNUMBER('01_Inputs'!$B$102),"","기초재고·")</f>
        <v>실적·양품률(100% 상한)·고객 물량 미제시·글로브 박스 가용·기초재고·</v>
      </c>
    </row>
    <row r="11">
      <c r="A11" s="55" t="n">
        <v>46174</v>
      </c>
      <c r="B11" s="15">
        <f>YEAR(A11)</f>
        <v>2026</v>
      </c>
      <c r="C11" s="15">
        <f>DAY(EOMONTH(A11,0))</f>
        <v>30</v>
      </c>
      <c r="D11" s="9" t="str">
        <f>IF(AND(YEAR(A11)&gt;=2027,MONTH(A11)='01_Inputs'!$B$69),"대정비",IF(A11&lt;'01_Inputs'!$B$80,"현재 (1대)",IF(AND(ISNUMBER('01_Inputs'!$B$76),A11&gt;='01_Inputs'!$B$76),"개선 (2대·105℃)","개선 (2대)")))</f>
        <v>현재 (1대)</v>
      </c>
      <c r="E11" s="15">
        <f>IF(LEFT(D11,2)="개선",'01_Inputs'!$B$8,'01_Inputs'!$B$7)</f>
        <v>1</v>
      </c>
      <c r="F11" s="56" t="n"/>
      <c r="G11" s="14">
        <f>IF(D11="대정비","대정비",E11*C11*24-N(F11))</f>
        <v>720</v>
      </c>
      <c r="H11" s="30">
        <f>IF(D11="현재 (1대)",'03_Capacity_Model'!$B$80,IF(D11="개선 (2대)",IF(ISNUMBER('01_Inputs'!$B$82),'01_Inputs'!$B$82,"미확인"),IF(D11="개선 (2대·105℃)",IF(ISNUMBER('01_Inputs'!$B$77),'01_Inputs'!$B$77,"미확인"),"-")))</f>
        <v>67.4716981132076</v>
      </c>
      <c r="I11" s="14">
        <f>IF(AND(ISNUMBER(K10),D10=D11),K10,0)</f>
        <v>47.9999999999997</v>
      </c>
      <c r="J11" s="45">
        <f>IF(AND(ISNUMBER(G11),ISNUMBER(H11)),INT((G11+I11)/H11),IF(D11="대정비","대정비","미확인"))</f>
        <v>11</v>
      </c>
      <c r="K11" s="14">
        <f>IF(AND(ISNUMBER(G11),ISNUMBER(H11),ISNUMBER(J11)),G11+I11-J11*H11,"")</f>
        <v>25.8113207547166</v>
      </c>
      <c r="L11" s="19">
        <f>IF(COUNTIFS('02_Batch_Raw'!$E$6:$E$99,"&gt;="&amp;A11,'02_Batch_Raw'!$E$6:$E$99,"&lt;="&amp;EOMONTH(A11,0))=0,"",COUNTIFS('02_Batch_Raw'!$E$6:$E$99,"&gt;="&amp;A11,'02_Batch_Raw'!$E$6:$E$99,"&lt;="&amp;EOMONTH(A11,0)))</f>
        <v>11</v>
      </c>
      <c r="M11" s="19">
        <f>IF(ISNUMBER('02_Batch_Raw'!$D$104),'02_Batch_Raw'!$D$104,"")</f>
        <v>8</v>
      </c>
      <c r="N11" s="57" t="n"/>
      <c r="O11" s="15">
        <f>IF(ISNUMBER(N11),N11,J11)</f>
        <v>11</v>
      </c>
      <c r="P11" s="9" t="str">
        <f>IF(ISNUMBER(N11),"실적 입력",IF(ISNUMBER(J11),"추정 생산 가능량","미확인"))</f>
        <v>추정 생산 가능량</v>
      </c>
      <c r="Q11" s="25">
        <f>IF(LEFT(D11,2)="개선",IF(ISNUMBER('01_Inputs'!$B$61),'01_Inputs'!$B$61,'01_Inputs'!$B$49),'01_Inputs'!$B$49)</f>
        <v>190</v>
      </c>
      <c r="R11" s="25">
        <f>IF(ISNUMBER(O11),O11*Q11,"미확인")</f>
        <v>2090</v>
      </c>
      <c r="S11" s="40">
        <f>IF(ISNUMBER(R11),R11*IF(ISNUMBER('01_Inputs'!$B$105),'01_Inputs'!$B$105,1),"미확인")</f>
        <v>2090</v>
      </c>
      <c r="T11" s="32">
        <f>IF(D11="대정비",'01_Inputs'!$B$70,IF(D11="개선 (2대·105℃)",'01_Inputs'!$B$72,IF(D11="개선 (2대)",'01_Inputs'!$B$71,'01_Inputs'!$B$63*1000/12)))</f>
        <v>2183.33333333333</v>
      </c>
      <c r="U11" s="31">
        <f>IF(ISNUMBER('01_Inputs'!$H$114),'01_Inputs'!$H$114,"미제시")</f>
        <v>1200</v>
      </c>
      <c r="V11" s="31" t="str">
        <f>IF(ISNUMBER('01_Inputs'!$H$115),'01_Inputs'!$H$115,"미제시")</f>
        <v>미제시</v>
      </c>
      <c r="W11" s="31">
        <f>IF(ISNUMBER('01_Inputs'!$H$116),'01_Inputs'!$H$116,"미제시")</f>
        <v>0</v>
      </c>
      <c r="X11" s="31" t="str">
        <f>IF(ISNUMBER('01_Inputs'!$H$117),'01_Inputs'!$H$117,"미제시")</f>
        <v>미제시</v>
      </c>
      <c r="Y11" s="36">
        <f>SUM(U11:X11)</f>
        <v>1200</v>
      </c>
      <c r="Z11" s="52">
        <f>Y11/Q11</f>
        <v>6.31578947368421</v>
      </c>
      <c r="AA11" s="52">
        <f>(N(U11)+N(V11))/'01_Inputs'!$B$42</f>
        <v>60</v>
      </c>
      <c r="AB11" s="14">
        <f>AA11*'01_Inputs'!$B$28</f>
        <v>120</v>
      </c>
      <c r="AC11" s="14">
        <f>AA11/'01_Inputs'!$B$29*'01_Inputs'!$B$32</f>
        <v>13.3333333333333</v>
      </c>
      <c r="AD11" s="52">
        <f>N(W11)/'01_Inputs'!$B$43</f>
        <v>0</v>
      </c>
      <c r="AE11" s="52">
        <f>N(X11)/'01_Inputs'!$B$44</f>
        <v>0</v>
      </c>
      <c r="AF11" s="9" t="str">
        <f>IF(AD11=0,"-",IF(A11&gt;='01_Inputs'!$B$47,"ARS","수동"))</f>
        <v>-</v>
      </c>
      <c r="AG11" s="9" t="str">
        <f>IF(AE11=0,"-",IF(A11&gt;='01_Inputs'!$B$46,"ARS","수동"))</f>
        <v>-</v>
      </c>
      <c r="AH11" s="14">
        <f>IF(AD11=0,0,IF(AF11="수동",AD11*'01_Inputs'!$B$34,IF(ISNUMBER('01_Inputs'!$B$36),AD11*'01_Inputs'!$B$36,"미확인")))</f>
        <v>0</v>
      </c>
      <c r="AI11" s="14">
        <f>IF(AE11=0,0,IF(AG11="수동",IF(ISNUMBER('01_Inputs'!$B$35),AE11*'01_Inputs'!$B$35,"미확인"),IF(ISNUMBER('01_Inputs'!$B$37),AE11*'01_Inputs'!$B$37,"미확인")))</f>
        <v>0</v>
      </c>
      <c r="AJ11" s="14">
        <f>IF(AND(ISNUMBER(AH11),ISNUMBER(AI11)),AH11+AI11,"부분 "&amp;TEXT(N(AH11)+N(AI11),"0")&amp;" h + 미확인")</f>
        <v>0</v>
      </c>
      <c r="AK11" s="14">
        <f>(AD11+AE11)*'01_Inputs'!$B$38</f>
        <v>0</v>
      </c>
      <c r="AL11" s="14">
        <f>(AD11+AE11)*'01_Inputs'!$B$33</f>
        <v>0</v>
      </c>
      <c r="AM11" s="14" t="str">
        <f>IF(ISNUMBER('01_Inputs'!$B$86),'01_Inputs'!$B$86,"미확인")</f>
        <v>미확인</v>
      </c>
      <c r="AN11" s="14" t="str">
        <f>IF(ISNUMBER(AM11),AM11-AB11,"미확인")</f>
        <v>미확인</v>
      </c>
      <c r="AO11" s="32">
        <f>T11-Y11</f>
        <v>983.333333333334</v>
      </c>
      <c r="AP11" s="32">
        <f>IF(ISNUMBER(S11),S11-Y11,"미확인")</f>
        <v>890</v>
      </c>
      <c r="AQ11" s="32">
        <f>IF(AND(ISNUMBER(AP11),ISNUMBER(AQ10)),AQ10+AP11,"보류")</f>
        <v>3720</v>
      </c>
      <c r="AR11" s="32" t="str">
        <f>IF(ISNUMBER(AZ10),AZ10,"보류")</f>
        <v>보류</v>
      </c>
      <c r="AS11" s="32" t="str">
        <f>IF(AND(ISNUMBER(AR11),ISNUMBER(S11)),AR11+S11,"보류")</f>
        <v>보류</v>
      </c>
      <c r="AT11" s="32" t="str">
        <f>IF(ISNUMBER(AS11),MIN(AS11,U11),"보류")</f>
        <v>보류</v>
      </c>
      <c r="AU11" s="32" t="str">
        <f>IF(ISNUMBER(AS11),MIN(AS11-AT11,N('01_Inputs'!$B$103)),"보류")</f>
        <v>보류</v>
      </c>
      <c r="AV11" s="32" t="str">
        <f>IF(ISNUMBER(AS11),IF((N(V11)+N(W11)+N(X11))=0,0,MIN(N(V11),(AS11-AT11-AU11)*N(V11)/(N(V11)+N(W11)+N(X11)))),"보류")</f>
        <v>보류</v>
      </c>
      <c r="AW11" s="32" t="str">
        <f>IF(ISNUMBER(AS11),IF((N(V11)+N(W11)+N(X11))=0,0,MIN(N(W11),(AS11-AT11-AU11)*N(W11)/(N(V11)+N(W11)+N(X11)))),"보류")</f>
        <v>보류</v>
      </c>
      <c r="AX11" s="32" t="str">
        <f>IF(ISNUMBER(AS11),IF((N(V11)+N(W11)+N(X11))=0,0,MIN(N(X11),(AS11-AT11-AU11)*N(X11)/(N(V11)+N(W11)+N(X11)))),"보류")</f>
        <v>보류</v>
      </c>
      <c r="AY11" s="32" t="str">
        <f>IF(ISNUMBER(AS11),Y11-AT11-AV11-AW11-AX11,"보류")</f>
        <v>보류</v>
      </c>
      <c r="AZ11" s="36" t="str">
        <f>IF(ISNUMBER(AS11),AS11-AT11-AV11-AW11-AX11,"보류")</f>
        <v>보류</v>
      </c>
      <c r="BA11" s="32" t="str">
        <f>IF(ISNUMBER('01_Inputs'!$B$104),'01_Inputs'!$B$104,"미입력")</f>
        <v>미입력</v>
      </c>
      <c r="BB11" s="32" t="str">
        <f>IF(AND(ISNUMBER(AR11),ISNUMBER(BA11)),Y11+BA11-AR11,"보류")</f>
        <v>보류</v>
      </c>
      <c r="BC11" s="32" t="str">
        <f>IF(AND(ISNUMBER(AZ11),ISNUMBER(BA11)),AZ11-BA11,"보류")</f>
        <v>보류</v>
      </c>
      <c r="BD11" s="9" t="str">
        <f>IF(ISNUMBER(AZ11),"계산 가능",IF(ISNUMBER(AP11),"부분 (재고 입력 필요)","보류 (생산 조건 미확인)"))</f>
        <v>부분 (재고 입력 필요)</v>
      </c>
      <c r="BE11" s="9" t="str">
        <f>IF(D11="개선 (2대)",IF(ISNUMBER('01_Inputs'!$B$82),"","설비별 간격·"),"")&amp;IF(D11="개선 (2대·105℃)",IF(ISNUMBER('01_Inputs'!$B$77),"","105℃ 간격·"),"")&amp;IF(ISNUMBER(N11),"","실적·")&amp;IF(ISNUMBER('01_Inputs'!$B$105),"","양품률(100% 상한)·")&amp;IF(COUNTIF(U11:X11,"미제시")&gt;0,"고객 물량 미제시·","")&amp;IF(ISNUMBER(AJ11),"","200 L 충진시간·")&amp;IF(ISNUMBER('01_Inputs'!$B$86),"","글로브 박스 가용·")&amp;IF(ISNUMBER('01_Inputs'!$B$102),"","기초재고·")</f>
        <v>실적·양품률(100% 상한)·고객 물량 미제시·글로브 박스 가용·기초재고·</v>
      </c>
    </row>
    <row r="12">
      <c r="A12" s="55" t="n">
        <v>46204</v>
      </c>
      <c r="B12" s="15">
        <f>YEAR(A12)</f>
        <v>2026</v>
      </c>
      <c r="C12" s="15">
        <f>DAY(EOMONTH(A12,0))</f>
        <v>31</v>
      </c>
      <c r="D12" s="9" t="str">
        <f>IF(AND(YEAR(A12)&gt;=2027,MONTH(A12)='01_Inputs'!$B$69),"대정비",IF(A12&lt;'01_Inputs'!$B$80,"현재 (1대)",IF(AND(ISNUMBER('01_Inputs'!$B$76),A12&gt;='01_Inputs'!$B$76),"개선 (2대·105℃)","개선 (2대)")))</f>
        <v>현재 (1대)</v>
      </c>
      <c r="E12" s="15">
        <f>IF(LEFT(D12,2)="개선",'01_Inputs'!$B$8,'01_Inputs'!$B$7)</f>
        <v>1</v>
      </c>
      <c r="F12" s="56" t="n"/>
      <c r="G12" s="14">
        <f>IF(D12="대정비","대정비",E12*C12*24-N(F12))</f>
        <v>744</v>
      </c>
      <c r="H12" s="30">
        <f>IF(D12="현재 (1대)",'03_Capacity_Model'!$B$80,IF(D12="개선 (2대)",IF(ISNUMBER('01_Inputs'!$B$82),'01_Inputs'!$B$82,"미확인"),IF(D12="개선 (2대·105℃)",IF(ISNUMBER('01_Inputs'!$B$77),'01_Inputs'!$B$77,"미확인"),"-")))</f>
        <v>67.4716981132076</v>
      </c>
      <c r="I12" s="14">
        <f>IF(AND(ISNUMBER(K11),D11=D12),K11,0)</f>
        <v>25.8113207547166</v>
      </c>
      <c r="J12" s="45">
        <f>IF(AND(ISNUMBER(G12),ISNUMBER(H12)),INT((G12+I12)/H12),IF(D12="대정비","대정비","미확인"))</f>
        <v>11</v>
      </c>
      <c r="K12" s="14">
        <f>IF(AND(ISNUMBER(G12),ISNUMBER(H12),ISNUMBER(J12)),G12+I12-J12*H12,"")</f>
        <v>27.6226415094335</v>
      </c>
      <c r="L12" s="19">
        <f>IF(COUNTIFS('02_Batch_Raw'!$E$6:$E$99,"&gt;="&amp;A12,'02_Batch_Raw'!$E$6:$E$99,"&lt;="&amp;EOMONTH(A12,0))=0,"",COUNTIFS('02_Batch_Raw'!$E$6:$E$99,"&gt;="&amp;A12,'02_Batch_Raw'!$E$6:$E$99,"&lt;="&amp;EOMONTH(A12,0)))</f>
        <v>11</v>
      </c>
      <c r="M12" s="19">
        <f>IF(ISNUMBER('02_Batch_Raw'!$D$105),'02_Batch_Raw'!$D$105,"")</f>
        <v>11</v>
      </c>
      <c r="N12" s="57" t="n"/>
      <c r="O12" s="15">
        <f>IF(ISNUMBER(N12),N12,J12)</f>
        <v>11</v>
      </c>
      <c r="P12" s="9" t="str">
        <f>IF(ISNUMBER(N12),"실적 입력",IF(ISNUMBER(J12),"추정 생산 가능량","미확인"))</f>
        <v>추정 생산 가능량</v>
      </c>
      <c r="Q12" s="25">
        <f>IF(LEFT(D12,2)="개선",IF(ISNUMBER('01_Inputs'!$B$61),'01_Inputs'!$B$61,'01_Inputs'!$B$49),'01_Inputs'!$B$49)</f>
        <v>190</v>
      </c>
      <c r="R12" s="25">
        <f>IF(ISNUMBER(O12),O12*Q12,"미확인")</f>
        <v>2090</v>
      </c>
      <c r="S12" s="40">
        <f>IF(ISNUMBER(R12),R12*IF(ISNUMBER('01_Inputs'!$B$105),'01_Inputs'!$B$105,1),"미확인")</f>
        <v>2090</v>
      </c>
      <c r="T12" s="32">
        <f>IF(D12="대정비",'01_Inputs'!$B$70,IF(D12="개선 (2대·105℃)",'01_Inputs'!$B$72,IF(D12="개선 (2대)",'01_Inputs'!$B$71,'01_Inputs'!$B$63*1000/12)))</f>
        <v>2183.33333333333</v>
      </c>
      <c r="U12" s="31">
        <f>IF(ISNUMBER('01_Inputs'!$I$114),'01_Inputs'!$I$114,"미제시")</f>
        <v>1360</v>
      </c>
      <c r="V12" s="31" t="str">
        <f>IF(ISNUMBER('01_Inputs'!$I$115),'01_Inputs'!$I$115,"미제시")</f>
        <v>미제시</v>
      </c>
      <c r="W12" s="31">
        <f>IF(ISNUMBER('01_Inputs'!$I$116),'01_Inputs'!$I$116,"미제시")</f>
        <v>0</v>
      </c>
      <c r="X12" s="31" t="str">
        <f>IF(ISNUMBER('01_Inputs'!$I$117),'01_Inputs'!$I$117,"미제시")</f>
        <v>미제시</v>
      </c>
      <c r="Y12" s="36">
        <f>SUM(U12:X12)</f>
        <v>1360</v>
      </c>
      <c r="Z12" s="52">
        <f>Y12/Q12</f>
        <v>7.15789473684211</v>
      </c>
      <c r="AA12" s="52">
        <f>(N(U12)+N(V12))/'01_Inputs'!$B$42</f>
        <v>68</v>
      </c>
      <c r="AB12" s="14">
        <f>AA12*'01_Inputs'!$B$28</f>
        <v>136</v>
      </c>
      <c r="AC12" s="14">
        <f>AA12/'01_Inputs'!$B$29*'01_Inputs'!$B$32</f>
        <v>15.1111111111111</v>
      </c>
      <c r="AD12" s="52">
        <f>N(W12)/'01_Inputs'!$B$43</f>
        <v>0</v>
      </c>
      <c r="AE12" s="52">
        <f>N(X12)/'01_Inputs'!$B$44</f>
        <v>0</v>
      </c>
      <c r="AF12" s="9" t="str">
        <f>IF(AD12=0,"-",IF(A12&gt;='01_Inputs'!$B$47,"ARS","수동"))</f>
        <v>-</v>
      </c>
      <c r="AG12" s="9" t="str">
        <f>IF(AE12=0,"-",IF(A12&gt;='01_Inputs'!$B$46,"ARS","수동"))</f>
        <v>-</v>
      </c>
      <c r="AH12" s="14">
        <f>IF(AD12=0,0,IF(AF12="수동",AD12*'01_Inputs'!$B$34,IF(ISNUMBER('01_Inputs'!$B$36),AD12*'01_Inputs'!$B$36,"미확인")))</f>
        <v>0</v>
      </c>
      <c r="AI12" s="14">
        <f>IF(AE12=0,0,IF(AG12="수동",IF(ISNUMBER('01_Inputs'!$B$35),AE12*'01_Inputs'!$B$35,"미확인"),IF(ISNUMBER('01_Inputs'!$B$37),AE12*'01_Inputs'!$B$37,"미확인")))</f>
        <v>0</v>
      </c>
      <c r="AJ12" s="14">
        <f>IF(AND(ISNUMBER(AH12),ISNUMBER(AI12)),AH12+AI12,"부분 "&amp;TEXT(N(AH12)+N(AI12),"0")&amp;" h + 미확인")</f>
        <v>0</v>
      </c>
      <c r="AK12" s="14">
        <f>(AD12+AE12)*'01_Inputs'!$B$38</f>
        <v>0</v>
      </c>
      <c r="AL12" s="14">
        <f>(AD12+AE12)*'01_Inputs'!$B$33</f>
        <v>0</v>
      </c>
      <c r="AM12" s="14" t="str">
        <f>IF(ISNUMBER('01_Inputs'!$B$86),'01_Inputs'!$B$86,"미확인")</f>
        <v>미확인</v>
      </c>
      <c r="AN12" s="14" t="str">
        <f>IF(ISNUMBER(AM12),AM12-AB12,"미확인")</f>
        <v>미확인</v>
      </c>
      <c r="AO12" s="32">
        <f>T12-Y12</f>
        <v>823.333333333334</v>
      </c>
      <c r="AP12" s="32">
        <f>IF(ISNUMBER(S12),S12-Y12,"미확인")</f>
        <v>730</v>
      </c>
      <c r="AQ12" s="32">
        <f>IF(AND(ISNUMBER(AP12),ISNUMBER(AQ11)),AQ11+AP12,"보류")</f>
        <v>4450</v>
      </c>
      <c r="AR12" s="32" t="str">
        <f>IF(ISNUMBER(AZ11),AZ11,"보류")</f>
        <v>보류</v>
      </c>
      <c r="AS12" s="32" t="str">
        <f>IF(AND(ISNUMBER(AR12),ISNUMBER(S12)),AR12+S12,"보류")</f>
        <v>보류</v>
      </c>
      <c r="AT12" s="32" t="str">
        <f>IF(ISNUMBER(AS12),MIN(AS12,U12),"보류")</f>
        <v>보류</v>
      </c>
      <c r="AU12" s="32" t="str">
        <f>IF(ISNUMBER(AS12),MIN(AS12-AT12,N('01_Inputs'!$B$103)),"보류")</f>
        <v>보류</v>
      </c>
      <c r="AV12" s="32" t="str">
        <f>IF(ISNUMBER(AS12),IF((N(V12)+N(W12)+N(X12))=0,0,MIN(N(V12),(AS12-AT12-AU12)*N(V12)/(N(V12)+N(W12)+N(X12)))),"보류")</f>
        <v>보류</v>
      </c>
      <c r="AW12" s="32" t="str">
        <f>IF(ISNUMBER(AS12),IF((N(V12)+N(W12)+N(X12))=0,0,MIN(N(W12),(AS12-AT12-AU12)*N(W12)/(N(V12)+N(W12)+N(X12)))),"보류")</f>
        <v>보류</v>
      </c>
      <c r="AX12" s="32" t="str">
        <f>IF(ISNUMBER(AS12),IF((N(V12)+N(W12)+N(X12))=0,0,MIN(N(X12),(AS12-AT12-AU12)*N(X12)/(N(V12)+N(W12)+N(X12)))),"보류")</f>
        <v>보류</v>
      </c>
      <c r="AY12" s="32" t="str">
        <f>IF(ISNUMBER(AS12),Y12-AT12-AV12-AW12-AX12,"보류")</f>
        <v>보류</v>
      </c>
      <c r="AZ12" s="36" t="str">
        <f>IF(ISNUMBER(AS12),AS12-AT12-AV12-AW12-AX12,"보류")</f>
        <v>보류</v>
      </c>
      <c r="BA12" s="32" t="str">
        <f>IF(ISNUMBER('01_Inputs'!$B$104),'01_Inputs'!$B$104,"미입력")</f>
        <v>미입력</v>
      </c>
      <c r="BB12" s="32" t="str">
        <f>IF(AND(ISNUMBER(AR12),ISNUMBER(BA12)),Y12+BA12-AR12,"보류")</f>
        <v>보류</v>
      </c>
      <c r="BC12" s="32" t="str">
        <f>IF(AND(ISNUMBER(AZ12),ISNUMBER(BA12)),AZ12-BA12,"보류")</f>
        <v>보류</v>
      </c>
      <c r="BD12" s="9" t="str">
        <f>IF(ISNUMBER(AZ12),"계산 가능",IF(ISNUMBER(AP12),"부분 (재고 입력 필요)","보류 (생산 조건 미확인)"))</f>
        <v>부분 (재고 입력 필요)</v>
      </c>
      <c r="BE12" s="9" t="str">
        <f>IF(D12="개선 (2대)",IF(ISNUMBER('01_Inputs'!$B$82),"","설비별 간격·"),"")&amp;IF(D12="개선 (2대·105℃)",IF(ISNUMBER('01_Inputs'!$B$77),"","105℃ 간격·"),"")&amp;IF(ISNUMBER(N12),"","실적·")&amp;IF(ISNUMBER('01_Inputs'!$B$105),"","양품률(100% 상한)·")&amp;IF(COUNTIF(U12:X12,"미제시")&gt;0,"고객 물량 미제시·","")&amp;IF(ISNUMBER(AJ12),"","200 L 충진시간·")&amp;IF(ISNUMBER('01_Inputs'!$B$86),"","글로브 박스 가용·")&amp;IF(ISNUMBER('01_Inputs'!$B$102),"","기초재고·")</f>
        <v>실적·양품률(100% 상한)·고객 물량 미제시·글로브 박스 가용·기초재고·</v>
      </c>
    </row>
    <row r="13">
      <c r="A13" s="55" t="n">
        <v>46235</v>
      </c>
      <c r="B13" s="15">
        <f>YEAR(A13)</f>
        <v>2026</v>
      </c>
      <c r="C13" s="15">
        <f>DAY(EOMONTH(A13,0))</f>
        <v>31</v>
      </c>
      <c r="D13" s="9" t="str">
        <f>IF(AND(YEAR(A13)&gt;=2027,MONTH(A13)='01_Inputs'!$B$69),"대정비",IF(A13&lt;'01_Inputs'!$B$80,"현재 (1대)",IF(AND(ISNUMBER('01_Inputs'!$B$76),A13&gt;='01_Inputs'!$B$76),"개선 (2대·105℃)","개선 (2대)")))</f>
        <v>현재 (1대)</v>
      </c>
      <c r="E13" s="15">
        <f>IF(LEFT(D13,2)="개선",'01_Inputs'!$B$8,'01_Inputs'!$B$7)</f>
        <v>1</v>
      </c>
      <c r="F13" s="56" t="n"/>
      <c r="G13" s="14">
        <f>IF(D13="대정비","대정비",E13*C13*24-N(F13))</f>
        <v>744</v>
      </c>
      <c r="H13" s="30">
        <f>IF(D13="현재 (1대)",'03_Capacity_Model'!$B$80,IF(D13="개선 (2대)",IF(ISNUMBER('01_Inputs'!$B$82),'01_Inputs'!$B$82,"미확인"),IF(D13="개선 (2대·105℃)",IF(ISNUMBER('01_Inputs'!$B$77),'01_Inputs'!$B$77,"미확인"),"-")))</f>
        <v>67.4716981132076</v>
      </c>
      <c r="I13" s="14">
        <f>IF(AND(ISNUMBER(K12),D12=D13),K12,0)</f>
        <v>27.6226415094335</v>
      </c>
      <c r="J13" s="45">
        <f>IF(AND(ISNUMBER(G13),ISNUMBER(H13)),INT((G13+I13)/H13),IF(D13="대정비","대정비","미확인"))</f>
        <v>11</v>
      </c>
      <c r="K13" s="14">
        <f>IF(AND(ISNUMBER(G13),ISNUMBER(H13),ISNUMBER(J13)),G13+I13-J13*H13,"")</f>
        <v>29.4339622641504</v>
      </c>
      <c r="L13" s="19">
        <f>IF(COUNTIFS('02_Batch_Raw'!$E$6:$E$99,"&gt;="&amp;A13,'02_Batch_Raw'!$E$6:$E$99,"&lt;="&amp;EOMONTH(A13,0))=0,"",COUNTIFS('02_Batch_Raw'!$E$6:$E$99,"&gt;="&amp;A13,'02_Batch_Raw'!$E$6:$E$99,"&lt;="&amp;EOMONTH(A13,0)))</f>
        <v>11</v>
      </c>
      <c r="M13" s="19">
        <f>IF(ISNUMBER('02_Batch_Raw'!$D$106),'02_Batch_Raw'!$D$106,"")</f>
        <v>8</v>
      </c>
      <c r="N13" s="57" t="n"/>
      <c r="O13" s="15">
        <f>IF(ISNUMBER(N13),N13,J13)</f>
        <v>11</v>
      </c>
      <c r="P13" s="9" t="str">
        <f>IF(ISNUMBER(N13),"실적 입력",IF(ISNUMBER(J13),"추정 생산 가능량","미확인"))</f>
        <v>추정 생산 가능량</v>
      </c>
      <c r="Q13" s="25">
        <f>IF(LEFT(D13,2)="개선",IF(ISNUMBER('01_Inputs'!$B$61),'01_Inputs'!$B$61,'01_Inputs'!$B$49),'01_Inputs'!$B$49)</f>
        <v>190</v>
      </c>
      <c r="R13" s="25">
        <f>IF(ISNUMBER(O13),O13*Q13,"미확인")</f>
        <v>2090</v>
      </c>
      <c r="S13" s="40">
        <f>IF(ISNUMBER(R13),R13*IF(ISNUMBER('01_Inputs'!$B$105),'01_Inputs'!$B$105,1),"미확인")</f>
        <v>2090</v>
      </c>
      <c r="T13" s="32">
        <f>IF(D13="대정비",'01_Inputs'!$B$70,IF(D13="개선 (2대·105℃)",'01_Inputs'!$B$72,IF(D13="개선 (2대)",'01_Inputs'!$B$71,'01_Inputs'!$B$63*1000/12)))</f>
        <v>2183.33333333333</v>
      </c>
      <c r="U13" s="31">
        <f>IF(ISNUMBER('01_Inputs'!$J$114),'01_Inputs'!$J$114,"미제시")</f>
        <v>1420</v>
      </c>
      <c r="V13" s="31" t="str">
        <f>IF(ISNUMBER('01_Inputs'!$J$115),'01_Inputs'!$J$115,"미제시")</f>
        <v>미제시</v>
      </c>
      <c r="W13" s="31">
        <f>IF(ISNUMBER('01_Inputs'!$J$116),'01_Inputs'!$J$116,"미제시")</f>
        <v>0</v>
      </c>
      <c r="X13" s="31" t="str">
        <f>IF(ISNUMBER('01_Inputs'!$J$117),'01_Inputs'!$J$117,"미제시")</f>
        <v>미제시</v>
      </c>
      <c r="Y13" s="36">
        <f>SUM(U13:X13)</f>
        <v>1420</v>
      </c>
      <c r="Z13" s="52">
        <f>Y13/Q13</f>
        <v>7.47368421052632</v>
      </c>
      <c r="AA13" s="52">
        <f>(N(U13)+N(V13))/'01_Inputs'!$B$42</f>
        <v>71</v>
      </c>
      <c r="AB13" s="14">
        <f>AA13*'01_Inputs'!$B$28</f>
        <v>142</v>
      </c>
      <c r="AC13" s="14">
        <f>AA13/'01_Inputs'!$B$29*'01_Inputs'!$B$32</f>
        <v>15.7777777777778</v>
      </c>
      <c r="AD13" s="52">
        <f>N(W13)/'01_Inputs'!$B$43</f>
        <v>0</v>
      </c>
      <c r="AE13" s="52">
        <f>N(X13)/'01_Inputs'!$B$44</f>
        <v>0</v>
      </c>
      <c r="AF13" s="9" t="str">
        <f>IF(AD13=0,"-",IF(A13&gt;='01_Inputs'!$B$47,"ARS","수동"))</f>
        <v>-</v>
      </c>
      <c r="AG13" s="9" t="str">
        <f>IF(AE13=0,"-",IF(A13&gt;='01_Inputs'!$B$46,"ARS","수동"))</f>
        <v>-</v>
      </c>
      <c r="AH13" s="14">
        <f>IF(AD13=0,0,IF(AF13="수동",AD13*'01_Inputs'!$B$34,IF(ISNUMBER('01_Inputs'!$B$36),AD13*'01_Inputs'!$B$36,"미확인")))</f>
        <v>0</v>
      </c>
      <c r="AI13" s="14">
        <f>IF(AE13=0,0,IF(AG13="수동",IF(ISNUMBER('01_Inputs'!$B$35),AE13*'01_Inputs'!$B$35,"미확인"),IF(ISNUMBER('01_Inputs'!$B$37),AE13*'01_Inputs'!$B$37,"미확인")))</f>
        <v>0</v>
      </c>
      <c r="AJ13" s="14">
        <f>IF(AND(ISNUMBER(AH13),ISNUMBER(AI13)),AH13+AI13,"부분 "&amp;TEXT(N(AH13)+N(AI13),"0")&amp;" h + 미확인")</f>
        <v>0</v>
      </c>
      <c r="AK13" s="14">
        <f>(AD13+AE13)*'01_Inputs'!$B$38</f>
        <v>0</v>
      </c>
      <c r="AL13" s="14">
        <f>(AD13+AE13)*'01_Inputs'!$B$33</f>
        <v>0</v>
      </c>
      <c r="AM13" s="14" t="str">
        <f>IF(ISNUMBER('01_Inputs'!$B$86),'01_Inputs'!$B$86,"미확인")</f>
        <v>미확인</v>
      </c>
      <c r="AN13" s="14" t="str">
        <f>IF(ISNUMBER(AM13),AM13-AB13,"미확인")</f>
        <v>미확인</v>
      </c>
      <c r="AO13" s="32">
        <f>T13-Y13</f>
        <v>763.333333333334</v>
      </c>
      <c r="AP13" s="32">
        <f>IF(ISNUMBER(S13),S13-Y13,"미확인")</f>
        <v>670</v>
      </c>
      <c r="AQ13" s="32">
        <f>IF(AND(ISNUMBER(AP13),ISNUMBER(AQ12)),AQ12+AP13,"보류")</f>
        <v>5120</v>
      </c>
      <c r="AR13" s="32" t="str">
        <f>IF(ISNUMBER(AZ12),AZ12,"보류")</f>
        <v>보류</v>
      </c>
      <c r="AS13" s="32" t="str">
        <f>IF(AND(ISNUMBER(AR13),ISNUMBER(S13)),AR13+S13,"보류")</f>
        <v>보류</v>
      </c>
      <c r="AT13" s="32" t="str">
        <f>IF(ISNUMBER(AS13),MIN(AS13,U13),"보류")</f>
        <v>보류</v>
      </c>
      <c r="AU13" s="32" t="str">
        <f>IF(ISNUMBER(AS13),MIN(AS13-AT13,N('01_Inputs'!$B$103)),"보류")</f>
        <v>보류</v>
      </c>
      <c r="AV13" s="32" t="str">
        <f>IF(ISNUMBER(AS13),IF((N(V13)+N(W13)+N(X13))=0,0,MIN(N(V13),(AS13-AT13-AU13)*N(V13)/(N(V13)+N(W13)+N(X13)))),"보류")</f>
        <v>보류</v>
      </c>
      <c r="AW13" s="32" t="str">
        <f>IF(ISNUMBER(AS13),IF((N(V13)+N(W13)+N(X13))=0,0,MIN(N(W13),(AS13-AT13-AU13)*N(W13)/(N(V13)+N(W13)+N(X13)))),"보류")</f>
        <v>보류</v>
      </c>
      <c r="AX13" s="32" t="str">
        <f>IF(ISNUMBER(AS13),IF((N(V13)+N(W13)+N(X13))=0,0,MIN(N(X13),(AS13-AT13-AU13)*N(X13)/(N(V13)+N(W13)+N(X13)))),"보류")</f>
        <v>보류</v>
      </c>
      <c r="AY13" s="32" t="str">
        <f>IF(ISNUMBER(AS13),Y13-AT13-AV13-AW13-AX13,"보류")</f>
        <v>보류</v>
      </c>
      <c r="AZ13" s="36" t="str">
        <f>IF(ISNUMBER(AS13),AS13-AT13-AV13-AW13-AX13,"보류")</f>
        <v>보류</v>
      </c>
      <c r="BA13" s="32" t="str">
        <f>IF(ISNUMBER('01_Inputs'!$B$104),'01_Inputs'!$B$104,"미입력")</f>
        <v>미입력</v>
      </c>
      <c r="BB13" s="32" t="str">
        <f>IF(AND(ISNUMBER(AR13),ISNUMBER(BA13)),Y13+BA13-AR13,"보류")</f>
        <v>보류</v>
      </c>
      <c r="BC13" s="32" t="str">
        <f>IF(AND(ISNUMBER(AZ13),ISNUMBER(BA13)),AZ13-BA13,"보류")</f>
        <v>보류</v>
      </c>
      <c r="BD13" s="9" t="str">
        <f>IF(ISNUMBER(AZ13),"계산 가능",IF(ISNUMBER(AP13),"부분 (재고 입력 필요)","보류 (생산 조건 미확인)"))</f>
        <v>부분 (재고 입력 필요)</v>
      </c>
      <c r="BE13" s="9" t="str">
        <f>IF(D13="개선 (2대)",IF(ISNUMBER('01_Inputs'!$B$82),"","설비별 간격·"),"")&amp;IF(D13="개선 (2대·105℃)",IF(ISNUMBER('01_Inputs'!$B$77),"","105℃ 간격·"),"")&amp;IF(ISNUMBER(N13),"","실적·")&amp;IF(ISNUMBER('01_Inputs'!$B$105),"","양품률(100% 상한)·")&amp;IF(COUNTIF(U13:X13,"미제시")&gt;0,"고객 물량 미제시·","")&amp;IF(ISNUMBER(AJ13),"","200 L 충진시간·")&amp;IF(ISNUMBER('01_Inputs'!$B$86),"","글로브 박스 가용·")&amp;IF(ISNUMBER('01_Inputs'!$B$102),"","기초재고·")</f>
        <v>실적·양품률(100% 상한)·고객 물량 미제시·글로브 박스 가용·기초재고·</v>
      </c>
    </row>
    <row r="14">
      <c r="A14" s="55" t="n">
        <v>46266</v>
      </c>
      <c r="B14" s="15">
        <f>YEAR(A14)</f>
        <v>2026</v>
      </c>
      <c r="C14" s="15">
        <f>DAY(EOMONTH(A14,0))</f>
        <v>30</v>
      </c>
      <c r="D14" s="9" t="str">
        <f>IF(AND(YEAR(A14)&gt;=2027,MONTH(A14)='01_Inputs'!$B$69),"대정비",IF(A14&lt;'01_Inputs'!$B$80,"현재 (1대)",IF(AND(ISNUMBER('01_Inputs'!$B$76),A14&gt;='01_Inputs'!$B$76),"개선 (2대·105℃)","개선 (2대)")))</f>
        <v>현재 (1대)</v>
      </c>
      <c r="E14" s="15">
        <f>IF(LEFT(D14,2)="개선",'01_Inputs'!$B$8,'01_Inputs'!$B$7)</f>
        <v>1</v>
      </c>
      <c r="F14" s="56" t="n"/>
      <c r="G14" s="14">
        <f>IF(D14="대정비","대정비",E14*C14*24-N(F14))</f>
        <v>720</v>
      </c>
      <c r="H14" s="30">
        <f>IF(D14="현재 (1대)",'03_Capacity_Model'!$B$80,IF(D14="개선 (2대)",IF(ISNUMBER('01_Inputs'!$B$82),'01_Inputs'!$B$82,"미확인"),IF(D14="개선 (2대·105℃)",IF(ISNUMBER('01_Inputs'!$B$77),'01_Inputs'!$B$77,"미확인"),"-")))</f>
        <v>67.4716981132076</v>
      </c>
      <c r="I14" s="14">
        <f>IF(AND(ISNUMBER(K13),D13=D14),K13,0)</f>
        <v>29.4339622641504</v>
      </c>
      <c r="J14" s="45">
        <f>IF(AND(ISNUMBER(G14),ISNUMBER(H14)),INT((G14+I14)/H14),IF(D14="대정비","대정비","미확인"))</f>
        <v>11</v>
      </c>
      <c r="K14" s="14">
        <f>IF(AND(ISNUMBER(G14),ISNUMBER(H14),ISNUMBER(J14)),G14+I14-J14*H14,"")</f>
        <v>7.24528301886733</v>
      </c>
      <c r="L14" s="19">
        <f>IF(COUNTIFS('02_Batch_Raw'!$E$6:$E$99,"&gt;="&amp;A14,'02_Batch_Raw'!$E$6:$E$99,"&lt;="&amp;EOMONTH(A14,0))=0,"",COUNTIFS('02_Batch_Raw'!$E$6:$E$99,"&gt;="&amp;A14,'02_Batch_Raw'!$E$6:$E$99,"&lt;="&amp;EOMONTH(A14,0)))</f>
        <v>10</v>
      </c>
      <c r="M14" s="19">
        <f>IF(ISNUMBER('02_Batch_Raw'!$D$107),'02_Batch_Raw'!$D$107,"")</f>
        <v>8</v>
      </c>
      <c r="N14" s="57" t="n"/>
      <c r="O14" s="15">
        <f>IF(ISNUMBER(N14),N14,J14)</f>
        <v>11</v>
      </c>
      <c r="P14" s="9" t="str">
        <f>IF(ISNUMBER(N14),"실적 입력",IF(ISNUMBER(J14),"추정 생산 가능량","미확인"))</f>
        <v>추정 생산 가능량</v>
      </c>
      <c r="Q14" s="25">
        <f>IF(LEFT(D14,2)="개선",IF(ISNUMBER('01_Inputs'!$B$61),'01_Inputs'!$B$61,'01_Inputs'!$B$49),'01_Inputs'!$B$49)</f>
        <v>190</v>
      </c>
      <c r="R14" s="25">
        <f>IF(ISNUMBER(O14),O14*Q14,"미확인")</f>
        <v>2090</v>
      </c>
      <c r="S14" s="40">
        <f>IF(ISNUMBER(R14),R14*IF(ISNUMBER('01_Inputs'!$B$105),'01_Inputs'!$B$105,1),"미확인")</f>
        <v>2090</v>
      </c>
      <c r="T14" s="32">
        <f>IF(D14="대정비",'01_Inputs'!$B$70,IF(D14="개선 (2대·105℃)",'01_Inputs'!$B$72,IF(D14="개선 (2대)",'01_Inputs'!$B$71,'01_Inputs'!$B$63*1000/12)))</f>
        <v>2183.33333333333</v>
      </c>
      <c r="U14" s="31">
        <f>IF(ISNUMBER('01_Inputs'!$K$114),'01_Inputs'!$K$114,"미제시")</f>
        <v>1380</v>
      </c>
      <c r="V14" s="31" t="str">
        <f>IF(ISNUMBER('01_Inputs'!$K$115),'01_Inputs'!$K$115,"미제시")</f>
        <v>미제시</v>
      </c>
      <c r="W14" s="31">
        <f>IF(ISNUMBER('01_Inputs'!$K$116),'01_Inputs'!$K$116,"미제시")</f>
        <v>560</v>
      </c>
      <c r="X14" s="31" t="str">
        <f>IF(ISNUMBER('01_Inputs'!$K$117),'01_Inputs'!$K$117,"미제시")</f>
        <v>미제시</v>
      </c>
      <c r="Y14" s="36">
        <f>SUM(U14:X14)</f>
        <v>1940</v>
      </c>
      <c r="Z14" s="52">
        <f>Y14/Q14</f>
        <v>10.2105263157895</v>
      </c>
      <c r="AA14" s="52">
        <f>(N(U14)+N(V14))/'01_Inputs'!$B$42</f>
        <v>69</v>
      </c>
      <c r="AB14" s="14">
        <f>AA14*'01_Inputs'!$B$28</f>
        <v>138</v>
      </c>
      <c r="AC14" s="14">
        <f>AA14/'01_Inputs'!$B$29*'01_Inputs'!$B$32</f>
        <v>15.3333333333333</v>
      </c>
      <c r="AD14" s="52">
        <f>N(W14)/'01_Inputs'!$B$43</f>
        <v>4</v>
      </c>
      <c r="AE14" s="52">
        <f>N(X14)/'01_Inputs'!$B$44</f>
        <v>0</v>
      </c>
      <c r="AF14" s="9" t="str">
        <f>IF(AD14=0,"-",IF(A14&gt;='01_Inputs'!$B$47,"ARS","수동"))</f>
        <v>수동</v>
      </c>
      <c r="AG14" s="9" t="str">
        <f>IF(AE14=0,"-",IF(A14&gt;='01_Inputs'!$B$46,"ARS","수동"))</f>
        <v>-</v>
      </c>
      <c r="AH14" s="14">
        <f>IF(AD14=0,0,IF(AF14="수동",AD14*'01_Inputs'!$B$34,IF(ISNUMBER('01_Inputs'!$B$36),AD14*'01_Inputs'!$B$36,"미확인")))</f>
        <v>32</v>
      </c>
      <c r="AI14" s="14">
        <f>IF(AE14=0,0,IF(AG14="수동",IF(ISNUMBER('01_Inputs'!$B$35),AE14*'01_Inputs'!$B$35,"미확인"),IF(ISNUMBER('01_Inputs'!$B$37),AE14*'01_Inputs'!$B$37,"미확인")))</f>
        <v>0</v>
      </c>
      <c r="AJ14" s="14">
        <f>IF(AND(ISNUMBER(AH14),ISNUMBER(AI14)),AH14+AI14,"부분 "&amp;TEXT(N(AH14)+N(AI14),"0")&amp;" h + 미확인")</f>
        <v>32</v>
      </c>
      <c r="AK14" s="14">
        <f>(AD14+AE14)*'01_Inputs'!$B$38</f>
        <v>32</v>
      </c>
      <c r="AL14" s="14">
        <f>(AD14+AE14)*'01_Inputs'!$B$33</f>
        <v>8</v>
      </c>
      <c r="AM14" s="14" t="str">
        <f>IF(ISNUMBER('01_Inputs'!$B$86),'01_Inputs'!$B$86,"미확인")</f>
        <v>미확인</v>
      </c>
      <c r="AN14" s="14" t="str">
        <f>IF(ISNUMBER(AM14),AM14-AB14,"미확인")</f>
        <v>미확인</v>
      </c>
      <c r="AO14" s="32">
        <f>T14-Y14</f>
        <v>243.333333333333</v>
      </c>
      <c r="AP14" s="32">
        <f>IF(ISNUMBER(S14),S14-Y14,"미확인")</f>
        <v>150</v>
      </c>
      <c r="AQ14" s="32">
        <f>IF(AND(ISNUMBER(AP14),ISNUMBER(AQ13)),AQ13+AP14,"보류")</f>
        <v>5270</v>
      </c>
      <c r="AR14" s="32" t="str">
        <f>IF(ISNUMBER(AZ13),AZ13,"보류")</f>
        <v>보류</v>
      </c>
      <c r="AS14" s="32" t="str">
        <f>IF(AND(ISNUMBER(AR14),ISNUMBER(S14)),AR14+S14,"보류")</f>
        <v>보류</v>
      </c>
      <c r="AT14" s="32" t="str">
        <f>IF(ISNUMBER(AS14),MIN(AS14,U14),"보류")</f>
        <v>보류</v>
      </c>
      <c r="AU14" s="32" t="str">
        <f>IF(ISNUMBER(AS14),MIN(AS14-AT14,N('01_Inputs'!$B$103)),"보류")</f>
        <v>보류</v>
      </c>
      <c r="AV14" s="32" t="str">
        <f>IF(ISNUMBER(AS14),IF((N(V14)+N(W14)+N(X14))=0,0,MIN(N(V14),(AS14-AT14-AU14)*N(V14)/(N(V14)+N(W14)+N(X14)))),"보류")</f>
        <v>보류</v>
      </c>
      <c r="AW14" s="32" t="str">
        <f>IF(ISNUMBER(AS14),IF((N(V14)+N(W14)+N(X14))=0,0,MIN(N(W14),(AS14-AT14-AU14)*N(W14)/(N(V14)+N(W14)+N(X14)))),"보류")</f>
        <v>보류</v>
      </c>
      <c r="AX14" s="32" t="str">
        <f>IF(ISNUMBER(AS14),IF((N(V14)+N(W14)+N(X14))=0,0,MIN(N(X14),(AS14-AT14-AU14)*N(X14)/(N(V14)+N(W14)+N(X14)))),"보류")</f>
        <v>보류</v>
      </c>
      <c r="AY14" s="32" t="str">
        <f>IF(ISNUMBER(AS14),Y14-AT14-AV14-AW14-AX14,"보류")</f>
        <v>보류</v>
      </c>
      <c r="AZ14" s="36" t="str">
        <f>IF(ISNUMBER(AS14),AS14-AT14-AV14-AW14-AX14,"보류")</f>
        <v>보류</v>
      </c>
      <c r="BA14" s="32" t="str">
        <f>IF(ISNUMBER('01_Inputs'!$B$104),'01_Inputs'!$B$104,"미입력")</f>
        <v>미입력</v>
      </c>
      <c r="BB14" s="32" t="str">
        <f>IF(AND(ISNUMBER(AR14),ISNUMBER(BA14)),Y14+BA14-AR14,"보류")</f>
        <v>보류</v>
      </c>
      <c r="BC14" s="32" t="str">
        <f>IF(AND(ISNUMBER(AZ14),ISNUMBER(BA14)),AZ14-BA14,"보류")</f>
        <v>보류</v>
      </c>
      <c r="BD14" s="9" t="str">
        <f>IF(ISNUMBER(AZ14),"계산 가능",IF(ISNUMBER(AP14),"부분 (재고 입력 필요)","보류 (생산 조건 미확인)"))</f>
        <v>부분 (재고 입력 필요)</v>
      </c>
      <c r="BE14" s="9" t="str">
        <f>IF(D14="개선 (2대)",IF(ISNUMBER('01_Inputs'!$B$82),"","설비별 간격·"),"")&amp;IF(D14="개선 (2대·105℃)",IF(ISNUMBER('01_Inputs'!$B$77),"","105℃ 간격·"),"")&amp;IF(ISNUMBER(N14),"","실적·")&amp;IF(ISNUMBER('01_Inputs'!$B$105),"","양품률(100% 상한)·")&amp;IF(COUNTIF(U14:X14,"미제시")&gt;0,"고객 물량 미제시·","")&amp;IF(ISNUMBER(AJ14),"","200 L 충진시간·")&amp;IF(ISNUMBER('01_Inputs'!$B$86),"","글로브 박스 가용·")&amp;IF(ISNUMBER('01_Inputs'!$B$102),"","기초재고·")</f>
        <v>실적·양품률(100% 상한)·고객 물량 미제시·글로브 박스 가용·기초재고·</v>
      </c>
    </row>
    <row r="15">
      <c r="A15" s="55" t="n">
        <v>46296</v>
      </c>
      <c r="B15" s="15">
        <f>YEAR(A15)</f>
        <v>2026</v>
      </c>
      <c r="C15" s="15">
        <f>DAY(EOMONTH(A15,0))</f>
        <v>31</v>
      </c>
      <c r="D15" s="9" t="str">
        <f>IF(AND(YEAR(A15)&gt;=2027,MONTH(A15)='01_Inputs'!$B$69),"대정비",IF(A15&lt;'01_Inputs'!$B$80,"현재 (1대)",IF(AND(ISNUMBER('01_Inputs'!$B$76),A15&gt;='01_Inputs'!$B$76),"개선 (2대·105℃)","개선 (2대)")))</f>
        <v>현재 (1대)</v>
      </c>
      <c r="E15" s="15">
        <f>IF(LEFT(D15,2)="개선",'01_Inputs'!$B$8,'01_Inputs'!$B$7)</f>
        <v>1</v>
      </c>
      <c r="F15" s="56" t="n"/>
      <c r="G15" s="14">
        <f>IF(D15="대정비","대정비",E15*C15*24-N(F15))</f>
        <v>744</v>
      </c>
      <c r="H15" s="30">
        <f>IF(D15="현재 (1대)",'03_Capacity_Model'!$B$80,IF(D15="개선 (2대)",IF(ISNUMBER('01_Inputs'!$B$82),'01_Inputs'!$B$82,"미확인"),IF(D15="개선 (2대·105℃)",IF(ISNUMBER('01_Inputs'!$B$77),'01_Inputs'!$B$77,"미확인"),"-")))</f>
        <v>67.4716981132076</v>
      </c>
      <c r="I15" s="14">
        <f>IF(AND(ISNUMBER(K14),D14=D15),K14,0)</f>
        <v>7.24528301886733</v>
      </c>
      <c r="J15" s="45">
        <f>IF(AND(ISNUMBER(G15),ISNUMBER(H15)),INT((G15+I15)/H15),IF(D15="대정비","대정비","미확인"))</f>
        <v>11</v>
      </c>
      <c r="K15" s="14">
        <f>IF(AND(ISNUMBER(G15),ISNUMBER(H15),ISNUMBER(J15)),G15+I15-J15*H15,"")</f>
        <v>9.05660377358424</v>
      </c>
      <c r="L15" s="19">
        <f>IF(COUNTIFS('02_Batch_Raw'!$E$6:$E$99,"&gt;="&amp;A15,'02_Batch_Raw'!$E$6:$E$99,"&lt;="&amp;EOMONTH(A15,0))=0,"",COUNTIFS('02_Batch_Raw'!$E$6:$E$99,"&gt;="&amp;A15,'02_Batch_Raw'!$E$6:$E$99,"&lt;="&amp;EOMONTH(A15,0)))</f>
        <v>11</v>
      </c>
      <c r="M15" s="19">
        <f>IF(ISNUMBER('02_Batch_Raw'!$D$108),'02_Batch_Raw'!$D$108,"")</f>
        <v>11</v>
      </c>
      <c r="N15" s="57" t="n"/>
      <c r="O15" s="15">
        <f>IF(ISNUMBER(N15),N15,J15)</f>
        <v>11</v>
      </c>
      <c r="P15" s="9" t="str">
        <f>IF(ISNUMBER(N15),"실적 입력",IF(ISNUMBER(J15),"추정 생산 가능량","미확인"))</f>
        <v>추정 생산 가능량</v>
      </c>
      <c r="Q15" s="25">
        <f>IF(LEFT(D15,2)="개선",IF(ISNUMBER('01_Inputs'!$B$61),'01_Inputs'!$B$61,'01_Inputs'!$B$49),'01_Inputs'!$B$49)</f>
        <v>190</v>
      </c>
      <c r="R15" s="25">
        <f>IF(ISNUMBER(O15),O15*Q15,"미확인")</f>
        <v>2090</v>
      </c>
      <c r="S15" s="40">
        <f>IF(ISNUMBER(R15),R15*IF(ISNUMBER('01_Inputs'!$B$105),'01_Inputs'!$B$105,1),"미확인")</f>
        <v>2090</v>
      </c>
      <c r="T15" s="32">
        <f>IF(D15="대정비",'01_Inputs'!$B$70,IF(D15="개선 (2대·105℃)",'01_Inputs'!$B$72,IF(D15="개선 (2대)",'01_Inputs'!$B$71,'01_Inputs'!$B$63*1000/12)))</f>
        <v>2183.33333333333</v>
      </c>
      <c r="U15" s="31">
        <f>IF(ISNUMBER('01_Inputs'!$L$114),'01_Inputs'!$L$114,"미제시")</f>
        <v>1480</v>
      </c>
      <c r="V15" s="31" t="str">
        <f>IF(ISNUMBER('01_Inputs'!$L$115),'01_Inputs'!$L$115,"미제시")</f>
        <v>미제시</v>
      </c>
      <c r="W15" s="31">
        <f>IF(ISNUMBER('01_Inputs'!$L$116),'01_Inputs'!$L$116,"미제시")</f>
        <v>560</v>
      </c>
      <c r="X15" s="31" t="str">
        <f>IF(ISNUMBER('01_Inputs'!$L$117),'01_Inputs'!$L$117,"미제시")</f>
        <v>미제시</v>
      </c>
      <c r="Y15" s="36">
        <f>SUM(U15:X15)</f>
        <v>2040</v>
      </c>
      <c r="Z15" s="52">
        <f>Y15/Q15</f>
        <v>10.7368421052632</v>
      </c>
      <c r="AA15" s="52">
        <f>(N(U15)+N(V15))/'01_Inputs'!$B$42</f>
        <v>74</v>
      </c>
      <c r="AB15" s="14">
        <f>AA15*'01_Inputs'!$B$28</f>
        <v>148</v>
      </c>
      <c r="AC15" s="14">
        <f>AA15/'01_Inputs'!$B$29*'01_Inputs'!$B$32</f>
        <v>16.4444444444444</v>
      </c>
      <c r="AD15" s="52">
        <f>N(W15)/'01_Inputs'!$B$43</f>
        <v>4</v>
      </c>
      <c r="AE15" s="52">
        <f>N(X15)/'01_Inputs'!$B$44</f>
        <v>0</v>
      </c>
      <c r="AF15" s="9" t="str">
        <f>IF(AD15=0,"-",IF(A15&gt;='01_Inputs'!$B$47,"ARS","수동"))</f>
        <v>수동</v>
      </c>
      <c r="AG15" s="9" t="str">
        <f>IF(AE15=0,"-",IF(A15&gt;='01_Inputs'!$B$46,"ARS","수동"))</f>
        <v>-</v>
      </c>
      <c r="AH15" s="14">
        <f>IF(AD15=0,0,IF(AF15="수동",AD15*'01_Inputs'!$B$34,IF(ISNUMBER('01_Inputs'!$B$36),AD15*'01_Inputs'!$B$36,"미확인")))</f>
        <v>32</v>
      </c>
      <c r="AI15" s="14">
        <f>IF(AE15=0,0,IF(AG15="수동",IF(ISNUMBER('01_Inputs'!$B$35),AE15*'01_Inputs'!$B$35,"미확인"),IF(ISNUMBER('01_Inputs'!$B$37),AE15*'01_Inputs'!$B$37,"미확인")))</f>
        <v>0</v>
      </c>
      <c r="AJ15" s="14">
        <f>IF(AND(ISNUMBER(AH15),ISNUMBER(AI15)),AH15+AI15,"부분 "&amp;TEXT(N(AH15)+N(AI15),"0")&amp;" h + 미확인")</f>
        <v>32</v>
      </c>
      <c r="AK15" s="14">
        <f>(AD15+AE15)*'01_Inputs'!$B$38</f>
        <v>32</v>
      </c>
      <c r="AL15" s="14">
        <f>(AD15+AE15)*'01_Inputs'!$B$33</f>
        <v>8</v>
      </c>
      <c r="AM15" s="14" t="str">
        <f>IF(ISNUMBER('01_Inputs'!$B$86),'01_Inputs'!$B$86,"미확인")</f>
        <v>미확인</v>
      </c>
      <c r="AN15" s="14" t="str">
        <f>IF(ISNUMBER(AM15),AM15-AB15,"미확인")</f>
        <v>미확인</v>
      </c>
      <c r="AO15" s="32">
        <f>T15-Y15</f>
        <v>143.333333333333</v>
      </c>
      <c r="AP15" s="32">
        <f>IF(ISNUMBER(S15),S15-Y15,"미확인")</f>
        <v>50</v>
      </c>
      <c r="AQ15" s="32">
        <f>IF(AND(ISNUMBER(AP15),ISNUMBER(AQ14)),AQ14+AP15,"보류")</f>
        <v>5320</v>
      </c>
      <c r="AR15" s="32" t="str">
        <f>IF(ISNUMBER(AZ14),AZ14,"보류")</f>
        <v>보류</v>
      </c>
      <c r="AS15" s="32" t="str">
        <f>IF(AND(ISNUMBER(AR15),ISNUMBER(S15)),AR15+S15,"보류")</f>
        <v>보류</v>
      </c>
      <c r="AT15" s="32" t="str">
        <f>IF(ISNUMBER(AS15),MIN(AS15,U15),"보류")</f>
        <v>보류</v>
      </c>
      <c r="AU15" s="32" t="str">
        <f>IF(ISNUMBER(AS15),MIN(AS15-AT15,N('01_Inputs'!$B$103)),"보류")</f>
        <v>보류</v>
      </c>
      <c r="AV15" s="32" t="str">
        <f>IF(ISNUMBER(AS15),IF((N(V15)+N(W15)+N(X15))=0,0,MIN(N(V15),(AS15-AT15-AU15)*N(V15)/(N(V15)+N(W15)+N(X15)))),"보류")</f>
        <v>보류</v>
      </c>
      <c r="AW15" s="32" t="str">
        <f>IF(ISNUMBER(AS15),IF((N(V15)+N(W15)+N(X15))=0,0,MIN(N(W15),(AS15-AT15-AU15)*N(W15)/(N(V15)+N(W15)+N(X15)))),"보류")</f>
        <v>보류</v>
      </c>
      <c r="AX15" s="32" t="str">
        <f>IF(ISNUMBER(AS15),IF((N(V15)+N(W15)+N(X15))=0,0,MIN(N(X15),(AS15-AT15-AU15)*N(X15)/(N(V15)+N(W15)+N(X15)))),"보류")</f>
        <v>보류</v>
      </c>
      <c r="AY15" s="32" t="str">
        <f>IF(ISNUMBER(AS15),Y15-AT15-AV15-AW15-AX15,"보류")</f>
        <v>보류</v>
      </c>
      <c r="AZ15" s="36" t="str">
        <f>IF(ISNUMBER(AS15),AS15-AT15-AV15-AW15-AX15,"보류")</f>
        <v>보류</v>
      </c>
      <c r="BA15" s="32" t="str">
        <f>IF(ISNUMBER('01_Inputs'!$B$104),'01_Inputs'!$B$104,"미입력")</f>
        <v>미입력</v>
      </c>
      <c r="BB15" s="32" t="str">
        <f>IF(AND(ISNUMBER(AR15),ISNUMBER(BA15)),Y15+BA15-AR15,"보류")</f>
        <v>보류</v>
      </c>
      <c r="BC15" s="32" t="str">
        <f>IF(AND(ISNUMBER(AZ15),ISNUMBER(BA15)),AZ15-BA15,"보류")</f>
        <v>보류</v>
      </c>
      <c r="BD15" s="9" t="str">
        <f>IF(ISNUMBER(AZ15),"계산 가능",IF(ISNUMBER(AP15),"부분 (재고 입력 필요)","보류 (생산 조건 미확인)"))</f>
        <v>부분 (재고 입력 필요)</v>
      </c>
      <c r="BE15" s="9" t="str">
        <f>IF(D15="개선 (2대)",IF(ISNUMBER('01_Inputs'!$B$82),"","설비별 간격·"),"")&amp;IF(D15="개선 (2대·105℃)",IF(ISNUMBER('01_Inputs'!$B$77),"","105℃ 간격·"),"")&amp;IF(ISNUMBER(N15),"","실적·")&amp;IF(ISNUMBER('01_Inputs'!$B$105),"","양품률(100% 상한)·")&amp;IF(COUNTIF(U15:X15,"미제시")&gt;0,"고객 물량 미제시·","")&amp;IF(ISNUMBER(AJ15),"","200 L 충진시간·")&amp;IF(ISNUMBER('01_Inputs'!$B$86),"","글로브 박스 가용·")&amp;IF(ISNUMBER('01_Inputs'!$B$102),"","기초재고·")</f>
        <v>실적·양품률(100% 상한)·고객 물량 미제시·글로브 박스 가용·기초재고·</v>
      </c>
    </row>
    <row r="16">
      <c r="A16" s="55" t="n">
        <v>46327</v>
      </c>
      <c r="B16" s="15">
        <f>YEAR(A16)</f>
        <v>2026</v>
      </c>
      <c r="C16" s="15">
        <f>DAY(EOMONTH(A16,0))</f>
        <v>30</v>
      </c>
      <c r="D16" s="9" t="str">
        <f>IF(AND(YEAR(A16)&gt;=2027,MONTH(A16)='01_Inputs'!$B$69),"대정비",IF(A16&lt;'01_Inputs'!$B$80,"현재 (1대)",IF(AND(ISNUMBER('01_Inputs'!$B$76),A16&gt;='01_Inputs'!$B$76),"개선 (2대·105℃)","개선 (2대)")))</f>
        <v>현재 (1대)</v>
      </c>
      <c r="E16" s="15">
        <f>IF(LEFT(D16,2)="개선",'01_Inputs'!$B$8,'01_Inputs'!$B$7)</f>
        <v>1</v>
      </c>
      <c r="F16" s="56" t="n"/>
      <c r="G16" s="14">
        <f>IF(D16="대정비","대정비",E16*C16*24-N(F16))</f>
        <v>720</v>
      </c>
      <c r="H16" s="30">
        <f>IF(D16="현재 (1대)",'03_Capacity_Model'!$B$80,IF(D16="개선 (2대)",IF(ISNUMBER('01_Inputs'!$B$82),'01_Inputs'!$B$82,"미확인"),IF(D16="개선 (2대·105℃)",IF(ISNUMBER('01_Inputs'!$B$77),'01_Inputs'!$B$77,"미확인"),"-")))</f>
        <v>67.4716981132076</v>
      </c>
      <c r="I16" s="14">
        <f>IF(AND(ISNUMBER(K15),D15=D16),K15,0)</f>
        <v>9.05660377358424</v>
      </c>
      <c r="J16" s="45">
        <f>IF(AND(ISNUMBER(G16),ISNUMBER(H16)),INT((G16+I16)/H16),IF(D16="대정비","대정비","미확인"))</f>
        <v>10</v>
      </c>
      <c r="K16" s="14">
        <f>IF(AND(ISNUMBER(G16),ISNUMBER(H16),ISNUMBER(J16)),G16+I16-J16*H16,"")</f>
        <v>54.3396226415088</v>
      </c>
      <c r="L16" s="19">
        <f>IF(COUNTIFS('02_Batch_Raw'!$E$6:$E$99,"&gt;="&amp;A16,'02_Batch_Raw'!$E$6:$E$99,"&lt;="&amp;EOMONTH(A16,0))=0,"",COUNTIFS('02_Batch_Raw'!$E$6:$E$99,"&gt;="&amp;A16,'02_Batch_Raw'!$E$6:$E$99,"&lt;="&amp;EOMONTH(A16,0)))</f>
      </c>
      <c r="M16" s="19">
        <f>IF(ISNUMBER('02_Batch_Raw'!$D$109),'02_Batch_Raw'!$D$109,"")</f>
      </c>
      <c r="N16" s="57" t="n"/>
      <c r="O16" s="15">
        <f>IF(ISNUMBER(N16),N16,J16)</f>
        <v>10</v>
      </c>
      <c r="P16" s="9" t="str">
        <f>IF(ISNUMBER(N16),"실적 입력",IF(ISNUMBER(J16),"추정 생산 가능량","미확인"))</f>
        <v>추정 생산 가능량</v>
      </c>
      <c r="Q16" s="25">
        <f>IF(LEFT(D16,2)="개선",IF(ISNUMBER('01_Inputs'!$B$61),'01_Inputs'!$B$61,'01_Inputs'!$B$49),'01_Inputs'!$B$49)</f>
        <v>190</v>
      </c>
      <c r="R16" s="25">
        <f>IF(ISNUMBER(O16),O16*Q16,"미확인")</f>
        <v>1900</v>
      </c>
      <c r="S16" s="40">
        <f>IF(ISNUMBER(R16),R16*IF(ISNUMBER('01_Inputs'!$B$105),'01_Inputs'!$B$105,1),"미확인")</f>
        <v>1900</v>
      </c>
      <c r="T16" s="32">
        <f>IF(D16="대정비",'01_Inputs'!$B$70,IF(D16="개선 (2대·105℃)",'01_Inputs'!$B$72,IF(D16="개선 (2대)",'01_Inputs'!$B$71,'01_Inputs'!$B$63*1000/12)))</f>
        <v>2183.33333333333</v>
      </c>
      <c r="U16" s="31">
        <f>IF(ISNUMBER('01_Inputs'!$M$114),'01_Inputs'!$M$114,"미제시")</f>
        <v>1480</v>
      </c>
      <c r="V16" s="31" t="str">
        <f>IF(ISNUMBER('01_Inputs'!$M$115),'01_Inputs'!$M$115,"미제시")</f>
        <v>미제시</v>
      </c>
      <c r="W16" s="31">
        <f>IF(ISNUMBER('01_Inputs'!$M$116),'01_Inputs'!$M$116,"미제시")</f>
        <v>560</v>
      </c>
      <c r="X16" s="31" t="str">
        <f>IF(ISNUMBER('01_Inputs'!$M$117),'01_Inputs'!$M$117,"미제시")</f>
        <v>미제시</v>
      </c>
      <c r="Y16" s="36">
        <f>SUM(U16:X16)</f>
        <v>2040</v>
      </c>
      <c r="Z16" s="52">
        <f>Y16/Q16</f>
        <v>10.7368421052632</v>
      </c>
      <c r="AA16" s="52">
        <f>(N(U16)+N(V16))/'01_Inputs'!$B$42</f>
        <v>74</v>
      </c>
      <c r="AB16" s="14">
        <f>AA16*'01_Inputs'!$B$28</f>
        <v>148</v>
      </c>
      <c r="AC16" s="14">
        <f>AA16/'01_Inputs'!$B$29*'01_Inputs'!$B$32</f>
        <v>16.4444444444444</v>
      </c>
      <c r="AD16" s="52">
        <f>N(W16)/'01_Inputs'!$B$43</f>
        <v>4</v>
      </c>
      <c r="AE16" s="52">
        <f>N(X16)/'01_Inputs'!$B$44</f>
        <v>0</v>
      </c>
      <c r="AF16" s="9" t="str">
        <f>IF(AD16=0,"-",IF(A16&gt;='01_Inputs'!$B$47,"ARS","수동"))</f>
        <v>수동</v>
      </c>
      <c r="AG16" s="9" t="str">
        <f>IF(AE16=0,"-",IF(A16&gt;='01_Inputs'!$B$46,"ARS","수동"))</f>
        <v>-</v>
      </c>
      <c r="AH16" s="14">
        <f>IF(AD16=0,0,IF(AF16="수동",AD16*'01_Inputs'!$B$34,IF(ISNUMBER('01_Inputs'!$B$36),AD16*'01_Inputs'!$B$36,"미확인")))</f>
        <v>32</v>
      </c>
      <c r="AI16" s="14">
        <f>IF(AE16=0,0,IF(AG16="수동",IF(ISNUMBER('01_Inputs'!$B$35),AE16*'01_Inputs'!$B$35,"미확인"),IF(ISNUMBER('01_Inputs'!$B$37),AE16*'01_Inputs'!$B$37,"미확인")))</f>
        <v>0</v>
      </c>
      <c r="AJ16" s="14">
        <f>IF(AND(ISNUMBER(AH16),ISNUMBER(AI16)),AH16+AI16,"부분 "&amp;TEXT(N(AH16)+N(AI16),"0")&amp;" h + 미확인")</f>
        <v>32</v>
      </c>
      <c r="AK16" s="14">
        <f>(AD16+AE16)*'01_Inputs'!$B$38</f>
        <v>32</v>
      </c>
      <c r="AL16" s="14">
        <f>(AD16+AE16)*'01_Inputs'!$B$33</f>
        <v>8</v>
      </c>
      <c r="AM16" s="14" t="str">
        <f>IF(ISNUMBER('01_Inputs'!$B$86),'01_Inputs'!$B$86,"미확인")</f>
        <v>미확인</v>
      </c>
      <c r="AN16" s="14" t="str">
        <f>IF(ISNUMBER(AM16),AM16-AB16,"미확인")</f>
        <v>미확인</v>
      </c>
      <c r="AO16" s="32">
        <f>T16-Y16</f>
        <v>143.333333333333</v>
      </c>
      <c r="AP16" s="32">
        <f>IF(ISNUMBER(S16),S16-Y16,"미확인")</f>
        <v>-140</v>
      </c>
      <c r="AQ16" s="32">
        <f>IF(AND(ISNUMBER(AP16),ISNUMBER(AQ15)),AQ15+AP16,"보류")</f>
        <v>5180</v>
      </c>
      <c r="AR16" s="32" t="str">
        <f>IF(ISNUMBER(AZ15),AZ15,"보류")</f>
        <v>보류</v>
      </c>
      <c r="AS16" s="32" t="str">
        <f>IF(AND(ISNUMBER(AR16),ISNUMBER(S16)),AR16+S16,"보류")</f>
        <v>보류</v>
      </c>
      <c r="AT16" s="32" t="str">
        <f>IF(ISNUMBER(AS16),MIN(AS16,U16),"보류")</f>
        <v>보류</v>
      </c>
      <c r="AU16" s="32" t="str">
        <f>IF(ISNUMBER(AS16),MIN(AS16-AT16,N('01_Inputs'!$B$103)),"보류")</f>
        <v>보류</v>
      </c>
      <c r="AV16" s="32" t="str">
        <f>IF(ISNUMBER(AS16),IF((N(V16)+N(W16)+N(X16))=0,0,MIN(N(V16),(AS16-AT16-AU16)*N(V16)/(N(V16)+N(W16)+N(X16)))),"보류")</f>
        <v>보류</v>
      </c>
      <c r="AW16" s="32" t="str">
        <f>IF(ISNUMBER(AS16),IF((N(V16)+N(W16)+N(X16))=0,0,MIN(N(W16),(AS16-AT16-AU16)*N(W16)/(N(V16)+N(W16)+N(X16)))),"보류")</f>
        <v>보류</v>
      </c>
      <c r="AX16" s="32" t="str">
        <f>IF(ISNUMBER(AS16),IF((N(V16)+N(W16)+N(X16))=0,0,MIN(N(X16),(AS16-AT16-AU16)*N(X16)/(N(V16)+N(W16)+N(X16)))),"보류")</f>
        <v>보류</v>
      </c>
      <c r="AY16" s="32" t="str">
        <f>IF(ISNUMBER(AS16),Y16-AT16-AV16-AW16-AX16,"보류")</f>
        <v>보류</v>
      </c>
      <c r="AZ16" s="36" t="str">
        <f>IF(ISNUMBER(AS16),AS16-AT16-AV16-AW16-AX16,"보류")</f>
        <v>보류</v>
      </c>
      <c r="BA16" s="32" t="str">
        <f>IF(ISNUMBER('01_Inputs'!$B$104),'01_Inputs'!$B$104,"미입력")</f>
        <v>미입력</v>
      </c>
      <c r="BB16" s="32" t="str">
        <f>IF(AND(ISNUMBER(AR16),ISNUMBER(BA16)),Y16+BA16-AR16,"보류")</f>
        <v>보류</v>
      </c>
      <c r="BC16" s="32" t="str">
        <f>IF(AND(ISNUMBER(AZ16),ISNUMBER(BA16)),AZ16-BA16,"보류")</f>
        <v>보류</v>
      </c>
      <c r="BD16" s="9" t="str">
        <f>IF(ISNUMBER(AZ16),"계산 가능",IF(ISNUMBER(AP16),"부분 (재고 입력 필요)","보류 (생산 조건 미확인)"))</f>
        <v>부분 (재고 입력 필요)</v>
      </c>
      <c r="BE16" s="9" t="str">
        <f>IF(D16="개선 (2대)",IF(ISNUMBER('01_Inputs'!$B$82),"","설비별 간격·"),"")&amp;IF(D16="개선 (2대·105℃)",IF(ISNUMBER('01_Inputs'!$B$77),"","105℃ 간격·"),"")&amp;IF(ISNUMBER(N16),"","실적·")&amp;IF(ISNUMBER('01_Inputs'!$B$105),"","양품률(100% 상한)·")&amp;IF(COUNTIF(U16:X16,"미제시")&gt;0,"고객 물량 미제시·","")&amp;IF(ISNUMBER(AJ16),"","200 L 충진시간·")&amp;IF(ISNUMBER('01_Inputs'!$B$86),"","글로브 박스 가용·")&amp;IF(ISNUMBER('01_Inputs'!$B$102),"","기초재고·")</f>
        <v>실적·양품률(100% 상한)·고객 물량 미제시·글로브 박스 가용·기초재고·</v>
      </c>
    </row>
    <row r="17">
      <c r="A17" s="55" t="n">
        <v>46357</v>
      </c>
      <c r="B17" s="15">
        <f>YEAR(A17)</f>
        <v>2026</v>
      </c>
      <c r="C17" s="15">
        <f>DAY(EOMONTH(A17,0))</f>
        <v>31</v>
      </c>
      <c r="D17" s="9" t="str">
        <f>IF(AND(YEAR(A17)&gt;=2027,MONTH(A17)='01_Inputs'!$B$69),"대정비",IF(A17&lt;'01_Inputs'!$B$80,"현재 (1대)",IF(AND(ISNUMBER('01_Inputs'!$B$76),A17&gt;='01_Inputs'!$B$76),"개선 (2대·105℃)","개선 (2대)")))</f>
        <v>현재 (1대)</v>
      </c>
      <c r="E17" s="15">
        <f>IF(LEFT(D17,2)="개선",'01_Inputs'!$B$8,'01_Inputs'!$B$7)</f>
        <v>1</v>
      </c>
      <c r="F17" s="56" t="n"/>
      <c r="G17" s="14">
        <f>IF(D17="대정비","대정비",E17*C17*24-N(F17))</f>
        <v>744</v>
      </c>
      <c r="H17" s="30">
        <f>IF(D17="현재 (1대)",'03_Capacity_Model'!$B$80,IF(D17="개선 (2대)",IF(ISNUMBER('01_Inputs'!$B$82),'01_Inputs'!$B$82,"미확인"),IF(D17="개선 (2대·105℃)",IF(ISNUMBER('01_Inputs'!$B$77),'01_Inputs'!$B$77,"미확인"),"-")))</f>
        <v>67.4716981132076</v>
      </c>
      <c r="I17" s="14">
        <f>IF(AND(ISNUMBER(K16),D16=D17),K16,0)</f>
        <v>54.3396226415088</v>
      </c>
      <c r="J17" s="45">
        <f>IF(AND(ISNUMBER(G17),ISNUMBER(H17)),INT((G17+I17)/H17),IF(D17="대정비","대정비","미확인"))</f>
        <v>11</v>
      </c>
      <c r="K17" s="14">
        <f>IF(AND(ISNUMBER(G17),ISNUMBER(H17),ISNUMBER(J17)),G17+I17-J17*H17,"")</f>
        <v>56.1509433962257</v>
      </c>
      <c r="L17" s="19">
        <f>IF(COUNTIFS('02_Batch_Raw'!$E$6:$E$99,"&gt;="&amp;A17,'02_Batch_Raw'!$E$6:$E$99,"&lt;="&amp;EOMONTH(A17,0))=0,"",COUNTIFS('02_Batch_Raw'!$E$6:$E$99,"&gt;="&amp;A17,'02_Batch_Raw'!$E$6:$E$99,"&lt;="&amp;EOMONTH(A17,0)))</f>
      </c>
      <c r="M17" s="19">
        <f>IF(ISNUMBER('02_Batch_Raw'!$D$110),'02_Batch_Raw'!$D$110,"")</f>
      </c>
      <c r="N17" s="57" t="n"/>
      <c r="O17" s="15">
        <f>IF(ISNUMBER(N17),N17,J17)</f>
        <v>11</v>
      </c>
      <c r="P17" s="9" t="str">
        <f>IF(ISNUMBER(N17),"실적 입력",IF(ISNUMBER(J17),"추정 생산 가능량","미확인"))</f>
        <v>추정 생산 가능량</v>
      </c>
      <c r="Q17" s="25">
        <f>IF(LEFT(D17,2)="개선",IF(ISNUMBER('01_Inputs'!$B$61),'01_Inputs'!$B$61,'01_Inputs'!$B$49),'01_Inputs'!$B$49)</f>
        <v>190</v>
      </c>
      <c r="R17" s="25">
        <f>IF(ISNUMBER(O17),O17*Q17,"미확인")</f>
        <v>2090</v>
      </c>
      <c r="S17" s="40">
        <f>IF(ISNUMBER(R17),R17*IF(ISNUMBER('01_Inputs'!$B$105),'01_Inputs'!$B$105,1),"미확인")</f>
        <v>2090</v>
      </c>
      <c r="T17" s="32">
        <f>IF(D17="대정비",'01_Inputs'!$B$70,IF(D17="개선 (2대·105℃)",'01_Inputs'!$B$72,IF(D17="개선 (2대)",'01_Inputs'!$B$71,'01_Inputs'!$B$63*1000/12)))</f>
        <v>2183.33333333333</v>
      </c>
      <c r="U17" s="31">
        <f>IF(ISNUMBER('01_Inputs'!$N$114),'01_Inputs'!$N$114,"미제시")</f>
        <v>1420</v>
      </c>
      <c r="V17" s="31" t="str">
        <f>IF(ISNUMBER('01_Inputs'!$N$115),'01_Inputs'!$N$115,"미제시")</f>
        <v>미제시</v>
      </c>
      <c r="W17" s="31">
        <f>IF(ISNUMBER('01_Inputs'!$N$116),'01_Inputs'!$N$116,"미제시")</f>
        <v>560</v>
      </c>
      <c r="X17" s="31" t="str">
        <f>IF(ISNUMBER('01_Inputs'!$N$117),'01_Inputs'!$N$117,"미제시")</f>
        <v>미제시</v>
      </c>
      <c r="Y17" s="36">
        <f>SUM(U17:X17)</f>
        <v>1980</v>
      </c>
      <c r="Z17" s="52">
        <f>Y17/Q17</f>
        <v>10.4210526315789</v>
      </c>
      <c r="AA17" s="52">
        <f>(N(U17)+N(V17))/'01_Inputs'!$B$42</f>
        <v>71</v>
      </c>
      <c r="AB17" s="14">
        <f>AA17*'01_Inputs'!$B$28</f>
        <v>142</v>
      </c>
      <c r="AC17" s="14">
        <f>AA17/'01_Inputs'!$B$29*'01_Inputs'!$B$32</f>
        <v>15.7777777777778</v>
      </c>
      <c r="AD17" s="52">
        <f>N(W17)/'01_Inputs'!$B$43</f>
        <v>4</v>
      </c>
      <c r="AE17" s="52">
        <f>N(X17)/'01_Inputs'!$B$44</f>
        <v>0</v>
      </c>
      <c r="AF17" s="9" t="str">
        <f>IF(AD17=0,"-",IF(A17&gt;='01_Inputs'!$B$47,"ARS","수동"))</f>
        <v>수동</v>
      </c>
      <c r="AG17" s="9" t="str">
        <f>IF(AE17=0,"-",IF(A17&gt;='01_Inputs'!$B$46,"ARS","수동"))</f>
        <v>-</v>
      </c>
      <c r="AH17" s="14">
        <f>IF(AD17=0,0,IF(AF17="수동",AD17*'01_Inputs'!$B$34,IF(ISNUMBER('01_Inputs'!$B$36),AD17*'01_Inputs'!$B$36,"미확인")))</f>
        <v>32</v>
      </c>
      <c r="AI17" s="14">
        <f>IF(AE17=0,0,IF(AG17="수동",IF(ISNUMBER('01_Inputs'!$B$35),AE17*'01_Inputs'!$B$35,"미확인"),IF(ISNUMBER('01_Inputs'!$B$37),AE17*'01_Inputs'!$B$37,"미확인")))</f>
        <v>0</v>
      </c>
      <c r="AJ17" s="14">
        <f>IF(AND(ISNUMBER(AH17),ISNUMBER(AI17)),AH17+AI17,"부분 "&amp;TEXT(N(AH17)+N(AI17),"0")&amp;" h + 미확인")</f>
        <v>32</v>
      </c>
      <c r="AK17" s="14">
        <f>(AD17+AE17)*'01_Inputs'!$B$38</f>
        <v>32</v>
      </c>
      <c r="AL17" s="14">
        <f>(AD17+AE17)*'01_Inputs'!$B$33</f>
        <v>8</v>
      </c>
      <c r="AM17" s="14" t="str">
        <f>IF(ISNUMBER('01_Inputs'!$B$86),'01_Inputs'!$B$86,"미확인")</f>
        <v>미확인</v>
      </c>
      <c r="AN17" s="14" t="str">
        <f>IF(ISNUMBER(AM17),AM17-AB17,"미확인")</f>
        <v>미확인</v>
      </c>
      <c r="AO17" s="32">
        <f>T17-Y17</f>
        <v>203.333333333333</v>
      </c>
      <c r="AP17" s="32">
        <f>IF(ISNUMBER(S17),S17-Y17,"미확인")</f>
        <v>110</v>
      </c>
      <c r="AQ17" s="32">
        <f>IF(AND(ISNUMBER(AP17),ISNUMBER(AQ16)),AQ16+AP17,"보류")</f>
        <v>5290</v>
      </c>
      <c r="AR17" s="32" t="str">
        <f>IF(ISNUMBER(AZ16),AZ16,"보류")</f>
        <v>보류</v>
      </c>
      <c r="AS17" s="32" t="str">
        <f>IF(AND(ISNUMBER(AR17),ISNUMBER(S17)),AR17+S17,"보류")</f>
        <v>보류</v>
      </c>
      <c r="AT17" s="32" t="str">
        <f>IF(ISNUMBER(AS17),MIN(AS17,U17),"보류")</f>
        <v>보류</v>
      </c>
      <c r="AU17" s="32" t="str">
        <f>IF(ISNUMBER(AS17),MIN(AS17-AT17,N('01_Inputs'!$B$103)),"보류")</f>
        <v>보류</v>
      </c>
      <c r="AV17" s="32" t="str">
        <f>IF(ISNUMBER(AS17),IF((N(V17)+N(W17)+N(X17))=0,0,MIN(N(V17),(AS17-AT17-AU17)*N(V17)/(N(V17)+N(W17)+N(X17)))),"보류")</f>
        <v>보류</v>
      </c>
      <c r="AW17" s="32" t="str">
        <f>IF(ISNUMBER(AS17),IF((N(V17)+N(W17)+N(X17))=0,0,MIN(N(W17),(AS17-AT17-AU17)*N(W17)/(N(V17)+N(W17)+N(X17)))),"보류")</f>
        <v>보류</v>
      </c>
      <c r="AX17" s="32" t="str">
        <f>IF(ISNUMBER(AS17),IF((N(V17)+N(W17)+N(X17))=0,0,MIN(N(X17),(AS17-AT17-AU17)*N(X17)/(N(V17)+N(W17)+N(X17)))),"보류")</f>
        <v>보류</v>
      </c>
      <c r="AY17" s="32" t="str">
        <f>IF(ISNUMBER(AS17),Y17-AT17-AV17-AW17-AX17,"보류")</f>
        <v>보류</v>
      </c>
      <c r="AZ17" s="36" t="str">
        <f>IF(ISNUMBER(AS17),AS17-AT17-AV17-AW17-AX17,"보류")</f>
        <v>보류</v>
      </c>
      <c r="BA17" s="32" t="str">
        <f>IF(ISNUMBER('01_Inputs'!$B$104),'01_Inputs'!$B$104,"미입력")</f>
        <v>미입력</v>
      </c>
      <c r="BB17" s="32" t="str">
        <f>IF(AND(ISNUMBER(AR17),ISNUMBER(BA17)),Y17+BA17-AR17,"보류")</f>
        <v>보류</v>
      </c>
      <c r="BC17" s="32" t="str">
        <f>IF(AND(ISNUMBER(AZ17),ISNUMBER(BA17)),AZ17-BA17,"보류")</f>
        <v>보류</v>
      </c>
      <c r="BD17" s="9" t="str">
        <f>IF(ISNUMBER(AZ17),"계산 가능",IF(ISNUMBER(AP17),"부분 (재고 입력 필요)","보류 (생산 조건 미확인)"))</f>
        <v>부분 (재고 입력 필요)</v>
      </c>
      <c r="BE17" s="9" t="str">
        <f>IF(D17="개선 (2대)",IF(ISNUMBER('01_Inputs'!$B$82),"","설비별 간격·"),"")&amp;IF(D17="개선 (2대·105℃)",IF(ISNUMBER('01_Inputs'!$B$77),"","105℃ 간격·"),"")&amp;IF(ISNUMBER(N17),"","실적·")&amp;IF(ISNUMBER('01_Inputs'!$B$105),"","양품률(100% 상한)·")&amp;IF(COUNTIF(U17:X17,"미제시")&gt;0,"고객 물량 미제시·","")&amp;IF(ISNUMBER(AJ17),"","200 L 충진시간·")&amp;IF(ISNUMBER('01_Inputs'!$B$86),"","글로브 박스 가용·")&amp;IF(ISNUMBER('01_Inputs'!$B$102),"","기초재고·")</f>
        <v>실적·양품률(100% 상한)·고객 물량 미제시·글로브 박스 가용·기초재고·</v>
      </c>
    </row>
    <row r="18">
      <c r="A18" s="55" t="n">
        <v>46388</v>
      </c>
      <c r="B18" s="15">
        <f>YEAR(A18)</f>
        <v>2027</v>
      </c>
      <c r="C18" s="15">
        <f>DAY(EOMONTH(A18,0))</f>
        <v>31</v>
      </c>
      <c r="D18" s="9" t="str">
        <f>IF(AND(YEAR(A18)&gt;=2027,MONTH(A18)='01_Inputs'!$B$69),"대정비",IF(A18&lt;'01_Inputs'!$B$80,"현재 (1대)",IF(AND(ISNUMBER('01_Inputs'!$B$76),A18&gt;='01_Inputs'!$B$76),"개선 (2대·105℃)","개선 (2대)")))</f>
        <v>현재 (1대)</v>
      </c>
      <c r="E18" s="15">
        <f>IF(LEFT(D18,2)="개선",'01_Inputs'!$B$8,'01_Inputs'!$B$7)</f>
        <v>1</v>
      </c>
      <c r="F18" s="56" t="n"/>
      <c r="G18" s="14">
        <f>IF(D18="대정비","대정비",E18*C18*24-N(F18))</f>
        <v>744</v>
      </c>
      <c r="H18" s="30">
        <f>IF(D18="현재 (1대)",'03_Capacity_Model'!$B$80,IF(D18="개선 (2대)",IF(ISNUMBER('01_Inputs'!$B$82),'01_Inputs'!$B$82,"미확인"),IF(D18="개선 (2대·105℃)",IF(ISNUMBER('01_Inputs'!$B$77),'01_Inputs'!$B$77,"미확인"),"-")))</f>
        <v>67.4716981132076</v>
      </c>
      <c r="I18" s="14">
        <f>IF(AND(ISNUMBER(K17),D17=D18),K17,0)</f>
        <v>56.1509433962257</v>
      </c>
      <c r="J18" s="45">
        <f>IF(AND(ISNUMBER(G18),ISNUMBER(H18)),INT((G18+I18)/H18),IF(D18="대정비","대정비","미확인"))</f>
        <v>11</v>
      </c>
      <c r="K18" s="14">
        <f>IF(AND(ISNUMBER(G18),ISNUMBER(H18),ISNUMBER(J18)),G18+I18-J18*H18,"")</f>
        <v>57.9622641509426</v>
      </c>
      <c r="L18" s="19">
        <f>IF(COUNTIFS('02_Batch_Raw'!$E$6:$E$99,"&gt;="&amp;A18,'02_Batch_Raw'!$E$6:$E$99,"&lt;="&amp;EOMONTH(A18,0))=0,"",COUNTIFS('02_Batch_Raw'!$E$6:$E$99,"&gt;="&amp;A18,'02_Batch_Raw'!$E$6:$E$99,"&lt;="&amp;EOMONTH(A18,0)))</f>
      </c>
      <c r="M18" s="19">
        <f>""</f>
      </c>
      <c r="N18" s="57" t="n"/>
      <c r="O18" s="15">
        <f>IF(ISNUMBER(N18),N18,IF(ISNUMBER('P4_2027_월별'!$C$6),'P4_2027_월별'!$C$6/Q18,J18))</f>
        <v>11.4631578947368</v>
      </c>
      <c r="P18" s="9" t="str">
        <f>IF(ISNUMBER(N18),"실적 입력",IF(ISNUMBER('P4_2027_월별'!$C$6),"확정 계획","미확인"))</f>
        <v>확정 계획</v>
      </c>
      <c r="Q18" s="25">
        <f>IF(LEFT(D18,2)="개선",IF(ISNUMBER('01_Inputs'!$B$61),'01_Inputs'!$B$61,'01_Inputs'!$B$49),'01_Inputs'!$B$49)</f>
        <v>190</v>
      </c>
      <c r="R18" s="25">
        <f>IF(ISNUMBER(N18),N18*Q18,IF(ISNUMBER('P4_2027_월별'!$C$6),'P4_2027_월별'!$C$6,IF(ISNUMBER(O18),O18*Q18,"미확인")))</f>
        <v>2178</v>
      </c>
      <c r="S18" s="40">
        <f>IF(ISNUMBER(R18),R18*IF(ISNUMBER('01_Inputs'!$B$105),'01_Inputs'!$B$105,1),"미확인")</f>
        <v>2178</v>
      </c>
      <c r="T18" s="32">
        <f>IF(D18="대정비",'01_Inputs'!$B$70,IF(D18="개선 (2대·105℃)",'01_Inputs'!$B$72,IF(D18="개선 (2대)",'01_Inputs'!$B$71,'01_Inputs'!$B$63*1000/12)))</f>
        <v>2183.33333333333</v>
      </c>
      <c r="U18" s="31">
        <f>IF(ISNUMBER('01_Inputs'!$C$118),'01_Inputs'!$C$118,"미제시")</f>
        <v>1893.33333333333</v>
      </c>
      <c r="V18" s="31">
        <f>IF(ISNUMBER('01_Inputs'!$C$119),'01_Inputs'!$C$119,"미제시")</f>
        <v>0</v>
      </c>
      <c r="W18" s="31">
        <f>IF(ISNUMBER('01_Inputs'!$C$120),'01_Inputs'!$C$120,"미제시")</f>
        <v>560</v>
      </c>
      <c r="X18" s="31">
        <f>IF(ISNUMBER('01_Inputs'!$C$121),'01_Inputs'!$C$121,"미제시")</f>
        <v>300</v>
      </c>
      <c r="Y18" s="36">
        <f>SUM(U18:X18)</f>
        <v>2753.33333333333</v>
      </c>
      <c r="Z18" s="52">
        <f>Y18/Q18</f>
        <v>14.4912280701754</v>
      </c>
      <c r="AA18" s="52">
        <f>(N(U18)+N(V18))/'01_Inputs'!$B$42</f>
        <v>94.6666666666667</v>
      </c>
      <c r="AB18" s="14">
        <f>AA18*'01_Inputs'!$B$28</f>
        <v>189.333333333333</v>
      </c>
      <c r="AC18" s="14">
        <f>AA18/'01_Inputs'!$B$29*'01_Inputs'!$B$32</f>
        <v>21.037037037037</v>
      </c>
      <c r="AD18" s="52">
        <f>N(W18)/'01_Inputs'!$B$43</f>
        <v>4</v>
      </c>
      <c r="AE18" s="52">
        <f>N(X18)/'01_Inputs'!$B$44</f>
        <v>2</v>
      </c>
      <c r="AF18" s="9" t="str">
        <f>IF(AD18=0,"-",IF(A18&gt;='01_Inputs'!$B$47,"ARS","수동"))</f>
        <v>수동</v>
      </c>
      <c r="AG18" s="9" t="str">
        <f>IF(AE18=0,"-",IF(A18&gt;='01_Inputs'!$B$46,"ARS","수동"))</f>
        <v>수동</v>
      </c>
      <c r="AH18" s="14">
        <f>IF(AD18=0,0,IF(AF18="수동",AD18*'01_Inputs'!$B$34,IF(ISNUMBER('01_Inputs'!$B$36),AD18*'01_Inputs'!$B$36,"미확인")))</f>
        <v>32</v>
      </c>
      <c r="AI18" s="14" t="str">
        <f>IF(AE18=0,0,IF(AG18="수동",IF(ISNUMBER('01_Inputs'!$B$35),AE18*'01_Inputs'!$B$35,"미확인"),IF(ISNUMBER('01_Inputs'!$B$37),AE18*'01_Inputs'!$B$37,"미확인")))</f>
        <v>미확인</v>
      </c>
      <c r="AJ18" s="14" t="str">
        <f>IF(AND(ISNUMBER(AH18),ISNUMBER(AI18)),AH18+AI18,"부분 "&amp;TEXT(N(AH18)+N(AI18),"0")&amp;" h + 미확인")</f>
        <v>부분 32 h + 미확인</v>
      </c>
      <c r="AK18" s="14">
        <f>(AD18+AE18)*'01_Inputs'!$B$38</f>
        <v>48</v>
      </c>
      <c r="AL18" s="14">
        <f>(AD18+AE18)*'01_Inputs'!$B$33</f>
        <v>12</v>
      </c>
      <c r="AM18" s="14" t="str">
        <f>IF(ISNUMBER('01_Inputs'!$B$86),'01_Inputs'!$B$86,"미확인")</f>
        <v>미확인</v>
      </c>
      <c r="AN18" s="14" t="str">
        <f>IF(ISNUMBER(AM18),AM18-AB18,"미확인")</f>
        <v>미확인</v>
      </c>
      <c r="AO18" s="32">
        <f>T18-Y18</f>
        <v>-570</v>
      </c>
      <c r="AP18" s="32">
        <f>IF(ISNUMBER(S18),S18-Y18,"미확인")</f>
        <v>-575.333333333333</v>
      </c>
      <c r="AQ18" s="32">
        <f>IF(ISNUMBER(AP18),AP18,"보류")</f>
        <v>-575.333333333333</v>
      </c>
      <c r="AR18" s="32" t="str">
        <f>IF(ISNUMBER(AZ17),AZ17,"보류")</f>
        <v>보류</v>
      </c>
      <c r="AS18" s="32" t="str">
        <f>IF(AND(ISNUMBER(AR18),ISNUMBER(S18)),AR18+S18,"보류")</f>
        <v>보류</v>
      </c>
      <c r="AT18" s="32" t="str">
        <f>IF(ISNUMBER(AS18),MIN(AS18,U18),"보류")</f>
        <v>보류</v>
      </c>
      <c r="AU18" s="32" t="str">
        <f>IF(ISNUMBER(AS18),MIN(AS18-AT18,N('01_Inputs'!$B$103)),"보류")</f>
        <v>보류</v>
      </c>
      <c r="AV18" s="32" t="str">
        <f>IF(ISNUMBER(AS18),IF((N(V18)+N(W18)+N(X18))=0,0,MIN(N(V18),(AS18-AT18-AU18)*N(V18)/(N(V18)+N(W18)+N(X18)))),"보류")</f>
        <v>보류</v>
      </c>
      <c r="AW18" s="32" t="str">
        <f>IF(ISNUMBER(AS18),IF((N(V18)+N(W18)+N(X18))=0,0,MIN(N(W18),(AS18-AT18-AU18)*N(W18)/(N(V18)+N(W18)+N(X18)))),"보류")</f>
        <v>보류</v>
      </c>
      <c r="AX18" s="32" t="str">
        <f>IF(ISNUMBER(AS18),IF((N(V18)+N(W18)+N(X18))=0,0,MIN(N(X18),(AS18-AT18-AU18)*N(X18)/(N(V18)+N(W18)+N(X18)))),"보류")</f>
        <v>보류</v>
      </c>
      <c r="AY18" s="32" t="str">
        <f>IF(ISNUMBER(AS18),Y18-AT18-AV18-AW18-AX18,"보류")</f>
        <v>보류</v>
      </c>
      <c r="AZ18" s="36" t="str">
        <f>IF(ISNUMBER(AS18),AS18-AT18-AV18-AW18-AX18,"보류")</f>
        <v>보류</v>
      </c>
      <c r="BA18" s="32" t="str">
        <f>IF(ISNUMBER('01_Inputs'!$B$104),'01_Inputs'!$B$104,"미입력")</f>
        <v>미입력</v>
      </c>
      <c r="BB18" s="32" t="str">
        <f>IF(AND(ISNUMBER(AR18),ISNUMBER(BA18)),Y18+BA18-AR18,"보류")</f>
        <v>보류</v>
      </c>
      <c r="BC18" s="32" t="str">
        <f>IF(AND(ISNUMBER(AZ18),ISNUMBER(BA18)),AZ18-BA18,"보류")</f>
        <v>보류</v>
      </c>
      <c r="BD18" s="9" t="str">
        <f>IF(ISNUMBER(AZ18),"계산 가능",IF(ISNUMBER(AP18),"부분 (재고 입력 필요)","보류 (생산 조건 미확인)"))</f>
        <v>부분 (재고 입력 필요)</v>
      </c>
      <c r="BE18" s="9" t="str">
        <f>IF(D18="대정비","대정비 범위·","")&amp;IF(D18="개선 (2대·105℃)","105℃ 품질 검증·","")&amp;IF(ISNUMBER('01_Inputs'!$B$105),"","양품률(100% 상한)·")&amp;IF(COUNTIF(U18:X18,"미제시")&gt;0,"고객 물량 미제시·","")&amp;IF(ISNUMBER(AJ18),"","200 L 충진시간·")&amp;IF(ISNUMBER('01_Inputs'!$B$86),"","글로브 박스 가용·")&amp;IF(ISNUMBER('01_Inputs'!$B$102),"","기초재고·")</f>
        <v>양품률(100% 상한)·200 L 충진시간·글로브 박스 가용·기초재고·</v>
      </c>
    </row>
    <row r="19">
      <c r="A19" s="55" t="n">
        <v>46419</v>
      </c>
      <c r="B19" s="15">
        <f>YEAR(A19)</f>
        <v>2027</v>
      </c>
      <c r="C19" s="15">
        <f>DAY(EOMONTH(A19,0))</f>
        <v>28</v>
      </c>
      <c r="D19" s="9" t="str">
        <f>IF(AND(YEAR(A19)&gt;=2027,MONTH(A19)='01_Inputs'!$B$69),"대정비",IF(A19&lt;'01_Inputs'!$B$80,"현재 (1대)",IF(AND(ISNUMBER('01_Inputs'!$B$76),A19&gt;='01_Inputs'!$B$76),"개선 (2대·105℃)","개선 (2대)")))</f>
        <v>현재 (1대)</v>
      </c>
      <c r="E19" s="15">
        <f>IF(LEFT(D19,2)="개선",'01_Inputs'!$B$8,'01_Inputs'!$B$7)</f>
        <v>1</v>
      </c>
      <c r="F19" s="56" t="n"/>
      <c r="G19" s="14">
        <f>IF(D19="대정비","대정비",E19*C19*24-N(F19))</f>
        <v>672</v>
      </c>
      <c r="H19" s="30">
        <f>IF(D19="현재 (1대)",'03_Capacity_Model'!$B$80,IF(D19="개선 (2대)",IF(ISNUMBER('01_Inputs'!$B$82),'01_Inputs'!$B$82,"미확인"),IF(D19="개선 (2대·105℃)",IF(ISNUMBER('01_Inputs'!$B$77),'01_Inputs'!$B$77,"미확인"),"-")))</f>
        <v>67.4716981132076</v>
      </c>
      <c r="I19" s="14">
        <f>IF(AND(ISNUMBER(K18),D18=D19),K18,0)</f>
        <v>57.9622641509426</v>
      </c>
      <c r="J19" s="45">
        <f>IF(AND(ISNUMBER(G19),ISNUMBER(H19)),INT((G19+I19)/H19),IF(D19="대정비","대정비","미확인"))</f>
        <v>10</v>
      </c>
      <c r="K19" s="14">
        <f>IF(AND(ISNUMBER(G19),ISNUMBER(H19),ISNUMBER(J19)),G19+I19-J19*H19,"")</f>
        <v>55.2452830188671</v>
      </c>
      <c r="L19" s="19">
        <f>IF(COUNTIFS('02_Batch_Raw'!$E$6:$E$99,"&gt;="&amp;A19,'02_Batch_Raw'!$E$6:$E$99,"&lt;="&amp;EOMONTH(A19,0))=0,"",COUNTIFS('02_Batch_Raw'!$E$6:$E$99,"&gt;="&amp;A19,'02_Batch_Raw'!$E$6:$E$99,"&lt;="&amp;EOMONTH(A19,0)))</f>
      </c>
      <c r="M19" s="19">
        <f>""</f>
      </c>
      <c r="N19" s="57" t="n"/>
      <c r="O19" s="15">
        <f>IF(ISNUMBER(N19),N19,IF(ISNUMBER('P4_2027_월별'!$D$6),'P4_2027_월별'!$D$6/Q19,J19))</f>
        <v>11.4631578947368</v>
      </c>
      <c r="P19" s="9" t="str">
        <f>IF(ISNUMBER(N19),"실적 입력",IF(ISNUMBER('P4_2027_월별'!$D$6),"확정 계획","미확인"))</f>
        <v>확정 계획</v>
      </c>
      <c r="Q19" s="25">
        <f>IF(LEFT(D19,2)="개선",IF(ISNUMBER('01_Inputs'!$B$61),'01_Inputs'!$B$61,'01_Inputs'!$B$49),'01_Inputs'!$B$49)</f>
        <v>190</v>
      </c>
      <c r="R19" s="25">
        <f>IF(ISNUMBER(N19),N19*Q19,IF(ISNUMBER('P4_2027_월별'!$D$6),'P4_2027_월별'!$D$6,IF(ISNUMBER(O19),O19*Q19,"미확인")))</f>
        <v>2178</v>
      </c>
      <c r="S19" s="40">
        <f>IF(ISNUMBER(R19),R19*IF(ISNUMBER('01_Inputs'!$B$105),'01_Inputs'!$B$105,1),"미확인")</f>
        <v>2178</v>
      </c>
      <c r="T19" s="32">
        <f>IF(D19="대정비",'01_Inputs'!$B$70,IF(D19="개선 (2대·105℃)",'01_Inputs'!$B$72,IF(D19="개선 (2대)",'01_Inputs'!$B$71,'01_Inputs'!$B$63*1000/12)))</f>
        <v>2183.33333333333</v>
      </c>
      <c r="U19" s="31">
        <f>IF(ISNUMBER('01_Inputs'!$D$118),'01_Inputs'!$D$118,"미제시")</f>
        <v>1893.33333333333</v>
      </c>
      <c r="V19" s="31">
        <f>IF(ISNUMBER('01_Inputs'!$D$119),'01_Inputs'!$D$119,"미제시")</f>
        <v>0</v>
      </c>
      <c r="W19" s="31">
        <f>IF(ISNUMBER('01_Inputs'!$D$120),'01_Inputs'!$D$120,"미제시")</f>
        <v>560</v>
      </c>
      <c r="X19" s="31">
        <f>IF(ISNUMBER('01_Inputs'!$D$121),'01_Inputs'!$D$121,"미제시")</f>
        <v>300</v>
      </c>
      <c r="Y19" s="36">
        <f>SUM(U19:X19)</f>
        <v>2753.33333333333</v>
      </c>
      <c r="Z19" s="52">
        <f>Y19/Q19</f>
        <v>14.4912280701754</v>
      </c>
      <c r="AA19" s="52">
        <f>(N(U19)+N(V19))/'01_Inputs'!$B$42</f>
        <v>94.6666666666667</v>
      </c>
      <c r="AB19" s="14">
        <f>AA19*'01_Inputs'!$B$28</f>
        <v>189.333333333333</v>
      </c>
      <c r="AC19" s="14">
        <f>AA19/'01_Inputs'!$B$29*'01_Inputs'!$B$32</f>
        <v>21.037037037037</v>
      </c>
      <c r="AD19" s="52">
        <f>N(W19)/'01_Inputs'!$B$43</f>
        <v>4</v>
      </c>
      <c r="AE19" s="52">
        <f>N(X19)/'01_Inputs'!$B$44</f>
        <v>2</v>
      </c>
      <c r="AF19" s="9" t="str">
        <f>IF(AD19=0,"-",IF(A19&gt;='01_Inputs'!$B$47,"ARS","수동"))</f>
        <v>수동</v>
      </c>
      <c r="AG19" s="9" t="str">
        <f>IF(AE19=0,"-",IF(A19&gt;='01_Inputs'!$B$46,"ARS","수동"))</f>
        <v>수동</v>
      </c>
      <c r="AH19" s="14">
        <f>IF(AD19=0,0,IF(AF19="수동",AD19*'01_Inputs'!$B$34,IF(ISNUMBER('01_Inputs'!$B$36),AD19*'01_Inputs'!$B$36,"미확인")))</f>
        <v>32</v>
      </c>
      <c r="AI19" s="14" t="str">
        <f>IF(AE19=0,0,IF(AG19="수동",IF(ISNUMBER('01_Inputs'!$B$35),AE19*'01_Inputs'!$B$35,"미확인"),IF(ISNUMBER('01_Inputs'!$B$37),AE19*'01_Inputs'!$B$37,"미확인")))</f>
        <v>미확인</v>
      </c>
      <c r="AJ19" s="14" t="str">
        <f>IF(AND(ISNUMBER(AH19),ISNUMBER(AI19)),AH19+AI19,"부분 "&amp;TEXT(N(AH19)+N(AI19),"0")&amp;" h + 미확인")</f>
        <v>부분 32 h + 미확인</v>
      </c>
      <c r="AK19" s="14">
        <f>(AD19+AE19)*'01_Inputs'!$B$38</f>
        <v>48</v>
      </c>
      <c r="AL19" s="14">
        <f>(AD19+AE19)*'01_Inputs'!$B$33</f>
        <v>12</v>
      </c>
      <c r="AM19" s="14" t="str">
        <f>IF(ISNUMBER('01_Inputs'!$B$86),'01_Inputs'!$B$86,"미확인")</f>
        <v>미확인</v>
      </c>
      <c r="AN19" s="14" t="str">
        <f>IF(ISNUMBER(AM19),AM19-AB19,"미확인")</f>
        <v>미확인</v>
      </c>
      <c r="AO19" s="32">
        <f>T19-Y19</f>
        <v>-570</v>
      </c>
      <c r="AP19" s="32">
        <f>IF(ISNUMBER(S19),S19-Y19,"미확인")</f>
        <v>-575.333333333333</v>
      </c>
      <c r="AQ19" s="32">
        <f>IF(AND(ISNUMBER(AP19),ISNUMBER(AQ18)),AQ18+AP19,"보류")</f>
        <v>-1150.66666666667</v>
      </c>
      <c r="AR19" s="32" t="str">
        <f>IF(ISNUMBER(AZ18),AZ18,"보류")</f>
        <v>보류</v>
      </c>
      <c r="AS19" s="32" t="str">
        <f>IF(AND(ISNUMBER(AR19),ISNUMBER(S19)),AR19+S19,"보류")</f>
        <v>보류</v>
      </c>
      <c r="AT19" s="32" t="str">
        <f>IF(ISNUMBER(AS19),MIN(AS19,U19),"보류")</f>
        <v>보류</v>
      </c>
      <c r="AU19" s="32" t="str">
        <f>IF(ISNUMBER(AS19),MIN(AS19-AT19,N('01_Inputs'!$B$103)),"보류")</f>
        <v>보류</v>
      </c>
      <c r="AV19" s="32" t="str">
        <f>IF(ISNUMBER(AS19),IF((N(V19)+N(W19)+N(X19))=0,0,MIN(N(V19),(AS19-AT19-AU19)*N(V19)/(N(V19)+N(W19)+N(X19)))),"보류")</f>
        <v>보류</v>
      </c>
      <c r="AW19" s="32" t="str">
        <f>IF(ISNUMBER(AS19),IF((N(V19)+N(W19)+N(X19))=0,0,MIN(N(W19),(AS19-AT19-AU19)*N(W19)/(N(V19)+N(W19)+N(X19)))),"보류")</f>
        <v>보류</v>
      </c>
      <c r="AX19" s="32" t="str">
        <f>IF(ISNUMBER(AS19),IF((N(V19)+N(W19)+N(X19))=0,0,MIN(N(X19),(AS19-AT19-AU19)*N(X19)/(N(V19)+N(W19)+N(X19)))),"보류")</f>
        <v>보류</v>
      </c>
      <c r="AY19" s="32" t="str">
        <f>IF(ISNUMBER(AS19),Y19-AT19-AV19-AW19-AX19,"보류")</f>
        <v>보류</v>
      </c>
      <c r="AZ19" s="36" t="str">
        <f>IF(ISNUMBER(AS19),AS19-AT19-AV19-AW19-AX19,"보류")</f>
        <v>보류</v>
      </c>
      <c r="BA19" s="32" t="str">
        <f>IF(ISNUMBER('01_Inputs'!$B$104),'01_Inputs'!$B$104,"미입력")</f>
        <v>미입력</v>
      </c>
      <c r="BB19" s="32" t="str">
        <f>IF(AND(ISNUMBER(AR19),ISNUMBER(BA19)),Y19+BA19-AR19,"보류")</f>
        <v>보류</v>
      </c>
      <c r="BC19" s="32" t="str">
        <f>IF(AND(ISNUMBER(AZ19),ISNUMBER(BA19)),AZ19-BA19,"보류")</f>
        <v>보류</v>
      </c>
      <c r="BD19" s="9" t="str">
        <f>IF(ISNUMBER(AZ19),"계산 가능",IF(ISNUMBER(AP19),"부분 (재고 입력 필요)","보류 (생산 조건 미확인)"))</f>
        <v>부분 (재고 입력 필요)</v>
      </c>
      <c r="BE19" s="9" t="str">
        <f>IF(D19="대정비","대정비 범위·","")&amp;IF(D19="개선 (2대·105℃)","105℃ 품질 검증·","")&amp;IF(ISNUMBER('01_Inputs'!$B$105),"","양품률(100% 상한)·")&amp;IF(COUNTIF(U19:X19,"미제시")&gt;0,"고객 물량 미제시·","")&amp;IF(ISNUMBER(AJ19),"","200 L 충진시간·")&amp;IF(ISNUMBER('01_Inputs'!$B$86),"","글로브 박스 가용·")&amp;IF(ISNUMBER('01_Inputs'!$B$102),"","기초재고·")</f>
        <v>양품률(100% 상한)·200 L 충진시간·글로브 박스 가용·기초재고·</v>
      </c>
    </row>
    <row r="20">
      <c r="A20" s="55" t="n">
        <v>46447</v>
      </c>
      <c r="B20" s="15">
        <f>YEAR(A20)</f>
        <v>2027</v>
      </c>
      <c r="C20" s="15">
        <f>DAY(EOMONTH(A20,0))</f>
        <v>31</v>
      </c>
      <c r="D20" s="9" t="str">
        <f>IF(AND(YEAR(A20)&gt;=2027,MONTH(A20)='01_Inputs'!$B$69),"대정비",IF(A20&lt;'01_Inputs'!$B$80,"현재 (1대)",IF(AND(ISNUMBER('01_Inputs'!$B$76),A20&gt;='01_Inputs'!$B$76),"개선 (2대·105℃)","개선 (2대)")))</f>
        <v>현재 (1대)</v>
      </c>
      <c r="E20" s="15">
        <f>IF(LEFT(D20,2)="개선",'01_Inputs'!$B$8,'01_Inputs'!$B$7)</f>
        <v>1</v>
      </c>
      <c r="F20" s="56" t="n"/>
      <c r="G20" s="14">
        <f>IF(D20="대정비","대정비",E20*C20*24-N(F20))</f>
        <v>744</v>
      </c>
      <c r="H20" s="30">
        <f>IF(D20="현재 (1대)",'03_Capacity_Model'!$B$80,IF(D20="개선 (2대)",IF(ISNUMBER('01_Inputs'!$B$82),'01_Inputs'!$B$82,"미확인"),IF(D20="개선 (2대·105℃)",IF(ISNUMBER('01_Inputs'!$B$77),'01_Inputs'!$B$77,"미확인"),"-")))</f>
        <v>67.4716981132076</v>
      </c>
      <c r="I20" s="14">
        <f>IF(AND(ISNUMBER(K19),D19=D20),K19,0)</f>
        <v>55.2452830188671</v>
      </c>
      <c r="J20" s="45">
        <f>IF(AND(ISNUMBER(G20),ISNUMBER(H20)),INT((G20+I20)/H20),IF(D20="대정비","대정비","미확인"))</f>
        <v>11</v>
      </c>
      <c r="K20" s="14">
        <f>IF(AND(ISNUMBER(G20),ISNUMBER(H20),ISNUMBER(J20)),G20+I20-J20*H20,"")</f>
        <v>57.056603773584</v>
      </c>
      <c r="L20" s="19">
        <f>IF(COUNTIFS('02_Batch_Raw'!$E$6:$E$99,"&gt;="&amp;A20,'02_Batch_Raw'!$E$6:$E$99,"&lt;="&amp;EOMONTH(A20,0))=0,"",COUNTIFS('02_Batch_Raw'!$E$6:$E$99,"&gt;="&amp;A20,'02_Batch_Raw'!$E$6:$E$99,"&lt;="&amp;EOMONTH(A20,0)))</f>
      </c>
      <c r="M20" s="19">
        <f>""</f>
      </c>
      <c r="N20" s="57" t="n"/>
      <c r="O20" s="15">
        <f>IF(ISNUMBER(N20),N20,IF(ISNUMBER('P4_2027_월별'!$E$6),'P4_2027_월별'!$E$6/Q20,J20))</f>
        <v>16.6736842105263</v>
      </c>
      <c r="P20" s="9" t="str">
        <f>IF(ISNUMBER(N20),"실적 입력",IF(ISNUMBER('P4_2027_월별'!$E$6),"확정 계획","미확인"))</f>
        <v>확정 계획</v>
      </c>
      <c r="Q20" s="25">
        <f>IF(LEFT(D20,2)="개선",IF(ISNUMBER('01_Inputs'!$B$61),'01_Inputs'!$B$61,'01_Inputs'!$B$49),'01_Inputs'!$B$49)</f>
        <v>190</v>
      </c>
      <c r="R20" s="25">
        <f>IF(ISNUMBER(N20),N20*Q20,IF(ISNUMBER('P4_2027_월별'!$E$6),'P4_2027_월별'!$E$6,IF(ISNUMBER(O20),O20*Q20,"미확인")))</f>
        <v>3168</v>
      </c>
      <c r="S20" s="40">
        <f>IF(ISNUMBER(R20),R20*IF(ISNUMBER('01_Inputs'!$B$105),'01_Inputs'!$B$105,1),"미확인")</f>
        <v>3168</v>
      </c>
      <c r="T20" s="32">
        <f>IF(D20="대정비",'01_Inputs'!$B$70,IF(D20="개선 (2대·105℃)",'01_Inputs'!$B$72,IF(D20="개선 (2대)",'01_Inputs'!$B$71,'01_Inputs'!$B$63*1000/12)))</f>
        <v>2183.33333333333</v>
      </c>
      <c r="U20" s="31">
        <f>IF(ISNUMBER('01_Inputs'!$E$118),'01_Inputs'!$E$118,"미제시")</f>
        <v>1893.33333333333</v>
      </c>
      <c r="V20" s="31">
        <f>IF(ISNUMBER('01_Inputs'!$E$119),'01_Inputs'!$E$119,"미제시")</f>
        <v>580</v>
      </c>
      <c r="W20" s="31">
        <f>IF(ISNUMBER('01_Inputs'!$E$120),'01_Inputs'!$E$120,"미제시")</f>
        <v>560</v>
      </c>
      <c r="X20" s="31">
        <f>IF(ISNUMBER('01_Inputs'!$E$121),'01_Inputs'!$E$121,"미제시")</f>
        <v>300</v>
      </c>
      <c r="Y20" s="36">
        <f>SUM(U20:X20)</f>
        <v>3333.33333333333</v>
      </c>
      <c r="Z20" s="52">
        <f>Y20/Q20</f>
        <v>17.5438596491228</v>
      </c>
      <c r="AA20" s="52">
        <f>(N(U20)+N(V20))/'01_Inputs'!$B$42</f>
        <v>123.666666666667</v>
      </c>
      <c r="AB20" s="14">
        <f>AA20*'01_Inputs'!$B$28</f>
        <v>247.333333333333</v>
      </c>
      <c r="AC20" s="14">
        <f>AA20/'01_Inputs'!$B$29*'01_Inputs'!$B$32</f>
        <v>27.4814814814815</v>
      </c>
      <c r="AD20" s="52">
        <f>N(W20)/'01_Inputs'!$B$43</f>
        <v>4</v>
      </c>
      <c r="AE20" s="52">
        <f>N(X20)/'01_Inputs'!$B$44</f>
        <v>2</v>
      </c>
      <c r="AF20" s="9" t="str">
        <f>IF(AD20=0,"-",IF(A20&gt;='01_Inputs'!$B$47,"ARS","수동"))</f>
        <v>수동</v>
      </c>
      <c r="AG20" s="9" t="str">
        <f>IF(AE20=0,"-",IF(A20&gt;='01_Inputs'!$B$46,"ARS","수동"))</f>
        <v>수동</v>
      </c>
      <c r="AH20" s="14">
        <f>IF(AD20=0,0,IF(AF20="수동",AD20*'01_Inputs'!$B$34,IF(ISNUMBER('01_Inputs'!$B$36),AD20*'01_Inputs'!$B$36,"미확인")))</f>
        <v>32</v>
      </c>
      <c r="AI20" s="14" t="str">
        <f>IF(AE20=0,0,IF(AG20="수동",IF(ISNUMBER('01_Inputs'!$B$35),AE20*'01_Inputs'!$B$35,"미확인"),IF(ISNUMBER('01_Inputs'!$B$37),AE20*'01_Inputs'!$B$37,"미확인")))</f>
        <v>미확인</v>
      </c>
      <c r="AJ20" s="14" t="str">
        <f>IF(AND(ISNUMBER(AH20),ISNUMBER(AI20)),AH20+AI20,"부분 "&amp;TEXT(N(AH20)+N(AI20),"0")&amp;" h + 미확인")</f>
        <v>부분 32 h + 미확인</v>
      </c>
      <c r="AK20" s="14">
        <f>(AD20+AE20)*'01_Inputs'!$B$38</f>
        <v>48</v>
      </c>
      <c r="AL20" s="14">
        <f>(AD20+AE20)*'01_Inputs'!$B$33</f>
        <v>12</v>
      </c>
      <c r="AM20" s="14" t="str">
        <f>IF(ISNUMBER('01_Inputs'!$B$86),'01_Inputs'!$B$86,"미확인")</f>
        <v>미확인</v>
      </c>
      <c r="AN20" s="14" t="str">
        <f>IF(ISNUMBER(AM20),AM20-AB20,"미확인")</f>
        <v>미확인</v>
      </c>
      <c r="AO20" s="32">
        <f>T20-Y20</f>
        <v>-1150</v>
      </c>
      <c r="AP20" s="32">
        <f>IF(ISNUMBER(S20),S20-Y20,"미확인")</f>
        <v>-165.333333333333</v>
      </c>
      <c r="AQ20" s="32">
        <f>IF(AND(ISNUMBER(AP20),ISNUMBER(AQ19)),AQ19+AP20,"보류")</f>
        <v>-1316</v>
      </c>
      <c r="AR20" s="32" t="str">
        <f>IF(ISNUMBER(AZ19),AZ19,"보류")</f>
        <v>보류</v>
      </c>
      <c r="AS20" s="32" t="str">
        <f>IF(AND(ISNUMBER(AR20),ISNUMBER(S20)),AR20+S20,"보류")</f>
        <v>보류</v>
      </c>
      <c r="AT20" s="32" t="str">
        <f>IF(ISNUMBER(AS20),MIN(AS20,U20),"보류")</f>
        <v>보류</v>
      </c>
      <c r="AU20" s="32" t="str">
        <f>IF(ISNUMBER(AS20),MIN(AS20-AT20,N('01_Inputs'!$B$103)),"보류")</f>
        <v>보류</v>
      </c>
      <c r="AV20" s="32" t="str">
        <f>IF(ISNUMBER(AS20),IF((N(V20)+N(W20)+N(X20))=0,0,MIN(N(V20),(AS20-AT20-AU20)*N(V20)/(N(V20)+N(W20)+N(X20)))),"보류")</f>
        <v>보류</v>
      </c>
      <c r="AW20" s="32" t="str">
        <f>IF(ISNUMBER(AS20),IF((N(V20)+N(W20)+N(X20))=0,0,MIN(N(W20),(AS20-AT20-AU20)*N(W20)/(N(V20)+N(W20)+N(X20)))),"보류")</f>
        <v>보류</v>
      </c>
      <c r="AX20" s="32" t="str">
        <f>IF(ISNUMBER(AS20),IF((N(V20)+N(W20)+N(X20))=0,0,MIN(N(X20),(AS20-AT20-AU20)*N(X20)/(N(V20)+N(W20)+N(X20)))),"보류")</f>
        <v>보류</v>
      </c>
      <c r="AY20" s="32" t="str">
        <f>IF(ISNUMBER(AS20),Y20-AT20-AV20-AW20-AX20,"보류")</f>
        <v>보류</v>
      </c>
      <c r="AZ20" s="36" t="str">
        <f>IF(ISNUMBER(AS20),AS20-AT20-AV20-AW20-AX20,"보류")</f>
        <v>보류</v>
      </c>
      <c r="BA20" s="32" t="str">
        <f>IF(ISNUMBER('01_Inputs'!$B$104),'01_Inputs'!$B$104,"미입력")</f>
        <v>미입력</v>
      </c>
      <c r="BB20" s="32" t="str">
        <f>IF(AND(ISNUMBER(AR20),ISNUMBER(BA20)),Y20+BA20-AR20,"보류")</f>
        <v>보류</v>
      </c>
      <c r="BC20" s="32" t="str">
        <f>IF(AND(ISNUMBER(AZ20),ISNUMBER(BA20)),AZ20-BA20,"보류")</f>
        <v>보류</v>
      </c>
      <c r="BD20" s="9" t="str">
        <f>IF(ISNUMBER(AZ20),"계산 가능",IF(ISNUMBER(AP20),"부분 (재고 입력 필요)","보류 (생산 조건 미확인)"))</f>
        <v>부분 (재고 입력 필요)</v>
      </c>
      <c r="BE20" s="9" t="str">
        <f>IF(D20="대정비","대정비 범위·","")&amp;IF(D20="개선 (2대·105℃)","105℃ 품질 검증·","")&amp;IF(ISNUMBER('01_Inputs'!$B$105),"","양품률(100% 상한)·")&amp;IF(COUNTIF(U20:X20,"미제시")&gt;0,"고객 물량 미제시·","")&amp;IF(ISNUMBER(AJ20),"","200 L 충진시간·")&amp;IF(ISNUMBER('01_Inputs'!$B$86),"","글로브 박스 가용·")&amp;IF(ISNUMBER('01_Inputs'!$B$102),"","기초재고·")</f>
        <v>양품률(100% 상한)·200 L 충진시간·글로브 박스 가용·기초재고·</v>
      </c>
    </row>
    <row r="21">
      <c r="A21" s="55" t="n">
        <v>46478</v>
      </c>
      <c r="B21" s="15">
        <f>YEAR(A21)</f>
        <v>2027</v>
      </c>
      <c r="C21" s="15">
        <f>DAY(EOMONTH(A21,0))</f>
        <v>30</v>
      </c>
      <c r="D21" s="9" t="str">
        <f>IF(AND(YEAR(A21)&gt;=2027,MONTH(A21)='01_Inputs'!$B$69),"대정비",IF(A21&lt;'01_Inputs'!$B$80,"현재 (1대)",IF(AND(ISNUMBER('01_Inputs'!$B$76),A21&gt;='01_Inputs'!$B$76),"개선 (2대·105℃)","개선 (2대)")))</f>
        <v>대정비</v>
      </c>
      <c r="E21" s="15">
        <f>IF(LEFT(D21,2)="개선",'01_Inputs'!$B$8,'01_Inputs'!$B$7)</f>
        <v>1</v>
      </c>
      <c r="F21" s="56" t="n"/>
      <c r="G21" s="14" t="str">
        <f>IF(D21="대정비","대정비",E21*C21*24-N(F21))</f>
        <v>대정비</v>
      </c>
      <c r="H21" s="30" t="str">
        <f>IF(D21="현재 (1대)",'03_Capacity_Model'!$B$80,IF(D21="개선 (2대)",IF(ISNUMBER('01_Inputs'!$B$82),'01_Inputs'!$B$82,"미확인"),IF(D21="개선 (2대·105℃)",IF(ISNUMBER('01_Inputs'!$B$77),'01_Inputs'!$B$77,"미확인"),"-")))</f>
        <v>-</v>
      </c>
      <c r="I21" s="14">
        <f>IF(AND(ISNUMBER(K20),D20=D21),K20,0)</f>
        <v>0</v>
      </c>
      <c r="J21" s="45" t="str">
        <f>IF(AND(ISNUMBER(G21),ISNUMBER(H21)),INT((G21+I21)/H21),IF(D21="대정비","대정비","미확인"))</f>
        <v>대정비</v>
      </c>
      <c r="K21" s="14">
        <f>IF(AND(ISNUMBER(G21),ISNUMBER(H21),ISNUMBER(J21)),G21+I21-J21*H21,"")</f>
      </c>
      <c r="L21" s="19">
        <f>IF(COUNTIFS('02_Batch_Raw'!$E$6:$E$99,"&gt;="&amp;A21,'02_Batch_Raw'!$E$6:$E$99,"&lt;="&amp;EOMONTH(A21,0))=0,"",COUNTIFS('02_Batch_Raw'!$E$6:$E$99,"&gt;="&amp;A21,'02_Batch_Raw'!$E$6:$E$99,"&lt;="&amp;EOMONTH(A21,0)))</f>
      </c>
      <c r="M21" s="19">
        <f>""</f>
      </c>
      <c r="N21" s="57" t="n"/>
      <c r="O21" s="15">
        <f>IF(ISNUMBER(N21),N21,IF(ISNUMBER('P4_2027_월별'!$F$6),'P4_2027_월별'!$F$6/Q21,J21))</f>
        <v>6.25263157894737</v>
      </c>
      <c r="P21" s="9" t="str">
        <f>IF(ISNUMBER(N21),"실적 입력",IF(ISNUMBER('P4_2027_월별'!$F$6),"확정 계획","미확인"))</f>
        <v>확정 계획</v>
      </c>
      <c r="Q21" s="25">
        <f>IF(LEFT(D21,2)="개선",IF(ISNUMBER('01_Inputs'!$B$61),'01_Inputs'!$B$61,'01_Inputs'!$B$49),'01_Inputs'!$B$49)</f>
        <v>190</v>
      </c>
      <c r="R21" s="25">
        <f>IF(ISNUMBER(N21),N21*Q21,IF(ISNUMBER('P4_2027_월별'!$F$6),'P4_2027_월별'!$F$6,IF(ISNUMBER(O21),O21*Q21,"미확인")))</f>
        <v>1188</v>
      </c>
      <c r="S21" s="40">
        <f>IF(ISNUMBER(R21),R21*IF(ISNUMBER('01_Inputs'!$B$105),'01_Inputs'!$B$105,1),"미확인")</f>
        <v>1188</v>
      </c>
      <c r="T21" s="32">
        <f>IF(D21="대정비",'01_Inputs'!$B$70,IF(D21="개선 (2대·105℃)",'01_Inputs'!$B$72,IF(D21="개선 (2대)",'01_Inputs'!$B$71,'01_Inputs'!$B$63*1000/12)))</f>
        <v>1188</v>
      </c>
      <c r="U21" s="31">
        <f>IF(ISNUMBER('01_Inputs'!$F$118),'01_Inputs'!$F$118,"미제시")</f>
        <v>1893.33333333333</v>
      </c>
      <c r="V21" s="31">
        <f>IF(ISNUMBER('01_Inputs'!$F$119),'01_Inputs'!$F$119,"미제시")</f>
        <v>580</v>
      </c>
      <c r="W21" s="31">
        <f>IF(ISNUMBER('01_Inputs'!$F$120),'01_Inputs'!$F$120,"미제시")</f>
        <v>560</v>
      </c>
      <c r="X21" s="31">
        <f>IF(ISNUMBER('01_Inputs'!$F$121),'01_Inputs'!$F$121,"미제시")</f>
        <v>300</v>
      </c>
      <c r="Y21" s="36">
        <f>SUM(U21:X21)</f>
        <v>3333.33333333333</v>
      </c>
      <c r="Z21" s="52">
        <f>Y21/Q21</f>
        <v>17.5438596491228</v>
      </c>
      <c r="AA21" s="52">
        <f>(N(U21)+N(V21))/'01_Inputs'!$B$42</f>
        <v>123.666666666667</v>
      </c>
      <c r="AB21" s="14">
        <f>AA21*'01_Inputs'!$B$28</f>
        <v>247.333333333333</v>
      </c>
      <c r="AC21" s="14">
        <f>AA21/'01_Inputs'!$B$29*'01_Inputs'!$B$32</f>
        <v>27.4814814814815</v>
      </c>
      <c r="AD21" s="52">
        <f>N(W21)/'01_Inputs'!$B$43</f>
        <v>4</v>
      </c>
      <c r="AE21" s="52">
        <f>N(X21)/'01_Inputs'!$B$44</f>
        <v>2</v>
      </c>
      <c r="AF21" s="9" t="str">
        <f>IF(AD21=0,"-",IF(A21&gt;='01_Inputs'!$B$47,"ARS","수동"))</f>
        <v>수동</v>
      </c>
      <c r="AG21" s="9" t="str">
        <f>IF(AE21=0,"-",IF(A21&gt;='01_Inputs'!$B$46,"ARS","수동"))</f>
        <v>수동</v>
      </c>
      <c r="AH21" s="14">
        <f>IF(AD21=0,0,IF(AF21="수동",AD21*'01_Inputs'!$B$34,IF(ISNUMBER('01_Inputs'!$B$36),AD21*'01_Inputs'!$B$36,"미확인")))</f>
        <v>32</v>
      </c>
      <c r="AI21" s="14" t="str">
        <f>IF(AE21=0,0,IF(AG21="수동",IF(ISNUMBER('01_Inputs'!$B$35),AE21*'01_Inputs'!$B$35,"미확인"),IF(ISNUMBER('01_Inputs'!$B$37),AE21*'01_Inputs'!$B$37,"미확인")))</f>
        <v>미확인</v>
      </c>
      <c r="AJ21" s="14" t="str">
        <f>IF(AND(ISNUMBER(AH21),ISNUMBER(AI21)),AH21+AI21,"부분 "&amp;TEXT(N(AH21)+N(AI21),"0")&amp;" h + 미확인")</f>
        <v>부분 32 h + 미확인</v>
      </c>
      <c r="AK21" s="14">
        <f>(AD21+AE21)*'01_Inputs'!$B$38</f>
        <v>48</v>
      </c>
      <c r="AL21" s="14">
        <f>(AD21+AE21)*'01_Inputs'!$B$33</f>
        <v>12</v>
      </c>
      <c r="AM21" s="14" t="str">
        <f>IF(ISNUMBER('01_Inputs'!$B$86),'01_Inputs'!$B$86,"미확인")</f>
        <v>미확인</v>
      </c>
      <c r="AN21" s="14" t="str">
        <f>IF(ISNUMBER(AM21),AM21-AB21,"미확인")</f>
        <v>미확인</v>
      </c>
      <c r="AO21" s="32">
        <f>T21-Y21</f>
        <v>-2145.33333333333</v>
      </c>
      <c r="AP21" s="32">
        <f>IF(ISNUMBER(S21),S21-Y21,"미확인")</f>
        <v>-2145.33333333333</v>
      </c>
      <c r="AQ21" s="32">
        <f>IF(AND(ISNUMBER(AP21),ISNUMBER(AQ20)),AQ20+AP21,"보류")</f>
        <v>-3461.33333333333</v>
      </c>
      <c r="AR21" s="32" t="str">
        <f>IF(ISNUMBER(AZ20),AZ20,"보류")</f>
        <v>보류</v>
      </c>
      <c r="AS21" s="32" t="str">
        <f>IF(AND(ISNUMBER(AR21),ISNUMBER(S21)),AR21+S21,"보류")</f>
        <v>보류</v>
      </c>
      <c r="AT21" s="32" t="str">
        <f>IF(ISNUMBER(AS21),MIN(AS21,U21),"보류")</f>
        <v>보류</v>
      </c>
      <c r="AU21" s="32" t="str">
        <f>IF(ISNUMBER(AS21),MIN(AS21-AT21,N('01_Inputs'!$B$103)),"보류")</f>
        <v>보류</v>
      </c>
      <c r="AV21" s="32" t="str">
        <f>IF(ISNUMBER(AS21),IF((N(V21)+N(W21)+N(X21))=0,0,MIN(N(V21),(AS21-AT21-AU21)*N(V21)/(N(V21)+N(W21)+N(X21)))),"보류")</f>
        <v>보류</v>
      </c>
      <c r="AW21" s="32" t="str">
        <f>IF(ISNUMBER(AS21),IF((N(V21)+N(W21)+N(X21))=0,0,MIN(N(W21),(AS21-AT21-AU21)*N(W21)/(N(V21)+N(W21)+N(X21)))),"보류")</f>
        <v>보류</v>
      </c>
      <c r="AX21" s="32" t="str">
        <f>IF(ISNUMBER(AS21),IF((N(V21)+N(W21)+N(X21))=0,0,MIN(N(X21),(AS21-AT21-AU21)*N(X21)/(N(V21)+N(W21)+N(X21)))),"보류")</f>
        <v>보류</v>
      </c>
      <c r="AY21" s="32" t="str">
        <f>IF(ISNUMBER(AS21),Y21-AT21-AV21-AW21-AX21,"보류")</f>
        <v>보류</v>
      </c>
      <c r="AZ21" s="36" t="str">
        <f>IF(ISNUMBER(AS21),AS21-AT21-AV21-AW21-AX21,"보류")</f>
        <v>보류</v>
      </c>
      <c r="BA21" s="32" t="str">
        <f>IF(ISNUMBER('01_Inputs'!$B$104),'01_Inputs'!$B$104,"미입력")</f>
        <v>미입력</v>
      </c>
      <c r="BB21" s="32" t="str">
        <f>IF(AND(ISNUMBER(AR21),ISNUMBER(BA21)),Y21+BA21-AR21,"보류")</f>
        <v>보류</v>
      </c>
      <c r="BC21" s="32" t="str">
        <f>IF(AND(ISNUMBER(AZ21),ISNUMBER(BA21)),AZ21-BA21,"보류")</f>
        <v>보류</v>
      </c>
      <c r="BD21" s="9" t="str">
        <f>IF(ISNUMBER(AZ21),"계산 가능",IF(ISNUMBER(AP21),"부분 (재고 입력 필요)","보류 (생산 조건 미확인)"))</f>
        <v>부분 (재고 입력 필요)</v>
      </c>
      <c r="BE21" s="9" t="str">
        <f>IF(D21="대정비","대정비 범위·","")&amp;IF(D21="개선 (2대·105℃)","105℃ 품질 검증·","")&amp;IF(ISNUMBER('01_Inputs'!$B$105),"","양품률(100% 상한)·")&amp;IF(COUNTIF(U21:X21,"미제시")&gt;0,"고객 물량 미제시·","")&amp;IF(ISNUMBER(AJ21),"","200 L 충진시간·")&amp;IF(ISNUMBER('01_Inputs'!$B$86),"","글로브 박스 가용·")&amp;IF(ISNUMBER('01_Inputs'!$B$102),"","기초재고·")</f>
        <v>대정비 범위·양품률(100% 상한)·200 L 충진시간·글로브 박스 가용·기초재고·</v>
      </c>
    </row>
    <row r="22">
      <c r="A22" s="55" t="n">
        <v>46508</v>
      </c>
      <c r="B22" s="15">
        <f>YEAR(A22)</f>
        <v>2027</v>
      </c>
      <c r="C22" s="15">
        <f>DAY(EOMONTH(A22,0))</f>
        <v>31</v>
      </c>
      <c r="D22" s="9" t="str">
        <f>IF(AND(YEAR(A22)&gt;=2027,MONTH(A22)='01_Inputs'!$B$69),"대정비",IF(A22&lt;'01_Inputs'!$B$80,"현재 (1대)",IF(AND(ISNUMBER('01_Inputs'!$B$76),A22&gt;='01_Inputs'!$B$76),"개선 (2대·105℃)","개선 (2대)")))</f>
        <v>개선 (2대)</v>
      </c>
      <c r="E22" s="15">
        <f>IF(LEFT(D22,2)="개선",'01_Inputs'!$B$8,'01_Inputs'!$B$7)</f>
        <v>2</v>
      </c>
      <c r="F22" s="56" t="n"/>
      <c r="G22" s="14">
        <f>IF(D22="대정비","대정비",E22*C22*24-N(F22))</f>
        <v>1488</v>
      </c>
      <c r="H22" s="30" t="str">
        <f>IF(D22="현재 (1대)",'03_Capacity_Model'!$B$80,IF(D22="개선 (2대)",IF(ISNUMBER('01_Inputs'!$B$82),'01_Inputs'!$B$82,"미확인"),IF(D22="개선 (2대·105℃)",IF(ISNUMBER('01_Inputs'!$B$77),'01_Inputs'!$B$77,"미확인"),"-")))</f>
        <v>미확인</v>
      </c>
      <c r="I22" s="14">
        <f>IF(AND(ISNUMBER(K21),D21=D22),K21,0)</f>
        <v>0</v>
      </c>
      <c r="J22" s="45" t="str">
        <f>IF(AND(ISNUMBER(G22),ISNUMBER(H22)),INT((G22+I22)/H22),IF(D22="대정비","대정비","미확인"))</f>
        <v>미확인</v>
      </c>
      <c r="K22" s="14">
        <f>IF(AND(ISNUMBER(G22),ISNUMBER(H22),ISNUMBER(J22)),G22+I22-J22*H22,"")</f>
      </c>
      <c r="L22" s="19">
        <f>IF(COUNTIFS('02_Batch_Raw'!$E$6:$E$99,"&gt;="&amp;A22,'02_Batch_Raw'!$E$6:$E$99,"&lt;="&amp;EOMONTH(A22,0))=0,"",COUNTIFS('02_Batch_Raw'!$E$6:$E$99,"&gt;="&amp;A22,'02_Batch_Raw'!$E$6:$E$99,"&lt;="&amp;EOMONTH(A22,0)))</f>
      </c>
      <c r="M22" s="19">
        <f>""</f>
      </c>
      <c r="N22" s="57" t="n"/>
      <c r="O22" s="15">
        <f>IF(ISNUMBER(N22),N22,IF(ISNUMBER('P4_2027_월별'!$G$6),'P4_2027_월별'!$G$6/Q22,J22))</f>
        <v>22.0153110047847</v>
      </c>
      <c r="P22" s="9" t="str">
        <f>IF(ISNUMBER(N22),"실적 입력",IF(ISNUMBER('P4_2027_월별'!$G$6),"Capa. 기준 계획","미확인"))</f>
        <v>Capa. 기준 계획</v>
      </c>
      <c r="Q22" s="25">
        <f>IF(LEFT(D22,2)="개선",IF(ISNUMBER('01_Inputs'!$B$61),'01_Inputs'!$B$61,'01_Inputs'!$B$49),'01_Inputs'!$B$49)</f>
        <v>190</v>
      </c>
      <c r="R22" s="25">
        <f>IF(ISNUMBER(N22),N22*Q22,IF(ISNUMBER('P4_2027_월별'!$G$6),'P4_2027_월별'!$G$6,IF(ISNUMBER(O22),O22*Q22,"미확인")))</f>
        <v>4182.90909090909</v>
      </c>
      <c r="S22" s="40">
        <f>IF(ISNUMBER(R22),R22*IF(ISNUMBER('01_Inputs'!$B$105),'01_Inputs'!$B$105,1),"미확인")</f>
        <v>4182.90909090909</v>
      </c>
      <c r="T22" s="32">
        <f>IF(D22="대정비",'01_Inputs'!$B$70,IF(D22="개선 (2대·105℃)",'01_Inputs'!$B$72,IF(D22="개선 (2대)",'01_Inputs'!$B$71,'01_Inputs'!$B$63*1000/12)))</f>
        <v>4182.90909090909</v>
      </c>
      <c r="U22" s="31">
        <f>IF(ISNUMBER('01_Inputs'!$G$118),'01_Inputs'!$G$118,"미제시")</f>
        <v>1893.33333333333</v>
      </c>
      <c r="V22" s="31">
        <f>IF(ISNUMBER('01_Inputs'!$G$119),'01_Inputs'!$G$119,"미제시")</f>
        <v>580</v>
      </c>
      <c r="W22" s="31">
        <f>IF(ISNUMBER('01_Inputs'!$G$120),'01_Inputs'!$G$120,"미제시")</f>
        <v>560</v>
      </c>
      <c r="X22" s="31">
        <f>IF(ISNUMBER('01_Inputs'!$G$121),'01_Inputs'!$G$121,"미제시")</f>
        <v>300</v>
      </c>
      <c r="Y22" s="36">
        <f>SUM(U22:X22)</f>
        <v>3333.33333333333</v>
      </c>
      <c r="Z22" s="52">
        <f>Y22/Q22</f>
        <v>17.5438596491228</v>
      </c>
      <c r="AA22" s="52">
        <f>(N(U22)+N(V22))/'01_Inputs'!$B$42</f>
        <v>123.666666666667</v>
      </c>
      <c r="AB22" s="14">
        <f>AA22*'01_Inputs'!$B$28</f>
        <v>247.333333333333</v>
      </c>
      <c r="AC22" s="14">
        <f>AA22/'01_Inputs'!$B$29*'01_Inputs'!$B$32</f>
        <v>27.4814814814815</v>
      </c>
      <c r="AD22" s="52">
        <f>N(W22)/'01_Inputs'!$B$43</f>
        <v>4</v>
      </c>
      <c r="AE22" s="52">
        <f>N(X22)/'01_Inputs'!$B$44</f>
        <v>2</v>
      </c>
      <c r="AF22" s="9" t="str">
        <f>IF(AD22=0,"-",IF(A22&gt;='01_Inputs'!$B$47,"ARS","수동"))</f>
        <v>수동</v>
      </c>
      <c r="AG22" s="9" t="str">
        <f>IF(AE22=0,"-",IF(A22&gt;='01_Inputs'!$B$46,"ARS","수동"))</f>
        <v>수동</v>
      </c>
      <c r="AH22" s="14">
        <f>IF(AD22=0,0,IF(AF22="수동",AD22*'01_Inputs'!$B$34,IF(ISNUMBER('01_Inputs'!$B$36),AD22*'01_Inputs'!$B$36,"미확인")))</f>
        <v>32</v>
      </c>
      <c r="AI22" s="14" t="str">
        <f>IF(AE22=0,0,IF(AG22="수동",IF(ISNUMBER('01_Inputs'!$B$35),AE22*'01_Inputs'!$B$35,"미확인"),IF(ISNUMBER('01_Inputs'!$B$37),AE22*'01_Inputs'!$B$37,"미확인")))</f>
        <v>미확인</v>
      </c>
      <c r="AJ22" s="14" t="str">
        <f>IF(AND(ISNUMBER(AH22),ISNUMBER(AI22)),AH22+AI22,"부분 "&amp;TEXT(N(AH22)+N(AI22),"0")&amp;" h + 미확인")</f>
        <v>부분 32 h + 미확인</v>
      </c>
      <c r="AK22" s="14">
        <f>(AD22+AE22)*'01_Inputs'!$B$38</f>
        <v>48</v>
      </c>
      <c r="AL22" s="14">
        <f>(AD22+AE22)*'01_Inputs'!$B$33</f>
        <v>12</v>
      </c>
      <c r="AM22" s="14" t="str">
        <f>IF(ISNUMBER('01_Inputs'!$B$86),'01_Inputs'!$B$86,"미확인")</f>
        <v>미확인</v>
      </c>
      <c r="AN22" s="14" t="str">
        <f>IF(ISNUMBER(AM22),AM22-AB22,"미확인")</f>
        <v>미확인</v>
      </c>
      <c r="AO22" s="32">
        <f>T22-Y22</f>
        <v>849.575757575758</v>
      </c>
      <c r="AP22" s="32">
        <f>IF(ISNUMBER(S22),S22-Y22,"미확인")</f>
        <v>849.575757575758</v>
      </c>
      <c r="AQ22" s="32">
        <f>IF(AND(ISNUMBER(AP22),ISNUMBER(AQ21)),AQ21+AP22,"보류")</f>
        <v>-2611.75757575757</v>
      </c>
      <c r="AR22" s="32" t="str">
        <f>IF(ISNUMBER(AZ21),AZ21,"보류")</f>
        <v>보류</v>
      </c>
      <c r="AS22" s="32" t="str">
        <f>IF(AND(ISNUMBER(AR22),ISNUMBER(S22)),AR22+S22,"보류")</f>
        <v>보류</v>
      </c>
      <c r="AT22" s="32" t="str">
        <f>IF(ISNUMBER(AS22),MIN(AS22,U22),"보류")</f>
        <v>보류</v>
      </c>
      <c r="AU22" s="32" t="str">
        <f>IF(ISNUMBER(AS22),MIN(AS22-AT22,N('01_Inputs'!$B$103)),"보류")</f>
        <v>보류</v>
      </c>
      <c r="AV22" s="32" t="str">
        <f>IF(ISNUMBER(AS22),IF((N(V22)+N(W22)+N(X22))=0,0,MIN(N(V22),(AS22-AT22-AU22)*N(V22)/(N(V22)+N(W22)+N(X22)))),"보류")</f>
        <v>보류</v>
      </c>
      <c r="AW22" s="32" t="str">
        <f>IF(ISNUMBER(AS22),IF((N(V22)+N(W22)+N(X22))=0,0,MIN(N(W22),(AS22-AT22-AU22)*N(W22)/(N(V22)+N(W22)+N(X22)))),"보류")</f>
        <v>보류</v>
      </c>
      <c r="AX22" s="32" t="str">
        <f>IF(ISNUMBER(AS22),IF((N(V22)+N(W22)+N(X22))=0,0,MIN(N(X22),(AS22-AT22-AU22)*N(X22)/(N(V22)+N(W22)+N(X22)))),"보류")</f>
        <v>보류</v>
      </c>
      <c r="AY22" s="32" t="str">
        <f>IF(ISNUMBER(AS22),Y22-AT22-AV22-AW22-AX22,"보류")</f>
        <v>보류</v>
      </c>
      <c r="AZ22" s="36" t="str">
        <f>IF(ISNUMBER(AS22),AS22-AT22-AV22-AW22-AX22,"보류")</f>
        <v>보류</v>
      </c>
      <c r="BA22" s="32" t="str">
        <f>IF(ISNUMBER('01_Inputs'!$B$104),'01_Inputs'!$B$104,"미입력")</f>
        <v>미입력</v>
      </c>
      <c r="BB22" s="32" t="str">
        <f>IF(AND(ISNUMBER(AR22),ISNUMBER(BA22)),Y22+BA22-AR22,"보류")</f>
        <v>보류</v>
      </c>
      <c r="BC22" s="32" t="str">
        <f>IF(AND(ISNUMBER(AZ22),ISNUMBER(BA22)),AZ22-BA22,"보류")</f>
        <v>보류</v>
      </c>
      <c r="BD22" s="9" t="str">
        <f>IF(ISNUMBER(AZ22),"계산 가능",IF(ISNUMBER(AP22),"부분 (재고 입력 필요)","보류 (생산 조건 미확인)"))</f>
        <v>부분 (재고 입력 필요)</v>
      </c>
      <c r="BE22" s="9" t="str">
        <f>IF(D22="대정비","대정비 범위·","")&amp;IF(D22="개선 (2대·105℃)","105℃ 품질 검증·","")&amp;IF(ISNUMBER('01_Inputs'!$B$105),"","양품률(100% 상한)·")&amp;IF(COUNTIF(U22:X22,"미제시")&gt;0,"고객 물량 미제시·","")&amp;IF(ISNUMBER(AJ22),"","200 L 충진시간·")&amp;IF(ISNUMBER('01_Inputs'!$B$86),"","글로브 박스 가용·")&amp;IF(ISNUMBER('01_Inputs'!$B$102),"","기초재고·")</f>
        <v>양품률(100% 상한)·200 L 충진시간·글로브 박스 가용·기초재고·</v>
      </c>
    </row>
    <row r="23">
      <c r="A23" s="55" t="n">
        <v>46539</v>
      </c>
      <c r="B23" s="15">
        <f>YEAR(A23)</f>
        <v>2027</v>
      </c>
      <c r="C23" s="15">
        <f>DAY(EOMONTH(A23,0))</f>
        <v>30</v>
      </c>
      <c r="D23" s="9" t="str">
        <f>IF(AND(YEAR(A23)&gt;=2027,MONTH(A23)='01_Inputs'!$B$69),"대정비",IF(A23&lt;'01_Inputs'!$B$80,"현재 (1대)",IF(AND(ISNUMBER('01_Inputs'!$B$76),A23&gt;='01_Inputs'!$B$76),"개선 (2대·105℃)","개선 (2대)")))</f>
        <v>개선 (2대)</v>
      </c>
      <c r="E23" s="15">
        <f>IF(LEFT(D23,2)="개선",'01_Inputs'!$B$8,'01_Inputs'!$B$7)</f>
        <v>2</v>
      </c>
      <c r="F23" s="56" t="n"/>
      <c r="G23" s="14">
        <f>IF(D23="대정비","대정비",E23*C23*24-N(F23))</f>
        <v>1440</v>
      </c>
      <c r="H23" s="30" t="str">
        <f>IF(D23="현재 (1대)",'03_Capacity_Model'!$B$80,IF(D23="개선 (2대)",IF(ISNUMBER('01_Inputs'!$B$82),'01_Inputs'!$B$82,"미확인"),IF(D23="개선 (2대·105℃)",IF(ISNUMBER('01_Inputs'!$B$77),'01_Inputs'!$B$77,"미확인"),"-")))</f>
        <v>미확인</v>
      </c>
      <c r="I23" s="14">
        <f>IF(AND(ISNUMBER(K22),D22=D23),K22,0)</f>
        <v>0</v>
      </c>
      <c r="J23" s="45" t="str">
        <f>IF(AND(ISNUMBER(G23),ISNUMBER(H23)),INT((G23+I23)/H23),IF(D23="대정비","대정비","미확인"))</f>
        <v>미확인</v>
      </c>
      <c r="K23" s="14">
        <f>IF(AND(ISNUMBER(G23),ISNUMBER(H23),ISNUMBER(J23)),G23+I23-J23*H23,"")</f>
      </c>
      <c r="L23" s="19">
        <f>IF(COUNTIFS('02_Batch_Raw'!$E$6:$E$99,"&gt;="&amp;A23,'02_Batch_Raw'!$E$6:$E$99,"&lt;="&amp;EOMONTH(A23,0))=0,"",COUNTIFS('02_Batch_Raw'!$E$6:$E$99,"&gt;="&amp;A23,'02_Batch_Raw'!$E$6:$E$99,"&lt;="&amp;EOMONTH(A23,0)))</f>
      </c>
      <c r="M23" s="19">
        <f>""</f>
      </c>
      <c r="N23" s="57" t="n"/>
      <c r="O23" s="15">
        <f>IF(ISNUMBER(N23),N23,IF(ISNUMBER('P4_2027_월별'!$H$6),'P4_2027_월별'!$H$6/Q23,J23))</f>
        <v>22.0153110047847</v>
      </c>
      <c r="P23" s="9" t="str">
        <f>IF(ISNUMBER(N23),"실적 입력",IF(ISNUMBER('P4_2027_월별'!$H$6),"Capa. 기준 계획","미확인"))</f>
        <v>Capa. 기준 계획</v>
      </c>
      <c r="Q23" s="25">
        <f>IF(LEFT(D23,2)="개선",IF(ISNUMBER('01_Inputs'!$B$61),'01_Inputs'!$B$61,'01_Inputs'!$B$49),'01_Inputs'!$B$49)</f>
        <v>190</v>
      </c>
      <c r="R23" s="25">
        <f>IF(ISNUMBER(N23),N23*Q23,IF(ISNUMBER('P4_2027_월별'!$H$6),'P4_2027_월별'!$H$6,IF(ISNUMBER(O23),O23*Q23,"미확인")))</f>
        <v>4182.90909090909</v>
      </c>
      <c r="S23" s="40">
        <f>IF(ISNUMBER(R23),R23*IF(ISNUMBER('01_Inputs'!$B$105),'01_Inputs'!$B$105,1),"미확인")</f>
        <v>4182.90909090909</v>
      </c>
      <c r="T23" s="32">
        <f>IF(D23="대정비",'01_Inputs'!$B$70,IF(D23="개선 (2대·105℃)",'01_Inputs'!$B$72,IF(D23="개선 (2대)",'01_Inputs'!$B$71,'01_Inputs'!$B$63*1000/12)))</f>
        <v>4182.90909090909</v>
      </c>
      <c r="U23" s="31">
        <f>IF(ISNUMBER('01_Inputs'!$H$118),'01_Inputs'!$H$118,"미제시")</f>
        <v>1893.33333333333</v>
      </c>
      <c r="V23" s="31">
        <f>IF(ISNUMBER('01_Inputs'!$H$119),'01_Inputs'!$H$119,"미제시")</f>
        <v>580</v>
      </c>
      <c r="W23" s="31">
        <f>IF(ISNUMBER('01_Inputs'!$H$120),'01_Inputs'!$H$120,"미제시")</f>
        <v>560</v>
      </c>
      <c r="X23" s="31">
        <f>IF(ISNUMBER('01_Inputs'!$H$121),'01_Inputs'!$H$121,"미제시")</f>
        <v>300</v>
      </c>
      <c r="Y23" s="36">
        <f>SUM(U23:X23)</f>
        <v>3333.33333333333</v>
      </c>
      <c r="Z23" s="52">
        <f>Y23/Q23</f>
        <v>17.5438596491228</v>
      </c>
      <c r="AA23" s="52">
        <f>(N(U23)+N(V23))/'01_Inputs'!$B$42</f>
        <v>123.666666666667</v>
      </c>
      <c r="AB23" s="14">
        <f>AA23*'01_Inputs'!$B$28</f>
        <v>247.333333333333</v>
      </c>
      <c r="AC23" s="14">
        <f>AA23/'01_Inputs'!$B$29*'01_Inputs'!$B$32</f>
        <v>27.4814814814815</v>
      </c>
      <c r="AD23" s="52">
        <f>N(W23)/'01_Inputs'!$B$43</f>
        <v>4</v>
      </c>
      <c r="AE23" s="52">
        <f>N(X23)/'01_Inputs'!$B$44</f>
        <v>2</v>
      </c>
      <c r="AF23" s="9" t="str">
        <f>IF(AD23=0,"-",IF(A23&gt;='01_Inputs'!$B$47,"ARS","수동"))</f>
        <v>수동</v>
      </c>
      <c r="AG23" s="9" t="str">
        <f>IF(AE23=0,"-",IF(A23&gt;='01_Inputs'!$B$46,"ARS","수동"))</f>
        <v>수동</v>
      </c>
      <c r="AH23" s="14">
        <f>IF(AD23=0,0,IF(AF23="수동",AD23*'01_Inputs'!$B$34,IF(ISNUMBER('01_Inputs'!$B$36),AD23*'01_Inputs'!$B$36,"미확인")))</f>
        <v>32</v>
      </c>
      <c r="AI23" s="14" t="str">
        <f>IF(AE23=0,0,IF(AG23="수동",IF(ISNUMBER('01_Inputs'!$B$35),AE23*'01_Inputs'!$B$35,"미확인"),IF(ISNUMBER('01_Inputs'!$B$37),AE23*'01_Inputs'!$B$37,"미확인")))</f>
        <v>미확인</v>
      </c>
      <c r="AJ23" s="14" t="str">
        <f>IF(AND(ISNUMBER(AH23),ISNUMBER(AI23)),AH23+AI23,"부분 "&amp;TEXT(N(AH23)+N(AI23),"0")&amp;" h + 미확인")</f>
        <v>부분 32 h + 미확인</v>
      </c>
      <c r="AK23" s="14">
        <f>(AD23+AE23)*'01_Inputs'!$B$38</f>
        <v>48</v>
      </c>
      <c r="AL23" s="14">
        <f>(AD23+AE23)*'01_Inputs'!$B$33</f>
        <v>12</v>
      </c>
      <c r="AM23" s="14" t="str">
        <f>IF(ISNUMBER('01_Inputs'!$B$86),'01_Inputs'!$B$86,"미확인")</f>
        <v>미확인</v>
      </c>
      <c r="AN23" s="14" t="str">
        <f>IF(ISNUMBER(AM23),AM23-AB23,"미확인")</f>
        <v>미확인</v>
      </c>
      <c r="AO23" s="32">
        <f>T23-Y23</f>
        <v>849.575757575758</v>
      </c>
      <c r="AP23" s="32">
        <f>IF(ISNUMBER(S23),S23-Y23,"미확인")</f>
        <v>849.575757575758</v>
      </c>
      <c r="AQ23" s="32">
        <f>IF(AND(ISNUMBER(AP23),ISNUMBER(AQ22)),AQ22+AP23,"보류")</f>
        <v>-1762.18181818182</v>
      </c>
      <c r="AR23" s="32" t="str">
        <f>IF(ISNUMBER(AZ22),AZ22,"보류")</f>
        <v>보류</v>
      </c>
      <c r="AS23" s="32" t="str">
        <f>IF(AND(ISNUMBER(AR23),ISNUMBER(S23)),AR23+S23,"보류")</f>
        <v>보류</v>
      </c>
      <c r="AT23" s="32" t="str">
        <f>IF(ISNUMBER(AS23),MIN(AS23,U23),"보류")</f>
        <v>보류</v>
      </c>
      <c r="AU23" s="32" t="str">
        <f>IF(ISNUMBER(AS23),MIN(AS23-AT23,N('01_Inputs'!$B$103)),"보류")</f>
        <v>보류</v>
      </c>
      <c r="AV23" s="32" t="str">
        <f>IF(ISNUMBER(AS23),IF((N(V23)+N(W23)+N(X23))=0,0,MIN(N(V23),(AS23-AT23-AU23)*N(V23)/(N(V23)+N(W23)+N(X23)))),"보류")</f>
        <v>보류</v>
      </c>
      <c r="AW23" s="32" t="str">
        <f>IF(ISNUMBER(AS23),IF((N(V23)+N(W23)+N(X23))=0,0,MIN(N(W23),(AS23-AT23-AU23)*N(W23)/(N(V23)+N(W23)+N(X23)))),"보류")</f>
        <v>보류</v>
      </c>
      <c r="AX23" s="32" t="str">
        <f>IF(ISNUMBER(AS23),IF((N(V23)+N(W23)+N(X23))=0,0,MIN(N(X23),(AS23-AT23-AU23)*N(X23)/(N(V23)+N(W23)+N(X23)))),"보류")</f>
        <v>보류</v>
      </c>
      <c r="AY23" s="32" t="str">
        <f>IF(ISNUMBER(AS23),Y23-AT23-AV23-AW23-AX23,"보류")</f>
        <v>보류</v>
      </c>
      <c r="AZ23" s="36" t="str">
        <f>IF(ISNUMBER(AS23),AS23-AT23-AV23-AW23-AX23,"보류")</f>
        <v>보류</v>
      </c>
      <c r="BA23" s="32" t="str">
        <f>IF(ISNUMBER('01_Inputs'!$B$104),'01_Inputs'!$B$104,"미입력")</f>
        <v>미입력</v>
      </c>
      <c r="BB23" s="32" t="str">
        <f>IF(AND(ISNUMBER(AR23),ISNUMBER(BA23)),Y23+BA23-AR23,"보류")</f>
        <v>보류</v>
      </c>
      <c r="BC23" s="32" t="str">
        <f>IF(AND(ISNUMBER(AZ23),ISNUMBER(BA23)),AZ23-BA23,"보류")</f>
        <v>보류</v>
      </c>
      <c r="BD23" s="9" t="str">
        <f>IF(ISNUMBER(AZ23),"계산 가능",IF(ISNUMBER(AP23),"부분 (재고 입력 필요)","보류 (생산 조건 미확인)"))</f>
        <v>부분 (재고 입력 필요)</v>
      </c>
      <c r="BE23" s="9" t="str">
        <f>IF(D23="대정비","대정비 범위·","")&amp;IF(D23="개선 (2대·105℃)","105℃ 품질 검증·","")&amp;IF(ISNUMBER('01_Inputs'!$B$105),"","양품률(100% 상한)·")&amp;IF(COUNTIF(U23:X23,"미제시")&gt;0,"고객 물량 미제시·","")&amp;IF(ISNUMBER(AJ23),"","200 L 충진시간·")&amp;IF(ISNUMBER('01_Inputs'!$B$86),"","글로브 박스 가용·")&amp;IF(ISNUMBER('01_Inputs'!$B$102),"","기초재고·")</f>
        <v>양품률(100% 상한)·200 L 충진시간·글로브 박스 가용·기초재고·</v>
      </c>
    </row>
    <row r="24">
      <c r="A24" s="55" t="n">
        <v>46569</v>
      </c>
      <c r="B24" s="15">
        <f>YEAR(A24)</f>
        <v>2027</v>
      </c>
      <c r="C24" s="15">
        <f>DAY(EOMONTH(A24,0))</f>
        <v>31</v>
      </c>
      <c r="D24" s="9" t="str">
        <f>IF(AND(YEAR(A24)&gt;=2027,MONTH(A24)='01_Inputs'!$B$69),"대정비",IF(A24&lt;'01_Inputs'!$B$80,"현재 (1대)",IF(AND(ISNUMBER('01_Inputs'!$B$76),A24&gt;='01_Inputs'!$B$76),"개선 (2대·105℃)","개선 (2대)")))</f>
        <v>개선 (2대)</v>
      </c>
      <c r="E24" s="15">
        <f>IF(LEFT(D24,2)="개선",'01_Inputs'!$B$8,'01_Inputs'!$B$7)</f>
        <v>2</v>
      </c>
      <c r="F24" s="56" t="n"/>
      <c r="G24" s="14">
        <f>IF(D24="대정비","대정비",E24*C24*24-N(F24))</f>
        <v>1488</v>
      </c>
      <c r="H24" s="30" t="str">
        <f>IF(D24="현재 (1대)",'03_Capacity_Model'!$B$80,IF(D24="개선 (2대)",IF(ISNUMBER('01_Inputs'!$B$82),'01_Inputs'!$B$82,"미확인"),IF(D24="개선 (2대·105℃)",IF(ISNUMBER('01_Inputs'!$B$77),'01_Inputs'!$B$77,"미확인"),"-")))</f>
        <v>미확인</v>
      </c>
      <c r="I24" s="14">
        <f>IF(AND(ISNUMBER(K23),D23=D24),K23,0)</f>
        <v>0</v>
      </c>
      <c r="J24" s="45" t="str">
        <f>IF(AND(ISNUMBER(G24),ISNUMBER(H24)),INT((G24+I24)/H24),IF(D24="대정비","대정비","미확인"))</f>
        <v>미확인</v>
      </c>
      <c r="K24" s="14">
        <f>IF(AND(ISNUMBER(G24),ISNUMBER(H24),ISNUMBER(J24)),G24+I24-J24*H24,"")</f>
      </c>
      <c r="L24" s="19">
        <f>IF(COUNTIFS('02_Batch_Raw'!$E$6:$E$99,"&gt;="&amp;A24,'02_Batch_Raw'!$E$6:$E$99,"&lt;="&amp;EOMONTH(A24,0))=0,"",COUNTIFS('02_Batch_Raw'!$E$6:$E$99,"&gt;="&amp;A24,'02_Batch_Raw'!$E$6:$E$99,"&lt;="&amp;EOMONTH(A24,0)))</f>
      </c>
      <c r="M24" s="19">
        <f>""</f>
      </c>
      <c r="N24" s="57" t="n"/>
      <c r="O24" s="15">
        <f>IF(ISNUMBER(N24),N24,IF(ISNUMBER('P4_2027_월별'!$I$6),'P4_2027_월별'!$I$6/Q24,J24))</f>
        <v>22.0153110047847</v>
      </c>
      <c r="P24" s="9" t="str">
        <f>IF(ISNUMBER(N24),"실적 입력",IF(ISNUMBER('P4_2027_월별'!$I$6),"Capa. 기준 계획","미확인"))</f>
        <v>Capa. 기준 계획</v>
      </c>
      <c r="Q24" s="25">
        <f>IF(LEFT(D24,2)="개선",IF(ISNUMBER('01_Inputs'!$B$61),'01_Inputs'!$B$61,'01_Inputs'!$B$49),'01_Inputs'!$B$49)</f>
        <v>190</v>
      </c>
      <c r="R24" s="25">
        <f>IF(ISNUMBER(N24),N24*Q24,IF(ISNUMBER('P4_2027_월별'!$I$6),'P4_2027_월별'!$I$6,IF(ISNUMBER(O24),O24*Q24,"미확인")))</f>
        <v>4182.90909090909</v>
      </c>
      <c r="S24" s="40">
        <f>IF(ISNUMBER(R24),R24*IF(ISNUMBER('01_Inputs'!$B$105),'01_Inputs'!$B$105,1),"미확인")</f>
        <v>4182.90909090909</v>
      </c>
      <c r="T24" s="32">
        <f>IF(D24="대정비",'01_Inputs'!$B$70,IF(D24="개선 (2대·105℃)",'01_Inputs'!$B$72,IF(D24="개선 (2대)",'01_Inputs'!$B$71,'01_Inputs'!$B$63*1000/12)))</f>
        <v>4182.90909090909</v>
      </c>
      <c r="U24" s="31">
        <f>IF(ISNUMBER('01_Inputs'!$I$118),'01_Inputs'!$I$118,"미제시")</f>
        <v>1893.33333333333</v>
      </c>
      <c r="V24" s="31">
        <f>IF(ISNUMBER('01_Inputs'!$I$119),'01_Inputs'!$I$119,"미제시")</f>
        <v>780</v>
      </c>
      <c r="W24" s="31">
        <f>IF(ISNUMBER('01_Inputs'!$I$120),'01_Inputs'!$I$120,"미제시")</f>
        <v>1120</v>
      </c>
      <c r="X24" s="31">
        <f>IF(ISNUMBER('01_Inputs'!$I$121),'01_Inputs'!$I$121,"미제시")</f>
        <v>300</v>
      </c>
      <c r="Y24" s="36">
        <f>SUM(U24:X24)</f>
        <v>4093.33333333333</v>
      </c>
      <c r="Z24" s="52">
        <f>Y24/Q24</f>
        <v>21.5438596491228</v>
      </c>
      <c r="AA24" s="52">
        <f>(N(U24)+N(V24))/'01_Inputs'!$B$42</f>
        <v>133.666666666667</v>
      </c>
      <c r="AB24" s="14">
        <f>AA24*'01_Inputs'!$B$28</f>
        <v>267.333333333333</v>
      </c>
      <c r="AC24" s="14">
        <f>AA24/'01_Inputs'!$B$29*'01_Inputs'!$B$32</f>
        <v>29.7037037037037</v>
      </c>
      <c r="AD24" s="52">
        <f>N(W24)/'01_Inputs'!$B$43</f>
        <v>8</v>
      </c>
      <c r="AE24" s="52">
        <f>N(X24)/'01_Inputs'!$B$44</f>
        <v>2</v>
      </c>
      <c r="AF24" s="9" t="str">
        <f>IF(AD24=0,"-",IF(A24&gt;='01_Inputs'!$B$47,"ARS","수동"))</f>
        <v>ARS</v>
      </c>
      <c r="AG24" s="9" t="str">
        <f>IF(AE24=0,"-",IF(A24&gt;='01_Inputs'!$B$46,"ARS","수동"))</f>
        <v>ARS</v>
      </c>
      <c r="AH24" s="14" t="str">
        <f>IF(AD24=0,0,IF(AF24="수동",AD24*'01_Inputs'!$B$34,IF(ISNUMBER('01_Inputs'!$B$36),AD24*'01_Inputs'!$B$36,"미확인")))</f>
        <v>미확인</v>
      </c>
      <c r="AI24" s="14" t="str">
        <f>IF(AE24=0,0,IF(AG24="수동",IF(ISNUMBER('01_Inputs'!$B$35),AE24*'01_Inputs'!$B$35,"미확인"),IF(ISNUMBER('01_Inputs'!$B$37),AE24*'01_Inputs'!$B$37,"미확인")))</f>
        <v>미확인</v>
      </c>
      <c r="AJ24" s="14" t="str">
        <f>IF(AND(ISNUMBER(AH24),ISNUMBER(AI24)),AH24+AI24,"부분 "&amp;TEXT(N(AH24)+N(AI24),"0")&amp;" h + 미확인")</f>
        <v>부분 0 h + 미확인</v>
      </c>
      <c r="AK24" s="14">
        <f>(AD24+AE24)*'01_Inputs'!$B$38</f>
        <v>80</v>
      </c>
      <c r="AL24" s="14">
        <f>(AD24+AE24)*'01_Inputs'!$B$33</f>
        <v>20</v>
      </c>
      <c r="AM24" s="14" t="str">
        <f>IF(ISNUMBER('01_Inputs'!$B$86),'01_Inputs'!$B$86,"미확인")</f>
        <v>미확인</v>
      </c>
      <c r="AN24" s="14" t="str">
        <f>IF(ISNUMBER(AM24),AM24-AB24,"미확인")</f>
        <v>미확인</v>
      </c>
      <c r="AO24" s="32">
        <f>T24-Y24</f>
        <v>89.575757575758</v>
      </c>
      <c r="AP24" s="32">
        <f>IF(ISNUMBER(S24),S24-Y24,"미확인")</f>
        <v>89.575757575758</v>
      </c>
      <c r="AQ24" s="32">
        <f>IF(AND(ISNUMBER(AP24),ISNUMBER(AQ23)),AQ23+AP24,"보류")</f>
        <v>-1672.60606060606</v>
      </c>
      <c r="AR24" s="32" t="str">
        <f>IF(ISNUMBER(AZ23),AZ23,"보류")</f>
        <v>보류</v>
      </c>
      <c r="AS24" s="32" t="str">
        <f>IF(AND(ISNUMBER(AR24),ISNUMBER(S24)),AR24+S24,"보류")</f>
        <v>보류</v>
      </c>
      <c r="AT24" s="32" t="str">
        <f>IF(ISNUMBER(AS24),MIN(AS24,U24),"보류")</f>
        <v>보류</v>
      </c>
      <c r="AU24" s="32" t="str">
        <f>IF(ISNUMBER(AS24),MIN(AS24-AT24,N('01_Inputs'!$B$103)),"보류")</f>
        <v>보류</v>
      </c>
      <c r="AV24" s="32" t="str">
        <f>IF(ISNUMBER(AS24),IF((N(V24)+N(W24)+N(X24))=0,0,MIN(N(V24),(AS24-AT24-AU24)*N(V24)/(N(V24)+N(W24)+N(X24)))),"보류")</f>
        <v>보류</v>
      </c>
      <c r="AW24" s="32" t="str">
        <f>IF(ISNUMBER(AS24),IF((N(V24)+N(W24)+N(X24))=0,0,MIN(N(W24),(AS24-AT24-AU24)*N(W24)/(N(V24)+N(W24)+N(X24)))),"보류")</f>
        <v>보류</v>
      </c>
      <c r="AX24" s="32" t="str">
        <f>IF(ISNUMBER(AS24),IF((N(V24)+N(W24)+N(X24))=0,0,MIN(N(X24),(AS24-AT24-AU24)*N(X24)/(N(V24)+N(W24)+N(X24)))),"보류")</f>
        <v>보류</v>
      </c>
      <c r="AY24" s="32" t="str">
        <f>IF(ISNUMBER(AS24),Y24-AT24-AV24-AW24-AX24,"보류")</f>
        <v>보류</v>
      </c>
      <c r="AZ24" s="36" t="str">
        <f>IF(ISNUMBER(AS24),AS24-AT24-AV24-AW24-AX24,"보류")</f>
        <v>보류</v>
      </c>
      <c r="BA24" s="32" t="str">
        <f>IF(ISNUMBER('01_Inputs'!$B$104),'01_Inputs'!$B$104,"미입력")</f>
        <v>미입력</v>
      </c>
      <c r="BB24" s="32" t="str">
        <f>IF(AND(ISNUMBER(AR24),ISNUMBER(BA24)),Y24+BA24-AR24,"보류")</f>
        <v>보류</v>
      </c>
      <c r="BC24" s="32" t="str">
        <f>IF(AND(ISNUMBER(AZ24),ISNUMBER(BA24)),AZ24-BA24,"보류")</f>
        <v>보류</v>
      </c>
      <c r="BD24" s="9" t="str">
        <f>IF(ISNUMBER(AZ24),"계산 가능",IF(ISNUMBER(AP24),"부분 (재고 입력 필요)","보류 (생산 조건 미확인)"))</f>
        <v>부분 (재고 입력 필요)</v>
      </c>
      <c r="BE24" s="9" t="str">
        <f>IF(D24="대정비","대정비 범위·","")&amp;IF(D24="개선 (2대·105℃)","105℃ 품질 검증·","")&amp;IF(ISNUMBER('01_Inputs'!$B$105),"","양품률(100% 상한)·")&amp;IF(COUNTIF(U24:X24,"미제시")&gt;0,"고객 물량 미제시·","")&amp;IF(ISNUMBER(AJ24),"","200 L 충진시간·")&amp;IF(ISNUMBER('01_Inputs'!$B$86),"","글로브 박스 가용·")&amp;IF(ISNUMBER('01_Inputs'!$B$102),"","기초재고·")</f>
        <v>양품률(100% 상한)·200 L 충진시간·글로브 박스 가용·기초재고·</v>
      </c>
    </row>
    <row r="25">
      <c r="A25" s="55" t="n">
        <v>46600</v>
      </c>
      <c r="B25" s="15">
        <f>YEAR(A25)</f>
        <v>2027</v>
      </c>
      <c r="C25" s="15">
        <f>DAY(EOMONTH(A25,0))</f>
        <v>31</v>
      </c>
      <c r="D25" s="9" t="str">
        <f>IF(AND(YEAR(A25)&gt;=2027,MONTH(A25)='01_Inputs'!$B$69),"대정비",IF(A25&lt;'01_Inputs'!$B$80,"현재 (1대)",IF(AND(ISNUMBER('01_Inputs'!$B$76),A25&gt;='01_Inputs'!$B$76),"개선 (2대·105℃)","개선 (2대)")))</f>
        <v>개선 (2대)</v>
      </c>
      <c r="E25" s="15">
        <f>IF(LEFT(D25,2)="개선",'01_Inputs'!$B$8,'01_Inputs'!$B$7)</f>
        <v>2</v>
      </c>
      <c r="F25" s="56" t="n"/>
      <c r="G25" s="14">
        <f>IF(D25="대정비","대정비",E25*C25*24-N(F25))</f>
        <v>1488</v>
      </c>
      <c r="H25" s="30" t="str">
        <f>IF(D25="현재 (1대)",'03_Capacity_Model'!$B$80,IF(D25="개선 (2대)",IF(ISNUMBER('01_Inputs'!$B$82),'01_Inputs'!$B$82,"미확인"),IF(D25="개선 (2대·105℃)",IF(ISNUMBER('01_Inputs'!$B$77),'01_Inputs'!$B$77,"미확인"),"-")))</f>
        <v>미확인</v>
      </c>
      <c r="I25" s="14">
        <f>IF(AND(ISNUMBER(K24),D24=D25),K24,0)</f>
        <v>0</v>
      </c>
      <c r="J25" s="45" t="str">
        <f>IF(AND(ISNUMBER(G25),ISNUMBER(H25)),INT((G25+I25)/H25),IF(D25="대정비","대정비","미확인"))</f>
        <v>미확인</v>
      </c>
      <c r="K25" s="14">
        <f>IF(AND(ISNUMBER(G25),ISNUMBER(H25),ISNUMBER(J25)),G25+I25-J25*H25,"")</f>
      </c>
      <c r="L25" s="19">
        <f>IF(COUNTIFS('02_Batch_Raw'!$E$6:$E$99,"&gt;="&amp;A25,'02_Batch_Raw'!$E$6:$E$99,"&lt;="&amp;EOMONTH(A25,0))=0,"",COUNTIFS('02_Batch_Raw'!$E$6:$E$99,"&gt;="&amp;A25,'02_Batch_Raw'!$E$6:$E$99,"&lt;="&amp;EOMONTH(A25,0)))</f>
      </c>
      <c r="M25" s="19">
        <f>""</f>
      </c>
      <c r="N25" s="57" t="n"/>
      <c r="O25" s="15">
        <f>IF(ISNUMBER(N25),N25,IF(ISNUMBER('P4_2027_월별'!$J$6),'P4_2027_월별'!$J$6/Q25,J25))</f>
        <v>22.0153110047847</v>
      </c>
      <c r="P25" s="9" t="str">
        <f>IF(ISNUMBER(N25),"실적 입력",IF(ISNUMBER('P4_2027_월별'!$J$6),"Capa. 기준 계획","미확인"))</f>
        <v>Capa. 기준 계획</v>
      </c>
      <c r="Q25" s="25">
        <f>IF(LEFT(D25,2)="개선",IF(ISNUMBER('01_Inputs'!$B$61),'01_Inputs'!$B$61,'01_Inputs'!$B$49),'01_Inputs'!$B$49)</f>
        <v>190</v>
      </c>
      <c r="R25" s="25">
        <f>IF(ISNUMBER(N25),N25*Q25,IF(ISNUMBER('P4_2027_월별'!$J$6),'P4_2027_월별'!$J$6,IF(ISNUMBER(O25),O25*Q25,"미확인")))</f>
        <v>4182.90909090909</v>
      </c>
      <c r="S25" s="40">
        <f>IF(ISNUMBER(R25),R25*IF(ISNUMBER('01_Inputs'!$B$105),'01_Inputs'!$B$105,1),"미확인")</f>
        <v>4182.90909090909</v>
      </c>
      <c r="T25" s="32">
        <f>IF(D25="대정비",'01_Inputs'!$B$70,IF(D25="개선 (2대·105℃)",'01_Inputs'!$B$72,IF(D25="개선 (2대)",'01_Inputs'!$B$71,'01_Inputs'!$B$63*1000/12)))</f>
        <v>4182.90909090909</v>
      </c>
      <c r="U25" s="31">
        <f>IF(ISNUMBER('01_Inputs'!$J$118),'01_Inputs'!$J$118,"미제시")</f>
        <v>1893.33333333333</v>
      </c>
      <c r="V25" s="31">
        <f>IF(ISNUMBER('01_Inputs'!$J$119),'01_Inputs'!$J$119,"미제시")</f>
        <v>780</v>
      </c>
      <c r="W25" s="31">
        <f>IF(ISNUMBER('01_Inputs'!$J$120),'01_Inputs'!$J$120,"미제시")</f>
        <v>1120</v>
      </c>
      <c r="X25" s="31">
        <f>IF(ISNUMBER('01_Inputs'!$J$121),'01_Inputs'!$J$121,"미제시")</f>
        <v>300</v>
      </c>
      <c r="Y25" s="36">
        <f>SUM(U25:X25)</f>
        <v>4093.33333333333</v>
      </c>
      <c r="Z25" s="52">
        <f>Y25/Q25</f>
        <v>21.5438596491228</v>
      </c>
      <c r="AA25" s="52">
        <f>(N(U25)+N(V25))/'01_Inputs'!$B$42</f>
        <v>133.666666666667</v>
      </c>
      <c r="AB25" s="14">
        <f>AA25*'01_Inputs'!$B$28</f>
        <v>267.333333333333</v>
      </c>
      <c r="AC25" s="14">
        <f>AA25/'01_Inputs'!$B$29*'01_Inputs'!$B$32</f>
        <v>29.7037037037037</v>
      </c>
      <c r="AD25" s="52">
        <f>N(W25)/'01_Inputs'!$B$43</f>
        <v>8</v>
      </c>
      <c r="AE25" s="52">
        <f>N(X25)/'01_Inputs'!$B$44</f>
        <v>2</v>
      </c>
      <c r="AF25" s="9" t="str">
        <f>IF(AD25=0,"-",IF(A25&gt;='01_Inputs'!$B$47,"ARS","수동"))</f>
        <v>ARS</v>
      </c>
      <c r="AG25" s="9" t="str">
        <f>IF(AE25=0,"-",IF(A25&gt;='01_Inputs'!$B$46,"ARS","수동"))</f>
        <v>ARS</v>
      </c>
      <c r="AH25" s="14" t="str">
        <f>IF(AD25=0,0,IF(AF25="수동",AD25*'01_Inputs'!$B$34,IF(ISNUMBER('01_Inputs'!$B$36),AD25*'01_Inputs'!$B$36,"미확인")))</f>
        <v>미확인</v>
      </c>
      <c r="AI25" s="14" t="str">
        <f>IF(AE25=0,0,IF(AG25="수동",IF(ISNUMBER('01_Inputs'!$B$35),AE25*'01_Inputs'!$B$35,"미확인"),IF(ISNUMBER('01_Inputs'!$B$37),AE25*'01_Inputs'!$B$37,"미확인")))</f>
        <v>미확인</v>
      </c>
      <c r="AJ25" s="14" t="str">
        <f>IF(AND(ISNUMBER(AH25),ISNUMBER(AI25)),AH25+AI25,"부분 "&amp;TEXT(N(AH25)+N(AI25),"0")&amp;" h + 미확인")</f>
        <v>부분 0 h + 미확인</v>
      </c>
      <c r="AK25" s="14">
        <f>(AD25+AE25)*'01_Inputs'!$B$38</f>
        <v>80</v>
      </c>
      <c r="AL25" s="14">
        <f>(AD25+AE25)*'01_Inputs'!$B$33</f>
        <v>20</v>
      </c>
      <c r="AM25" s="14" t="str">
        <f>IF(ISNUMBER('01_Inputs'!$B$86),'01_Inputs'!$B$86,"미확인")</f>
        <v>미확인</v>
      </c>
      <c r="AN25" s="14" t="str">
        <f>IF(ISNUMBER(AM25),AM25-AB25,"미확인")</f>
        <v>미확인</v>
      </c>
      <c r="AO25" s="32">
        <f>T25-Y25</f>
        <v>89.575757575758</v>
      </c>
      <c r="AP25" s="32">
        <f>IF(ISNUMBER(S25),S25-Y25,"미확인")</f>
        <v>89.575757575758</v>
      </c>
      <c r="AQ25" s="32">
        <f>IF(AND(ISNUMBER(AP25),ISNUMBER(AQ24)),AQ24+AP25,"보류")</f>
        <v>-1583.0303030303</v>
      </c>
      <c r="AR25" s="32" t="str">
        <f>IF(ISNUMBER(AZ24),AZ24,"보류")</f>
        <v>보류</v>
      </c>
      <c r="AS25" s="32" t="str">
        <f>IF(AND(ISNUMBER(AR25),ISNUMBER(S25)),AR25+S25,"보류")</f>
        <v>보류</v>
      </c>
      <c r="AT25" s="32" t="str">
        <f>IF(ISNUMBER(AS25),MIN(AS25,U25),"보류")</f>
        <v>보류</v>
      </c>
      <c r="AU25" s="32" t="str">
        <f>IF(ISNUMBER(AS25),MIN(AS25-AT25,N('01_Inputs'!$B$103)),"보류")</f>
        <v>보류</v>
      </c>
      <c r="AV25" s="32" t="str">
        <f>IF(ISNUMBER(AS25),IF((N(V25)+N(W25)+N(X25))=0,0,MIN(N(V25),(AS25-AT25-AU25)*N(V25)/(N(V25)+N(W25)+N(X25)))),"보류")</f>
        <v>보류</v>
      </c>
      <c r="AW25" s="32" t="str">
        <f>IF(ISNUMBER(AS25),IF((N(V25)+N(W25)+N(X25))=0,0,MIN(N(W25),(AS25-AT25-AU25)*N(W25)/(N(V25)+N(W25)+N(X25)))),"보류")</f>
        <v>보류</v>
      </c>
      <c r="AX25" s="32" t="str">
        <f>IF(ISNUMBER(AS25),IF((N(V25)+N(W25)+N(X25))=0,0,MIN(N(X25),(AS25-AT25-AU25)*N(X25)/(N(V25)+N(W25)+N(X25)))),"보류")</f>
        <v>보류</v>
      </c>
      <c r="AY25" s="32" t="str">
        <f>IF(ISNUMBER(AS25),Y25-AT25-AV25-AW25-AX25,"보류")</f>
        <v>보류</v>
      </c>
      <c r="AZ25" s="36" t="str">
        <f>IF(ISNUMBER(AS25),AS25-AT25-AV25-AW25-AX25,"보류")</f>
        <v>보류</v>
      </c>
      <c r="BA25" s="32" t="str">
        <f>IF(ISNUMBER('01_Inputs'!$B$104),'01_Inputs'!$B$104,"미입력")</f>
        <v>미입력</v>
      </c>
      <c r="BB25" s="32" t="str">
        <f>IF(AND(ISNUMBER(AR25),ISNUMBER(BA25)),Y25+BA25-AR25,"보류")</f>
        <v>보류</v>
      </c>
      <c r="BC25" s="32" t="str">
        <f>IF(AND(ISNUMBER(AZ25),ISNUMBER(BA25)),AZ25-BA25,"보류")</f>
        <v>보류</v>
      </c>
      <c r="BD25" s="9" t="str">
        <f>IF(ISNUMBER(AZ25),"계산 가능",IF(ISNUMBER(AP25),"부분 (재고 입력 필요)","보류 (생산 조건 미확인)"))</f>
        <v>부분 (재고 입력 필요)</v>
      </c>
      <c r="BE25" s="9" t="str">
        <f>IF(D25="대정비","대정비 범위·","")&amp;IF(D25="개선 (2대·105℃)","105℃ 품질 검증·","")&amp;IF(ISNUMBER('01_Inputs'!$B$105),"","양품률(100% 상한)·")&amp;IF(COUNTIF(U25:X25,"미제시")&gt;0,"고객 물량 미제시·","")&amp;IF(ISNUMBER(AJ25),"","200 L 충진시간·")&amp;IF(ISNUMBER('01_Inputs'!$B$86),"","글로브 박스 가용·")&amp;IF(ISNUMBER('01_Inputs'!$B$102),"","기초재고·")</f>
        <v>양품률(100% 상한)·200 L 충진시간·글로브 박스 가용·기초재고·</v>
      </c>
    </row>
    <row r="26">
      <c r="A26" s="55" t="n">
        <v>46631</v>
      </c>
      <c r="B26" s="15">
        <f>YEAR(A26)</f>
        <v>2027</v>
      </c>
      <c r="C26" s="15">
        <f>DAY(EOMONTH(A26,0))</f>
        <v>30</v>
      </c>
      <c r="D26" s="9" t="str">
        <f>IF(AND(YEAR(A26)&gt;=2027,MONTH(A26)='01_Inputs'!$B$69),"대정비",IF(A26&lt;'01_Inputs'!$B$80,"현재 (1대)",IF(AND(ISNUMBER('01_Inputs'!$B$76),A26&gt;='01_Inputs'!$B$76),"개선 (2대·105℃)","개선 (2대)")))</f>
        <v>개선 (2대)</v>
      </c>
      <c r="E26" s="15">
        <f>IF(LEFT(D26,2)="개선",'01_Inputs'!$B$8,'01_Inputs'!$B$7)</f>
        <v>2</v>
      </c>
      <c r="F26" s="56" t="n"/>
      <c r="G26" s="14">
        <f>IF(D26="대정비","대정비",E26*C26*24-N(F26))</f>
        <v>1440</v>
      </c>
      <c r="H26" s="30" t="str">
        <f>IF(D26="현재 (1대)",'03_Capacity_Model'!$B$80,IF(D26="개선 (2대)",IF(ISNUMBER('01_Inputs'!$B$82),'01_Inputs'!$B$82,"미확인"),IF(D26="개선 (2대·105℃)",IF(ISNUMBER('01_Inputs'!$B$77),'01_Inputs'!$B$77,"미확인"),"-")))</f>
        <v>미확인</v>
      </c>
      <c r="I26" s="14">
        <f>IF(AND(ISNUMBER(K25),D25=D26),K25,0)</f>
        <v>0</v>
      </c>
      <c r="J26" s="45" t="str">
        <f>IF(AND(ISNUMBER(G26),ISNUMBER(H26)),INT((G26+I26)/H26),IF(D26="대정비","대정비","미확인"))</f>
        <v>미확인</v>
      </c>
      <c r="K26" s="14">
        <f>IF(AND(ISNUMBER(G26),ISNUMBER(H26),ISNUMBER(J26)),G26+I26-J26*H26,"")</f>
      </c>
      <c r="L26" s="19">
        <f>IF(COUNTIFS('02_Batch_Raw'!$E$6:$E$99,"&gt;="&amp;A26,'02_Batch_Raw'!$E$6:$E$99,"&lt;="&amp;EOMONTH(A26,0))=0,"",COUNTIFS('02_Batch_Raw'!$E$6:$E$99,"&gt;="&amp;A26,'02_Batch_Raw'!$E$6:$E$99,"&lt;="&amp;EOMONTH(A26,0)))</f>
      </c>
      <c r="M26" s="19">
        <f>""</f>
      </c>
      <c r="N26" s="57" t="n"/>
      <c r="O26" s="15">
        <f>IF(ISNUMBER(N26),N26,IF(ISNUMBER('P4_2027_월별'!$K$6),'P4_2027_월별'!$K$6/Q26,J26))</f>
        <v>22.0153110047847</v>
      </c>
      <c r="P26" s="9" t="str">
        <f>IF(ISNUMBER(N26),"실적 입력",IF(ISNUMBER('P4_2027_월별'!$K$6),"Capa. 기준 계획","미확인"))</f>
        <v>Capa. 기준 계획</v>
      </c>
      <c r="Q26" s="25">
        <f>IF(LEFT(D26,2)="개선",IF(ISNUMBER('01_Inputs'!$B$61),'01_Inputs'!$B$61,'01_Inputs'!$B$49),'01_Inputs'!$B$49)</f>
        <v>190</v>
      </c>
      <c r="R26" s="25">
        <f>IF(ISNUMBER(N26),N26*Q26,IF(ISNUMBER('P4_2027_월별'!$K$6),'P4_2027_월별'!$K$6,IF(ISNUMBER(O26),O26*Q26,"미확인")))</f>
        <v>4182.90909090909</v>
      </c>
      <c r="S26" s="40">
        <f>IF(ISNUMBER(R26),R26*IF(ISNUMBER('01_Inputs'!$B$105),'01_Inputs'!$B$105,1),"미확인")</f>
        <v>4182.90909090909</v>
      </c>
      <c r="T26" s="32">
        <f>IF(D26="대정비",'01_Inputs'!$B$70,IF(D26="개선 (2대·105℃)",'01_Inputs'!$B$72,IF(D26="개선 (2대)",'01_Inputs'!$B$71,'01_Inputs'!$B$63*1000/12)))</f>
        <v>4182.90909090909</v>
      </c>
      <c r="U26" s="31">
        <f>IF(ISNUMBER('01_Inputs'!$K$118),'01_Inputs'!$K$118,"미제시")</f>
        <v>1893.33333333333</v>
      </c>
      <c r="V26" s="31">
        <f>IF(ISNUMBER('01_Inputs'!$K$119),'01_Inputs'!$K$119,"미제시")</f>
        <v>780</v>
      </c>
      <c r="W26" s="31">
        <f>IF(ISNUMBER('01_Inputs'!$K$120),'01_Inputs'!$K$120,"미제시")</f>
        <v>1120</v>
      </c>
      <c r="X26" s="31">
        <f>IF(ISNUMBER('01_Inputs'!$K$121),'01_Inputs'!$K$121,"미제시")</f>
        <v>300</v>
      </c>
      <c r="Y26" s="36">
        <f>SUM(U26:X26)</f>
        <v>4093.33333333333</v>
      </c>
      <c r="Z26" s="52">
        <f>Y26/Q26</f>
        <v>21.5438596491228</v>
      </c>
      <c r="AA26" s="52">
        <f>(N(U26)+N(V26))/'01_Inputs'!$B$42</f>
        <v>133.666666666667</v>
      </c>
      <c r="AB26" s="14">
        <f>AA26*'01_Inputs'!$B$28</f>
        <v>267.333333333333</v>
      </c>
      <c r="AC26" s="14">
        <f>AA26/'01_Inputs'!$B$29*'01_Inputs'!$B$32</f>
        <v>29.7037037037037</v>
      </c>
      <c r="AD26" s="52">
        <f>N(W26)/'01_Inputs'!$B$43</f>
        <v>8</v>
      </c>
      <c r="AE26" s="52">
        <f>N(X26)/'01_Inputs'!$B$44</f>
        <v>2</v>
      </c>
      <c r="AF26" s="9" t="str">
        <f>IF(AD26=0,"-",IF(A26&gt;='01_Inputs'!$B$47,"ARS","수동"))</f>
        <v>ARS</v>
      </c>
      <c r="AG26" s="9" t="str">
        <f>IF(AE26=0,"-",IF(A26&gt;='01_Inputs'!$B$46,"ARS","수동"))</f>
        <v>ARS</v>
      </c>
      <c r="AH26" s="14" t="str">
        <f>IF(AD26=0,0,IF(AF26="수동",AD26*'01_Inputs'!$B$34,IF(ISNUMBER('01_Inputs'!$B$36),AD26*'01_Inputs'!$B$36,"미확인")))</f>
        <v>미확인</v>
      </c>
      <c r="AI26" s="14" t="str">
        <f>IF(AE26=0,0,IF(AG26="수동",IF(ISNUMBER('01_Inputs'!$B$35),AE26*'01_Inputs'!$B$35,"미확인"),IF(ISNUMBER('01_Inputs'!$B$37),AE26*'01_Inputs'!$B$37,"미확인")))</f>
        <v>미확인</v>
      </c>
      <c r="AJ26" s="14" t="str">
        <f>IF(AND(ISNUMBER(AH26),ISNUMBER(AI26)),AH26+AI26,"부분 "&amp;TEXT(N(AH26)+N(AI26),"0")&amp;" h + 미확인")</f>
        <v>부분 0 h + 미확인</v>
      </c>
      <c r="AK26" s="14">
        <f>(AD26+AE26)*'01_Inputs'!$B$38</f>
        <v>80</v>
      </c>
      <c r="AL26" s="14">
        <f>(AD26+AE26)*'01_Inputs'!$B$33</f>
        <v>20</v>
      </c>
      <c r="AM26" s="14" t="str">
        <f>IF(ISNUMBER('01_Inputs'!$B$86),'01_Inputs'!$B$86,"미확인")</f>
        <v>미확인</v>
      </c>
      <c r="AN26" s="14" t="str">
        <f>IF(ISNUMBER(AM26),AM26-AB26,"미확인")</f>
        <v>미확인</v>
      </c>
      <c r="AO26" s="32">
        <f>T26-Y26</f>
        <v>89.575757575758</v>
      </c>
      <c r="AP26" s="32">
        <f>IF(ISNUMBER(S26),S26-Y26,"미확인")</f>
        <v>89.575757575758</v>
      </c>
      <c r="AQ26" s="32">
        <f>IF(AND(ISNUMBER(AP26),ISNUMBER(AQ25)),AQ25+AP26,"보류")</f>
        <v>-1493.45454545454</v>
      </c>
      <c r="AR26" s="32" t="str">
        <f>IF(ISNUMBER(AZ25),AZ25,"보류")</f>
        <v>보류</v>
      </c>
      <c r="AS26" s="32" t="str">
        <f>IF(AND(ISNUMBER(AR26),ISNUMBER(S26)),AR26+S26,"보류")</f>
        <v>보류</v>
      </c>
      <c r="AT26" s="32" t="str">
        <f>IF(ISNUMBER(AS26),MIN(AS26,U26),"보류")</f>
        <v>보류</v>
      </c>
      <c r="AU26" s="32" t="str">
        <f>IF(ISNUMBER(AS26),MIN(AS26-AT26,N('01_Inputs'!$B$103)),"보류")</f>
        <v>보류</v>
      </c>
      <c r="AV26" s="32" t="str">
        <f>IF(ISNUMBER(AS26),IF((N(V26)+N(W26)+N(X26))=0,0,MIN(N(V26),(AS26-AT26-AU26)*N(V26)/(N(V26)+N(W26)+N(X26)))),"보류")</f>
        <v>보류</v>
      </c>
      <c r="AW26" s="32" t="str">
        <f>IF(ISNUMBER(AS26),IF((N(V26)+N(W26)+N(X26))=0,0,MIN(N(W26),(AS26-AT26-AU26)*N(W26)/(N(V26)+N(W26)+N(X26)))),"보류")</f>
        <v>보류</v>
      </c>
      <c r="AX26" s="32" t="str">
        <f>IF(ISNUMBER(AS26),IF((N(V26)+N(W26)+N(X26))=0,0,MIN(N(X26),(AS26-AT26-AU26)*N(X26)/(N(V26)+N(W26)+N(X26)))),"보류")</f>
        <v>보류</v>
      </c>
      <c r="AY26" s="32" t="str">
        <f>IF(ISNUMBER(AS26),Y26-AT26-AV26-AW26-AX26,"보류")</f>
        <v>보류</v>
      </c>
      <c r="AZ26" s="36" t="str">
        <f>IF(ISNUMBER(AS26),AS26-AT26-AV26-AW26-AX26,"보류")</f>
        <v>보류</v>
      </c>
      <c r="BA26" s="32" t="str">
        <f>IF(ISNUMBER('01_Inputs'!$B$104),'01_Inputs'!$B$104,"미입력")</f>
        <v>미입력</v>
      </c>
      <c r="BB26" s="32" t="str">
        <f>IF(AND(ISNUMBER(AR26),ISNUMBER(BA26)),Y26+BA26-AR26,"보류")</f>
        <v>보류</v>
      </c>
      <c r="BC26" s="32" t="str">
        <f>IF(AND(ISNUMBER(AZ26),ISNUMBER(BA26)),AZ26-BA26,"보류")</f>
        <v>보류</v>
      </c>
      <c r="BD26" s="9" t="str">
        <f>IF(ISNUMBER(AZ26),"계산 가능",IF(ISNUMBER(AP26),"부분 (재고 입력 필요)","보류 (생산 조건 미확인)"))</f>
        <v>부분 (재고 입력 필요)</v>
      </c>
      <c r="BE26" s="9" t="str">
        <f>IF(D26="대정비","대정비 범위·","")&amp;IF(D26="개선 (2대·105℃)","105℃ 품질 검증·","")&amp;IF(ISNUMBER('01_Inputs'!$B$105),"","양품률(100% 상한)·")&amp;IF(COUNTIF(U26:X26,"미제시")&gt;0,"고객 물량 미제시·","")&amp;IF(ISNUMBER(AJ26),"","200 L 충진시간·")&amp;IF(ISNUMBER('01_Inputs'!$B$86),"","글로브 박스 가용·")&amp;IF(ISNUMBER('01_Inputs'!$B$102),"","기초재고·")</f>
        <v>양품률(100% 상한)·200 L 충진시간·글로브 박스 가용·기초재고·</v>
      </c>
    </row>
    <row r="27">
      <c r="A27" s="55" t="n">
        <v>46661</v>
      </c>
      <c r="B27" s="15">
        <f>YEAR(A27)</f>
        <v>2027</v>
      </c>
      <c r="C27" s="15">
        <f>DAY(EOMONTH(A27,0))</f>
        <v>31</v>
      </c>
      <c r="D27" s="9" t="str">
        <f>IF(AND(YEAR(A27)&gt;=2027,MONTH(A27)='01_Inputs'!$B$69),"대정비",IF(A27&lt;'01_Inputs'!$B$80,"현재 (1대)",IF(AND(ISNUMBER('01_Inputs'!$B$76),A27&gt;='01_Inputs'!$B$76),"개선 (2대·105℃)","개선 (2대)")))</f>
        <v>개선 (2대)</v>
      </c>
      <c r="E27" s="15">
        <f>IF(LEFT(D27,2)="개선",'01_Inputs'!$B$8,'01_Inputs'!$B$7)</f>
        <v>2</v>
      </c>
      <c r="F27" s="56" t="n"/>
      <c r="G27" s="14">
        <f>IF(D27="대정비","대정비",E27*C27*24-N(F27))</f>
        <v>1488</v>
      </c>
      <c r="H27" s="30" t="str">
        <f>IF(D27="현재 (1대)",'03_Capacity_Model'!$B$80,IF(D27="개선 (2대)",IF(ISNUMBER('01_Inputs'!$B$82),'01_Inputs'!$B$82,"미확인"),IF(D27="개선 (2대·105℃)",IF(ISNUMBER('01_Inputs'!$B$77),'01_Inputs'!$B$77,"미확인"),"-")))</f>
        <v>미확인</v>
      </c>
      <c r="I27" s="14">
        <f>IF(AND(ISNUMBER(K26),D26=D27),K26,0)</f>
        <v>0</v>
      </c>
      <c r="J27" s="45" t="str">
        <f>IF(AND(ISNUMBER(G27),ISNUMBER(H27)),INT((G27+I27)/H27),IF(D27="대정비","대정비","미확인"))</f>
        <v>미확인</v>
      </c>
      <c r="K27" s="14">
        <f>IF(AND(ISNUMBER(G27),ISNUMBER(H27),ISNUMBER(J27)),G27+I27-J27*H27,"")</f>
      </c>
      <c r="L27" s="19">
        <f>IF(COUNTIFS('02_Batch_Raw'!$E$6:$E$99,"&gt;="&amp;A27,'02_Batch_Raw'!$E$6:$E$99,"&lt;="&amp;EOMONTH(A27,0))=0,"",COUNTIFS('02_Batch_Raw'!$E$6:$E$99,"&gt;="&amp;A27,'02_Batch_Raw'!$E$6:$E$99,"&lt;="&amp;EOMONTH(A27,0)))</f>
      </c>
      <c r="M27" s="19">
        <f>""</f>
      </c>
      <c r="N27" s="57" t="n"/>
      <c r="O27" s="15">
        <f>IF(ISNUMBER(N27),N27,IF(ISNUMBER('P4_2027_월별'!$L$6),'P4_2027_월별'!$L$6/Q27,J27))</f>
        <v>22.0153110047847</v>
      </c>
      <c r="P27" s="9" t="str">
        <f>IF(ISNUMBER(N27),"실적 입력",IF(ISNUMBER('P4_2027_월별'!$L$6),"Capa. 기준 계획","미확인"))</f>
        <v>Capa. 기준 계획</v>
      </c>
      <c r="Q27" s="25">
        <f>IF(LEFT(D27,2)="개선",IF(ISNUMBER('01_Inputs'!$B$61),'01_Inputs'!$B$61,'01_Inputs'!$B$49),'01_Inputs'!$B$49)</f>
        <v>190</v>
      </c>
      <c r="R27" s="25">
        <f>IF(ISNUMBER(N27),N27*Q27,IF(ISNUMBER('P4_2027_월별'!$L$6),'P4_2027_월별'!$L$6,IF(ISNUMBER(O27),O27*Q27,"미확인")))</f>
        <v>4182.90909090909</v>
      </c>
      <c r="S27" s="40">
        <f>IF(ISNUMBER(R27),R27*IF(ISNUMBER('01_Inputs'!$B$105),'01_Inputs'!$B$105,1),"미확인")</f>
        <v>4182.90909090909</v>
      </c>
      <c r="T27" s="32">
        <f>IF(D27="대정비",'01_Inputs'!$B$70,IF(D27="개선 (2대·105℃)",'01_Inputs'!$B$72,IF(D27="개선 (2대)",'01_Inputs'!$B$71,'01_Inputs'!$B$63*1000/12)))</f>
        <v>4182.90909090909</v>
      </c>
      <c r="U27" s="31">
        <f>IF(ISNUMBER('01_Inputs'!$L$118),'01_Inputs'!$L$118,"미제시")</f>
        <v>1893.33333333333</v>
      </c>
      <c r="V27" s="31">
        <f>IF(ISNUMBER('01_Inputs'!$L$119),'01_Inputs'!$L$119,"미제시")</f>
        <v>780</v>
      </c>
      <c r="W27" s="31">
        <f>IF(ISNUMBER('01_Inputs'!$L$120),'01_Inputs'!$L$120,"미제시")</f>
        <v>1120</v>
      </c>
      <c r="X27" s="31">
        <f>IF(ISNUMBER('01_Inputs'!$L$121),'01_Inputs'!$L$121,"미제시")</f>
        <v>300</v>
      </c>
      <c r="Y27" s="36">
        <f>SUM(U27:X27)</f>
        <v>4093.33333333333</v>
      </c>
      <c r="Z27" s="52">
        <f>Y27/Q27</f>
        <v>21.5438596491228</v>
      </c>
      <c r="AA27" s="52">
        <f>(N(U27)+N(V27))/'01_Inputs'!$B$42</f>
        <v>133.666666666667</v>
      </c>
      <c r="AB27" s="14">
        <f>AA27*'01_Inputs'!$B$28</f>
        <v>267.333333333333</v>
      </c>
      <c r="AC27" s="14">
        <f>AA27/'01_Inputs'!$B$29*'01_Inputs'!$B$32</f>
        <v>29.7037037037037</v>
      </c>
      <c r="AD27" s="52">
        <f>N(W27)/'01_Inputs'!$B$43</f>
        <v>8</v>
      </c>
      <c r="AE27" s="52">
        <f>N(X27)/'01_Inputs'!$B$44</f>
        <v>2</v>
      </c>
      <c r="AF27" s="9" t="str">
        <f>IF(AD27=0,"-",IF(A27&gt;='01_Inputs'!$B$47,"ARS","수동"))</f>
        <v>ARS</v>
      </c>
      <c r="AG27" s="9" t="str">
        <f>IF(AE27=0,"-",IF(A27&gt;='01_Inputs'!$B$46,"ARS","수동"))</f>
        <v>ARS</v>
      </c>
      <c r="AH27" s="14" t="str">
        <f>IF(AD27=0,0,IF(AF27="수동",AD27*'01_Inputs'!$B$34,IF(ISNUMBER('01_Inputs'!$B$36),AD27*'01_Inputs'!$B$36,"미확인")))</f>
        <v>미확인</v>
      </c>
      <c r="AI27" s="14" t="str">
        <f>IF(AE27=0,0,IF(AG27="수동",IF(ISNUMBER('01_Inputs'!$B$35),AE27*'01_Inputs'!$B$35,"미확인"),IF(ISNUMBER('01_Inputs'!$B$37),AE27*'01_Inputs'!$B$37,"미확인")))</f>
        <v>미확인</v>
      </c>
      <c r="AJ27" s="14" t="str">
        <f>IF(AND(ISNUMBER(AH27),ISNUMBER(AI27)),AH27+AI27,"부분 "&amp;TEXT(N(AH27)+N(AI27),"0")&amp;" h + 미확인")</f>
        <v>부분 0 h + 미확인</v>
      </c>
      <c r="AK27" s="14">
        <f>(AD27+AE27)*'01_Inputs'!$B$38</f>
        <v>80</v>
      </c>
      <c r="AL27" s="14">
        <f>(AD27+AE27)*'01_Inputs'!$B$33</f>
        <v>20</v>
      </c>
      <c r="AM27" s="14" t="str">
        <f>IF(ISNUMBER('01_Inputs'!$B$86),'01_Inputs'!$B$86,"미확인")</f>
        <v>미확인</v>
      </c>
      <c r="AN27" s="14" t="str">
        <f>IF(ISNUMBER(AM27),AM27-AB27,"미확인")</f>
        <v>미확인</v>
      </c>
      <c r="AO27" s="32">
        <f>T27-Y27</f>
        <v>89.575757575758</v>
      </c>
      <c r="AP27" s="32">
        <f>IF(ISNUMBER(S27),S27-Y27,"미확인")</f>
        <v>89.575757575758</v>
      </c>
      <c r="AQ27" s="32">
        <f>IF(AND(ISNUMBER(AP27),ISNUMBER(AQ26)),AQ26+AP27,"보류")</f>
        <v>-1403.87878787878</v>
      </c>
      <c r="AR27" s="32" t="str">
        <f>IF(ISNUMBER(AZ26),AZ26,"보류")</f>
        <v>보류</v>
      </c>
      <c r="AS27" s="32" t="str">
        <f>IF(AND(ISNUMBER(AR27),ISNUMBER(S27)),AR27+S27,"보류")</f>
        <v>보류</v>
      </c>
      <c r="AT27" s="32" t="str">
        <f>IF(ISNUMBER(AS27),MIN(AS27,U27),"보류")</f>
        <v>보류</v>
      </c>
      <c r="AU27" s="32" t="str">
        <f>IF(ISNUMBER(AS27),MIN(AS27-AT27,N('01_Inputs'!$B$103)),"보류")</f>
        <v>보류</v>
      </c>
      <c r="AV27" s="32" t="str">
        <f>IF(ISNUMBER(AS27),IF((N(V27)+N(W27)+N(X27))=0,0,MIN(N(V27),(AS27-AT27-AU27)*N(V27)/(N(V27)+N(W27)+N(X27)))),"보류")</f>
        <v>보류</v>
      </c>
      <c r="AW27" s="32" t="str">
        <f>IF(ISNUMBER(AS27),IF((N(V27)+N(W27)+N(X27))=0,0,MIN(N(W27),(AS27-AT27-AU27)*N(W27)/(N(V27)+N(W27)+N(X27)))),"보류")</f>
        <v>보류</v>
      </c>
      <c r="AX27" s="32" t="str">
        <f>IF(ISNUMBER(AS27),IF((N(V27)+N(W27)+N(X27))=0,0,MIN(N(X27),(AS27-AT27-AU27)*N(X27)/(N(V27)+N(W27)+N(X27)))),"보류")</f>
        <v>보류</v>
      </c>
      <c r="AY27" s="32" t="str">
        <f>IF(ISNUMBER(AS27),Y27-AT27-AV27-AW27-AX27,"보류")</f>
        <v>보류</v>
      </c>
      <c r="AZ27" s="36" t="str">
        <f>IF(ISNUMBER(AS27),AS27-AT27-AV27-AW27-AX27,"보류")</f>
        <v>보류</v>
      </c>
      <c r="BA27" s="32" t="str">
        <f>IF(ISNUMBER('01_Inputs'!$B$104),'01_Inputs'!$B$104,"미입력")</f>
        <v>미입력</v>
      </c>
      <c r="BB27" s="32" t="str">
        <f>IF(AND(ISNUMBER(AR27),ISNUMBER(BA27)),Y27+BA27-AR27,"보류")</f>
        <v>보류</v>
      </c>
      <c r="BC27" s="32" t="str">
        <f>IF(AND(ISNUMBER(AZ27),ISNUMBER(BA27)),AZ27-BA27,"보류")</f>
        <v>보류</v>
      </c>
      <c r="BD27" s="9" t="str">
        <f>IF(ISNUMBER(AZ27),"계산 가능",IF(ISNUMBER(AP27),"부분 (재고 입력 필요)","보류 (생산 조건 미확인)"))</f>
        <v>부분 (재고 입력 필요)</v>
      </c>
      <c r="BE27" s="9" t="str">
        <f>IF(D27="대정비","대정비 범위·","")&amp;IF(D27="개선 (2대·105℃)","105℃ 품질 검증·","")&amp;IF(ISNUMBER('01_Inputs'!$B$105),"","양품률(100% 상한)·")&amp;IF(COUNTIF(U27:X27,"미제시")&gt;0,"고객 물량 미제시·","")&amp;IF(ISNUMBER(AJ27),"","200 L 충진시간·")&amp;IF(ISNUMBER('01_Inputs'!$B$86),"","글로브 박스 가용·")&amp;IF(ISNUMBER('01_Inputs'!$B$102),"","기초재고·")</f>
        <v>양품률(100% 상한)·200 L 충진시간·글로브 박스 가용·기초재고·</v>
      </c>
    </row>
    <row r="28">
      <c r="A28" s="55" t="n">
        <v>46692</v>
      </c>
      <c r="B28" s="15">
        <f>YEAR(A28)</f>
        <v>2027</v>
      </c>
      <c r="C28" s="15">
        <f>DAY(EOMONTH(A28,0))</f>
        <v>30</v>
      </c>
      <c r="D28" s="9" t="str">
        <f>IF(AND(YEAR(A28)&gt;=2027,MONTH(A28)='01_Inputs'!$B$69),"대정비",IF(A28&lt;'01_Inputs'!$B$80,"현재 (1대)",IF(AND(ISNUMBER('01_Inputs'!$B$76),A28&gt;='01_Inputs'!$B$76),"개선 (2대·105℃)","개선 (2대)")))</f>
        <v>개선 (2대)</v>
      </c>
      <c r="E28" s="15">
        <f>IF(LEFT(D28,2)="개선",'01_Inputs'!$B$8,'01_Inputs'!$B$7)</f>
        <v>2</v>
      </c>
      <c r="F28" s="56" t="n"/>
      <c r="G28" s="14">
        <f>IF(D28="대정비","대정비",E28*C28*24-N(F28))</f>
        <v>1440</v>
      </c>
      <c r="H28" s="30" t="str">
        <f>IF(D28="현재 (1대)",'03_Capacity_Model'!$B$80,IF(D28="개선 (2대)",IF(ISNUMBER('01_Inputs'!$B$82),'01_Inputs'!$B$82,"미확인"),IF(D28="개선 (2대·105℃)",IF(ISNUMBER('01_Inputs'!$B$77),'01_Inputs'!$B$77,"미확인"),"-")))</f>
        <v>미확인</v>
      </c>
      <c r="I28" s="14">
        <f>IF(AND(ISNUMBER(K27),D27=D28),K27,0)</f>
        <v>0</v>
      </c>
      <c r="J28" s="45" t="str">
        <f>IF(AND(ISNUMBER(G28),ISNUMBER(H28)),INT((G28+I28)/H28),IF(D28="대정비","대정비","미확인"))</f>
        <v>미확인</v>
      </c>
      <c r="K28" s="14">
        <f>IF(AND(ISNUMBER(G28),ISNUMBER(H28),ISNUMBER(J28)),G28+I28-J28*H28,"")</f>
      </c>
      <c r="L28" s="19">
        <f>IF(COUNTIFS('02_Batch_Raw'!$E$6:$E$99,"&gt;="&amp;A28,'02_Batch_Raw'!$E$6:$E$99,"&lt;="&amp;EOMONTH(A28,0))=0,"",COUNTIFS('02_Batch_Raw'!$E$6:$E$99,"&gt;="&amp;A28,'02_Batch_Raw'!$E$6:$E$99,"&lt;="&amp;EOMONTH(A28,0)))</f>
      </c>
      <c r="M28" s="19">
        <f>""</f>
      </c>
      <c r="N28" s="57" t="n"/>
      <c r="O28" s="15">
        <f>IF(ISNUMBER(N28),N28,IF(ISNUMBER('P4_2027_월별'!$M$6),'P4_2027_월별'!$M$6/Q28,J28))</f>
        <v>22.0153110047847</v>
      </c>
      <c r="P28" s="9" t="str">
        <f>IF(ISNUMBER(N28),"실적 입력",IF(ISNUMBER('P4_2027_월별'!$M$6),"Capa. 기준 계획","미확인"))</f>
        <v>Capa. 기준 계획</v>
      </c>
      <c r="Q28" s="25">
        <f>IF(LEFT(D28,2)="개선",IF(ISNUMBER('01_Inputs'!$B$61),'01_Inputs'!$B$61,'01_Inputs'!$B$49),'01_Inputs'!$B$49)</f>
        <v>190</v>
      </c>
      <c r="R28" s="25">
        <f>IF(ISNUMBER(N28),N28*Q28,IF(ISNUMBER('P4_2027_월별'!$M$6),'P4_2027_월별'!$M$6,IF(ISNUMBER(O28),O28*Q28,"미확인")))</f>
        <v>4182.90909090909</v>
      </c>
      <c r="S28" s="40">
        <f>IF(ISNUMBER(R28),R28*IF(ISNUMBER('01_Inputs'!$B$105),'01_Inputs'!$B$105,1),"미확인")</f>
        <v>4182.90909090909</v>
      </c>
      <c r="T28" s="32">
        <f>IF(D28="대정비",'01_Inputs'!$B$70,IF(D28="개선 (2대·105℃)",'01_Inputs'!$B$72,IF(D28="개선 (2대)",'01_Inputs'!$B$71,'01_Inputs'!$B$63*1000/12)))</f>
        <v>4182.90909090909</v>
      </c>
      <c r="U28" s="31">
        <f>IF(ISNUMBER('01_Inputs'!$M$118),'01_Inputs'!$M$118,"미제시")</f>
        <v>1893.33333333333</v>
      </c>
      <c r="V28" s="31">
        <f>IF(ISNUMBER('01_Inputs'!$M$119),'01_Inputs'!$M$119,"미제시")</f>
        <v>780</v>
      </c>
      <c r="W28" s="31">
        <f>IF(ISNUMBER('01_Inputs'!$M$120),'01_Inputs'!$M$120,"미제시")</f>
        <v>1120</v>
      </c>
      <c r="X28" s="31">
        <f>IF(ISNUMBER('01_Inputs'!$M$121),'01_Inputs'!$M$121,"미제시")</f>
        <v>300</v>
      </c>
      <c r="Y28" s="36">
        <f>SUM(U28:X28)</f>
        <v>4093.33333333333</v>
      </c>
      <c r="Z28" s="52">
        <f>Y28/Q28</f>
        <v>21.5438596491228</v>
      </c>
      <c r="AA28" s="52">
        <f>(N(U28)+N(V28))/'01_Inputs'!$B$42</f>
        <v>133.666666666667</v>
      </c>
      <c r="AB28" s="14">
        <f>AA28*'01_Inputs'!$B$28</f>
        <v>267.333333333333</v>
      </c>
      <c r="AC28" s="14">
        <f>AA28/'01_Inputs'!$B$29*'01_Inputs'!$B$32</f>
        <v>29.7037037037037</v>
      </c>
      <c r="AD28" s="52">
        <f>N(W28)/'01_Inputs'!$B$43</f>
        <v>8</v>
      </c>
      <c r="AE28" s="52">
        <f>N(X28)/'01_Inputs'!$B$44</f>
        <v>2</v>
      </c>
      <c r="AF28" s="9" t="str">
        <f>IF(AD28=0,"-",IF(A28&gt;='01_Inputs'!$B$47,"ARS","수동"))</f>
        <v>ARS</v>
      </c>
      <c r="AG28" s="9" t="str">
        <f>IF(AE28=0,"-",IF(A28&gt;='01_Inputs'!$B$46,"ARS","수동"))</f>
        <v>ARS</v>
      </c>
      <c r="AH28" s="14" t="str">
        <f>IF(AD28=0,0,IF(AF28="수동",AD28*'01_Inputs'!$B$34,IF(ISNUMBER('01_Inputs'!$B$36),AD28*'01_Inputs'!$B$36,"미확인")))</f>
        <v>미확인</v>
      </c>
      <c r="AI28" s="14" t="str">
        <f>IF(AE28=0,0,IF(AG28="수동",IF(ISNUMBER('01_Inputs'!$B$35),AE28*'01_Inputs'!$B$35,"미확인"),IF(ISNUMBER('01_Inputs'!$B$37),AE28*'01_Inputs'!$B$37,"미확인")))</f>
        <v>미확인</v>
      </c>
      <c r="AJ28" s="14" t="str">
        <f>IF(AND(ISNUMBER(AH28),ISNUMBER(AI28)),AH28+AI28,"부분 "&amp;TEXT(N(AH28)+N(AI28),"0")&amp;" h + 미확인")</f>
        <v>부분 0 h + 미확인</v>
      </c>
      <c r="AK28" s="14">
        <f>(AD28+AE28)*'01_Inputs'!$B$38</f>
        <v>80</v>
      </c>
      <c r="AL28" s="14">
        <f>(AD28+AE28)*'01_Inputs'!$B$33</f>
        <v>20</v>
      </c>
      <c r="AM28" s="14" t="str">
        <f>IF(ISNUMBER('01_Inputs'!$B$86),'01_Inputs'!$B$86,"미확인")</f>
        <v>미확인</v>
      </c>
      <c r="AN28" s="14" t="str">
        <f>IF(ISNUMBER(AM28),AM28-AB28,"미확인")</f>
        <v>미확인</v>
      </c>
      <c r="AO28" s="32">
        <f>T28-Y28</f>
        <v>89.575757575758</v>
      </c>
      <c r="AP28" s="32">
        <f>IF(ISNUMBER(S28),S28-Y28,"미확인")</f>
        <v>89.575757575758</v>
      </c>
      <c r="AQ28" s="32">
        <f>IF(AND(ISNUMBER(AP28),ISNUMBER(AQ27)),AQ27+AP28,"보류")</f>
        <v>-1314.30303030303</v>
      </c>
      <c r="AR28" s="32" t="str">
        <f>IF(ISNUMBER(AZ27),AZ27,"보류")</f>
        <v>보류</v>
      </c>
      <c r="AS28" s="32" t="str">
        <f>IF(AND(ISNUMBER(AR28),ISNUMBER(S28)),AR28+S28,"보류")</f>
        <v>보류</v>
      </c>
      <c r="AT28" s="32" t="str">
        <f>IF(ISNUMBER(AS28),MIN(AS28,U28),"보류")</f>
        <v>보류</v>
      </c>
      <c r="AU28" s="32" t="str">
        <f>IF(ISNUMBER(AS28),MIN(AS28-AT28,N('01_Inputs'!$B$103)),"보류")</f>
        <v>보류</v>
      </c>
      <c r="AV28" s="32" t="str">
        <f>IF(ISNUMBER(AS28),IF((N(V28)+N(W28)+N(X28))=0,0,MIN(N(V28),(AS28-AT28-AU28)*N(V28)/(N(V28)+N(W28)+N(X28)))),"보류")</f>
        <v>보류</v>
      </c>
      <c r="AW28" s="32" t="str">
        <f>IF(ISNUMBER(AS28),IF((N(V28)+N(W28)+N(X28))=0,0,MIN(N(W28),(AS28-AT28-AU28)*N(W28)/(N(V28)+N(W28)+N(X28)))),"보류")</f>
        <v>보류</v>
      </c>
      <c r="AX28" s="32" t="str">
        <f>IF(ISNUMBER(AS28),IF((N(V28)+N(W28)+N(X28))=0,0,MIN(N(X28),(AS28-AT28-AU28)*N(X28)/(N(V28)+N(W28)+N(X28)))),"보류")</f>
        <v>보류</v>
      </c>
      <c r="AY28" s="32" t="str">
        <f>IF(ISNUMBER(AS28),Y28-AT28-AV28-AW28-AX28,"보류")</f>
        <v>보류</v>
      </c>
      <c r="AZ28" s="36" t="str">
        <f>IF(ISNUMBER(AS28),AS28-AT28-AV28-AW28-AX28,"보류")</f>
        <v>보류</v>
      </c>
      <c r="BA28" s="32" t="str">
        <f>IF(ISNUMBER('01_Inputs'!$B$104),'01_Inputs'!$B$104,"미입력")</f>
        <v>미입력</v>
      </c>
      <c r="BB28" s="32" t="str">
        <f>IF(AND(ISNUMBER(AR28),ISNUMBER(BA28)),Y28+BA28-AR28,"보류")</f>
        <v>보류</v>
      </c>
      <c r="BC28" s="32" t="str">
        <f>IF(AND(ISNUMBER(AZ28),ISNUMBER(BA28)),AZ28-BA28,"보류")</f>
        <v>보류</v>
      </c>
      <c r="BD28" s="9" t="str">
        <f>IF(ISNUMBER(AZ28),"계산 가능",IF(ISNUMBER(AP28),"부분 (재고 입력 필요)","보류 (생산 조건 미확인)"))</f>
        <v>부분 (재고 입력 필요)</v>
      </c>
      <c r="BE28" s="9" t="str">
        <f>IF(D28="대정비","대정비 범위·","")&amp;IF(D28="개선 (2대·105℃)","105℃ 품질 검증·","")&amp;IF(ISNUMBER('01_Inputs'!$B$105),"","양품률(100% 상한)·")&amp;IF(COUNTIF(U28:X28,"미제시")&gt;0,"고객 물량 미제시·","")&amp;IF(ISNUMBER(AJ28),"","200 L 충진시간·")&amp;IF(ISNUMBER('01_Inputs'!$B$86),"","글로브 박스 가용·")&amp;IF(ISNUMBER('01_Inputs'!$B$102),"","기초재고·")</f>
        <v>양품률(100% 상한)·200 L 충진시간·글로브 박스 가용·기초재고·</v>
      </c>
    </row>
    <row r="29">
      <c r="A29" s="55" t="n">
        <v>46722</v>
      </c>
      <c r="B29" s="15">
        <f>YEAR(A29)</f>
        <v>2027</v>
      </c>
      <c r="C29" s="15">
        <f>DAY(EOMONTH(A29,0))</f>
        <v>31</v>
      </c>
      <c r="D29" s="9" t="str">
        <f>IF(AND(YEAR(A29)&gt;=2027,MONTH(A29)='01_Inputs'!$B$69),"대정비",IF(A29&lt;'01_Inputs'!$B$80,"현재 (1대)",IF(AND(ISNUMBER('01_Inputs'!$B$76),A29&gt;='01_Inputs'!$B$76),"개선 (2대·105℃)","개선 (2대)")))</f>
        <v>개선 (2대)</v>
      </c>
      <c r="E29" s="15">
        <f>IF(LEFT(D29,2)="개선",'01_Inputs'!$B$8,'01_Inputs'!$B$7)</f>
        <v>2</v>
      </c>
      <c r="F29" s="56" t="n"/>
      <c r="G29" s="14">
        <f>IF(D29="대정비","대정비",E29*C29*24-N(F29))</f>
        <v>1488</v>
      </c>
      <c r="H29" s="30" t="str">
        <f>IF(D29="현재 (1대)",'03_Capacity_Model'!$B$80,IF(D29="개선 (2대)",IF(ISNUMBER('01_Inputs'!$B$82),'01_Inputs'!$B$82,"미확인"),IF(D29="개선 (2대·105℃)",IF(ISNUMBER('01_Inputs'!$B$77),'01_Inputs'!$B$77,"미확인"),"-")))</f>
        <v>미확인</v>
      </c>
      <c r="I29" s="14">
        <f>IF(AND(ISNUMBER(K28),D28=D29),K28,0)</f>
        <v>0</v>
      </c>
      <c r="J29" s="45" t="str">
        <f>IF(AND(ISNUMBER(G29),ISNUMBER(H29)),INT((G29+I29)/H29),IF(D29="대정비","대정비","미확인"))</f>
        <v>미확인</v>
      </c>
      <c r="K29" s="14">
        <f>IF(AND(ISNUMBER(G29),ISNUMBER(H29),ISNUMBER(J29)),G29+I29-J29*H29,"")</f>
      </c>
      <c r="L29" s="19">
        <f>IF(COUNTIFS('02_Batch_Raw'!$E$6:$E$99,"&gt;="&amp;A29,'02_Batch_Raw'!$E$6:$E$99,"&lt;="&amp;EOMONTH(A29,0))=0,"",COUNTIFS('02_Batch_Raw'!$E$6:$E$99,"&gt;="&amp;A29,'02_Batch_Raw'!$E$6:$E$99,"&lt;="&amp;EOMONTH(A29,0)))</f>
      </c>
      <c r="M29" s="19">
        <f>""</f>
      </c>
      <c r="N29" s="57" t="n"/>
      <c r="O29" s="15">
        <f>IF(ISNUMBER(N29),N29,IF(ISNUMBER('P4_2027_월별'!$N$6),'P4_2027_월별'!$N$6/Q29,J29))</f>
        <v>22.0153110047847</v>
      </c>
      <c r="P29" s="9" t="str">
        <f>IF(ISNUMBER(N29),"실적 입력",IF(ISNUMBER('P4_2027_월별'!$N$6),"Capa. 기준 계획","미확인"))</f>
        <v>Capa. 기준 계획</v>
      </c>
      <c r="Q29" s="25">
        <f>IF(LEFT(D29,2)="개선",IF(ISNUMBER('01_Inputs'!$B$61),'01_Inputs'!$B$61,'01_Inputs'!$B$49),'01_Inputs'!$B$49)</f>
        <v>190</v>
      </c>
      <c r="R29" s="25">
        <f>IF(ISNUMBER(N29),N29*Q29,IF(ISNUMBER('P4_2027_월별'!$N$6),'P4_2027_월별'!$N$6,IF(ISNUMBER(O29),O29*Q29,"미확인")))</f>
        <v>4182.90909090909</v>
      </c>
      <c r="S29" s="40">
        <f>IF(ISNUMBER(R29),R29*IF(ISNUMBER('01_Inputs'!$B$105),'01_Inputs'!$B$105,1),"미확인")</f>
        <v>4182.90909090909</v>
      </c>
      <c r="T29" s="32">
        <f>IF(D29="대정비",'01_Inputs'!$B$70,IF(D29="개선 (2대·105℃)",'01_Inputs'!$B$72,IF(D29="개선 (2대)",'01_Inputs'!$B$71,'01_Inputs'!$B$63*1000/12)))</f>
        <v>4182.90909090909</v>
      </c>
      <c r="U29" s="31">
        <f>IF(ISNUMBER('01_Inputs'!$N$118),'01_Inputs'!$N$118,"미제시")</f>
        <v>1893.33333333333</v>
      </c>
      <c r="V29" s="31">
        <f>IF(ISNUMBER('01_Inputs'!$N$119),'01_Inputs'!$N$119,"미제시")</f>
        <v>780</v>
      </c>
      <c r="W29" s="31">
        <f>IF(ISNUMBER('01_Inputs'!$N$120),'01_Inputs'!$N$120,"미제시")</f>
        <v>1120</v>
      </c>
      <c r="X29" s="31">
        <f>IF(ISNUMBER('01_Inputs'!$N$121),'01_Inputs'!$N$121,"미제시")</f>
        <v>300</v>
      </c>
      <c r="Y29" s="36">
        <f>SUM(U29:X29)</f>
        <v>4093.33333333333</v>
      </c>
      <c r="Z29" s="52">
        <f>Y29/Q29</f>
        <v>21.5438596491228</v>
      </c>
      <c r="AA29" s="52">
        <f>(N(U29)+N(V29))/'01_Inputs'!$B$42</f>
        <v>133.666666666667</v>
      </c>
      <c r="AB29" s="14">
        <f>AA29*'01_Inputs'!$B$28</f>
        <v>267.333333333333</v>
      </c>
      <c r="AC29" s="14">
        <f>AA29/'01_Inputs'!$B$29*'01_Inputs'!$B$32</f>
        <v>29.7037037037037</v>
      </c>
      <c r="AD29" s="52">
        <f>N(W29)/'01_Inputs'!$B$43</f>
        <v>8</v>
      </c>
      <c r="AE29" s="52">
        <f>N(X29)/'01_Inputs'!$B$44</f>
        <v>2</v>
      </c>
      <c r="AF29" s="9" t="str">
        <f>IF(AD29=0,"-",IF(A29&gt;='01_Inputs'!$B$47,"ARS","수동"))</f>
        <v>ARS</v>
      </c>
      <c r="AG29" s="9" t="str">
        <f>IF(AE29=0,"-",IF(A29&gt;='01_Inputs'!$B$46,"ARS","수동"))</f>
        <v>ARS</v>
      </c>
      <c r="AH29" s="14" t="str">
        <f>IF(AD29=0,0,IF(AF29="수동",AD29*'01_Inputs'!$B$34,IF(ISNUMBER('01_Inputs'!$B$36),AD29*'01_Inputs'!$B$36,"미확인")))</f>
        <v>미확인</v>
      </c>
      <c r="AI29" s="14" t="str">
        <f>IF(AE29=0,0,IF(AG29="수동",IF(ISNUMBER('01_Inputs'!$B$35),AE29*'01_Inputs'!$B$35,"미확인"),IF(ISNUMBER('01_Inputs'!$B$37),AE29*'01_Inputs'!$B$37,"미확인")))</f>
        <v>미확인</v>
      </c>
      <c r="AJ29" s="14" t="str">
        <f>IF(AND(ISNUMBER(AH29),ISNUMBER(AI29)),AH29+AI29,"부분 "&amp;TEXT(N(AH29)+N(AI29),"0")&amp;" h + 미확인")</f>
        <v>부분 0 h + 미확인</v>
      </c>
      <c r="AK29" s="14">
        <f>(AD29+AE29)*'01_Inputs'!$B$38</f>
        <v>80</v>
      </c>
      <c r="AL29" s="14">
        <f>(AD29+AE29)*'01_Inputs'!$B$33</f>
        <v>20</v>
      </c>
      <c r="AM29" s="14" t="str">
        <f>IF(ISNUMBER('01_Inputs'!$B$86),'01_Inputs'!$B$86,"미확인")</f>
        <v>미확인</v>
      </c>
      <c r="AN29" s="14" t="str">
        <f>IF(ISNUMBER(AM29),AM29-AB29,"미확인")</f>
        <v>미확인</v>
      </c>
      <c r="AO29" s="32">
        <f>T29-Y29</f>
        <v>89.575757575758</v>
      </c>
      <c r="AP29" s="32">
        <f>IF(ISNUMBER(S29),S29-Y29,"미확인")</f>
        <v>89.575757575758</v>
      </c>
      <c r="AQ29" s="32">
        <f>IF(AND(ISNUMBER(AP29),ISNUMBER(AQ28)),AQ28+AP29,"보류")</f>
        <v>-1224.72727272727</v>
      </c>
      <c r="AR29" s="32" t="str">
        <f>IF(ISNUMBER(AZ28),AZ28,"보류")</f>
        <v>보류</v>
      </c>
      <c r="AS29" s="32" t="str">
        <f>IF(AND(ISNUMBER(AR29),ISNUMBER(S29)),AR29+S29,"보류")</f>
        <v>보류</v>
      </c>
      <c r="AT29" s="32" t="str">
        <f>IF(ISNUMBER(AS29),MIN(AS29,U29),"보류")</f>
        <v>보류</v>
      </c>
      <c r="AU29" s="32" t="str">
        <f>IF(ISNUMBER(AS29),MIN(AS29-AT29,N('01_Inputs'!$B$103)),"보류")</f>
        <v>보류</v>
      </c>
      <c r="AV29" s="32" t="str">
        <f>IF(ISNUMBER(AS29),IF((N(V29)+N(W29)+N(X29))=0,0,MIN(N(V29),(AS29-AT29-AU29)*N(V29)/(N(V29)+N(W29)+N(X29)))),"보류")</f>
        <v>보류</v>
      </c>
      <c r="AW29" s="32" t="str">
        <f>IF(ISNUMBER(AS29),IF((N(V29)+N(W29)+N(X29))=0,0,MIN(N(W29),(AS29-AT29-AU29)*N(W29)/(N(V29)+N(W29)+N(X29)))),"보류")</f>
        <v>보류</v>
      </c>
      <c r="AX29" s="32" t="str">
        <f>IF(ISNUMBER(AS29),IF((N(V29)+N(W29)+N(X29))=0,0,MIN(N(X29),(AS29-AT29-AU29)*N(X29)/(N(V29)+N(W29)+N(X29)))),"보류")</f>
        <v>보류</v>
      </c>
      <c r="AY29" s="32" t="str">
        <f>IF(ISNUMBER(AS29),Y29-AT29-AV29-AW29-AX29,"보류")</f>
        <v>보류</v>
      </c>
      <c r="AZ29" s="36" t="str">
        <f>IF(ISNUMBER(AS29),AS29-AT29-AV29-AW29-AX29,"보류")</f>
        <v>보류</v>
      </c>
      <c r="BA29" s="32" t="str">
        <f>IF(ISNUMBER('01_Inputs'!$B$104),'01_Inputs'!$B$104,"미입력")</f>
        <v>미입력</v>
      </c>
      <c r="BB29" s="32" t="str">
        <f>IF(AND(ISNUMBER(AR29),ISNUMBER(BA29)),Y29+BA29-AR29,"보류")</f>
        <v>보류</v>
      </c>
      <c r="BC29" s="32" t="str">
        <f>IF(AND(ISNUMBER(AZ29),ISNUMBER(BA29)),AZ29-BA29,"보류")</f>
        <v>보류</v>
      </c>
      <c r="BD29" s="9" t="str">
        <f>IF(ISNUMBER(AZ29),"계산 가능",IF(ISNUMBER(AP29),"부분 (재고 입력 필요)","보류 (생산 조건 미확인)"))</f>
        <v>부분 (재고 입력 필요)</v>
      </c>
      <c r="BE29" s="9" t="str">
        <f>IF(D29="대정비","대정비 범위·","")&amp;IF(D29="개선 (2대·105℃)","105℃ 품질 검증·","")&amp;IF(ISNUMBER('01_Inputs'!$B$105),"","양품률(100% 상한)·")&amp;IF(COUNTIF(U29:X29,"미제시")&gt;0,"고객 물량 미제시·","")&amp;IF(ISNUMBER(AJ29),"","200 L 충진시간·")&amp;IF(ISNUMBER('01_Inputs'!$B$86),"","글로브 박스 가용·")&amp;IF(ISNUMBER('01_Inputs'!$B$102),"","기초재고·")</f>
        <v>양품률(100% 상한)·200 L 충진시간·글로브 박스 가용·기초재고·</v>
      </c>
    </row>
    <row r="30">
      <c r="A30" s="55" t="n">
        <v>46753</v>
      </c>
      <c r="B30" s="15">
        <f>YEAR(A30)</f>
        <v>2028</v>
      </c>
      <c r="C30" s="15">
        <f>DAY(EOMONTH(A30,0))</f>
        <v>31</v>
      </c>
      <c r="D30" s="9" t="str">
        <f>IF(AND(YEAR(A30)&gt;=2027,MONTH(A30)='01_Inputs'!$B$69),"대정비",IF(A30&lt;'01_Inputs'!$B$80,"현재 (1대)",IF(AND(ISNUMBER('01_Inputs'!$B$76),A30&gt;='01_Inputs'!$B$76),"개선 (2대·105℃)","개선 (2대)")))</f>
        <v>개선 (2대·105℃)</v>
      </c>
      <c r="E30" s="15">
        <f>IF(LEFT(D30,2)="개선",'01_Inputs'!$B$8,'01_Inputs'!$B$7)</f>
        <v>2</v>
      </c>
      <c r="F30" s="56" t="n"/>
      <c r="G30" s="14">
        <f>IF(D30="대정비","대정비",E30*C30*24-N(F30))</f>
        <v>1488</v>
      </c>
      <c r="H30" s="30" t="str">
        <f>IF(D30="현재 (1대)",'03_Capacity_Model'!$B$80,IF(D30="개선 (2대)",IF(ISNUMBER('01_Inputs'!$B$82),'01_Inputs'!$B$82,"미확인"),IF(D30="개선 (2대·105℃)",IF(ISNUMBER('01_Inputs'!$B$77),'01_Inputs'!$B$77,"미확인"),"-")))</f>
        <v>미확인</v>
      </c>
      <c r="I30" s="14">
        <f>IF(AND(ISNUMBER(K29),D29=D30),K29,0)</f>
        <v>0</v>
      </c>
      <c r="J30" s="45" t="str">
        <f>IF(AND(ISNUMBER(G30),ISNUMBER(H30)),INT((G30+I30)/H30),IF(D30="대정비","대정비","미확인"))</f>
        <v>미확인</v>
      </c>
      <c r="K30" s="14">
        <f>IF(AND(ISNUMBER(G30),ISNUMBER(H30),ISNUMBER(J30)),G30+I30-J30*H30,"")</f>
      </c>
      <c r="L30" s="19">
        <f>IF(COUNTIFS('02_Batch_Raw'!$E$6:$E$99,"&gt;="&amp;A30,'02_Batch_Raw'!$E$6:$E$99,"&lt;="&amp;EOMONTH(A30,0))=0,"",COUNTIFS('02_Batch_Raw'!$E$6:$E$99,"&gt;="&amp;A30,'02_Batch_Raw'!$E$6:$E$99,"&lt;="&amp;EOMONTH(A30,0)))</f>
      </c>
      <c r="M30" s="19">
        <f>""</f>
      </c>
      <c r="N30" s="57" t="n"/>
      <c r="O30" s="15">
        <f>IF(ISNUMBER(N30),N30,IF(ISNUMBER('P5_2028_월별'!$C$6),'P5_2028_월별'!$C$6/Q30,J30))</f>
        <v>23.4507177033493</v>
      </c>
      <c r="P30" s="9" t="str">
        <f>IF(ISNUMBER(N30),"실적 입력",IF(ISNUMBER('P5_2028_월별'!$C$6),"Capa. 기준 계획","미확인"))</f>
        <v>Capa. 기준 계획</v>
      </c>
      <c r="Q30" s="25">
        <f>IF(LEFT(D30,2)="개선",IF(ISNUMBER('01_Inputs'!$B$61),'01_Inputs'!$B$61,'01_Inputs'!$B$49),'01_Inputs'!$B$49)</f>
        <v>190</v>
      </c>
      <c r="R30" s="25">
        <f>IF(ISNUMBER(N30),N30*Q30,IF(ISNUMBER('P5_2028_월별'!$C$6),'P5_2028_월별'!$C$6,IF(ISNUMBER(O30),O30*Q30,"미확인")))</f>
        <v>4455.63636363636</v>
      </c>
      <c r="S30" s="40">
        <f>IF(ISNUMBER(R30),R30*IF(ISNUMBER('01_Inputs'!$B$105),'01_Inputs'!$B$105,1),"미확인")</f>
        <v>4455.63636363636</v>
      </c>
      <c r="T30" s="32">
        <f>IF(D30="대정비",'01_Inputs'!$B$70,IF(D30="개선 (2대·105℃)",'01_Inputs'!$B$72,IF(D30="개선 (2대)",'01_Inputs'!$B$71,'01_Inputs'!$B$63*1000/12)))</f>
        <v>4455.63636363636</v>
      </c>
      <c r="U30" s="31">
        <f>IF(ISNUMBER('01_Inputs'!$C$122),'01_Inputs'!$C$122,"미제시")</f>
        <v>1893.33333333333</v>
      </c>
      <c r="V30" s="31">
        <f>IF(ISNUMBER('01_Inputs'!$C$123),'01_Inputs'!$C$123,"미제시")</f>
        <v>780</v>
      </c>
      <c r="W30" s="31">
        <f>IF(ISNUMBER('01_Inputs'!$C$124),'01_Inputs'!$C$124,"미제시")</f>
        <v>840</v>
      </c>
      <c r="X30" s="31">
        <f>IF(ISNUMBER('01_Inputs'!$C$125),'01_Inputs'!$C$125,"미제시")</f>
        <v>300</v>
      </c>
      <c r="Y30" s="36">
        <f>SUM(U30:X30)</f>
        <v>3813.33333333333</v>
      </c>
      <c r="Z30" s="52">
        <f>Y30/Q30</f>
        <v>20.0701754385965</v>
      </c>
      <c r="AA30" s="52">
        <f>(N(U30)+N(V30))/'01_Inputs'!$B$42</f>
        <v>133.666666666667</v>
      </c>
      <c r="AB30" s="14">
        <f>AA30*'01_Inputs'!$B$28</f>
        <v>267.333333333333</v>
      </c>
      <c r="AC30" s="14">
        <f>AA30/'01_Inputs'!$B$29*'01_Inputs'!$B$32</f>
        <v>29.7037037037037</v>
      </c>
      <c r="AD30" s="52">
        <f>N(W30)/'01_Inputs'!$B$43</f>
        <v>6</v>
      </c>
      <c r="AE30" s="52">
        <f>N(X30)/'01_Inputs'!$B$44</f>
        <v>2</v>
      </c>
      <c r="AF30" s="9" t="str">
        <f>IF(AD30=0,"-",IF(A30&gt;='01_Inputs'!$B$47,"ARS","수동"))</f>
        <v>ARS</v>
      </c>
      <c r="AG30" s="9" t="str">
        <f>IF(AE30=0,"-",IF(A30&gt;='01_Inputs'!$B$46,"ARS","수동"))</f>
        <v>ARS</v>
      </c>
      <c r="AH30" s="14" t="str">
        <f>IF(AD30=0,0,IF(AF30="수동",AD30*'01_Inputs'!$B$34,IF(ISNUMBER('01_Inputs'!$B$36),AD30*'01_Inputs'!$B$36,"미확인")))</f>
        <v>미확인</v>
      </c>
      <c r="AI30" s="14" t="str">
        <f>IF(AE30=0,0,IF(AG30="수동",IF(ISNUMBER('01_Inputs'!$B$35),AE30*'01_Inputs'!$B$35,"미확인"),IF(ISNUMBER('01_Inputs'!$B$37),AE30*'01_Inputs'!$B$37,"미확인")))</f>
        <v>미확인</v>
      </c>
      <c r="AJ30" s="14" t="str">
        <f>IF(AND(ISNUMBER(AH30),ISNUMBER(AI30)),AH30+AI30,"부분 "&amp;TEXT(N(AH30)+N(AI30),"0")&amp;" h + 미확인")</f>
        <v>부분 0 h + 미확인</v>
      </c>
      <c r="AK30" s="14">
        <f>(AD30+AE30)*'01_Inputs'!$B$38</f>
        <v>64</v>
      </c>
      <c r="AL30" s="14">
        <f>(AD30+AE30)*'01_Inputs'!$B$33</f>
        <v>16</v>
      </c>
      <c r="AM30" s="14" t="str">
        <f>IF(ISNUMBER('01_Inputs'!$B$86),'01_Inputs'!$B$86,"미확인")</f>
        <v>미확인</v>
      </c>
      <c r="AN30" s="14" t="str">
        <f>IF(ISNUMBER(AM30),AM30-AB30,"미확인")</f>
        <v>미확인</v>
      </c>
      <c r="AO30" s="32">
        <f>T30-Y30</f>
        <v>642.303030303031</v>
      </c>
      <c r="AP30" s="32">
        <f>IF(ISNUMBER(S30),S30-Y30,"미확인")</f>
        <v>642.303030303031</v>
      </c>
      <c r="AQ30" s="32">
        <f>IF(AND(ISNUMBER(AP30),ISNUMBER(AQ29)),AQ29+AP30,"보류")</f>
        <v>-582.424242424238</v>
      </c>
      <c r="AR30" s="32" t="str">
        <f>IF(ISNUMBER(AZ29),AZ29,"보류")</f>
        <v>보류</v>
      </c>
      <c r="AS30" s="32" t="str">
        <f>IF(AND(ISNUMBER(AR30),ISNUMBER(S30)),AR30+S30,"보류")</f>
        <v>보류</v>
      </c>
      <c r="AT30" s="32" t="str">
        <f>IF(ISNUMBER(AS30),MIN(AS30,U30),"보류")</f>
        <v>보류</v>
      </c>
      <c r="AU30" s="32" t="str">
        <f>IF(ISNUMBER(AS30),MIN(AS30-AT30,N('01_Inputs'!$B$103)),"보류")</f>
        <v>보류</v>
      </c>
      <c r="AV30" s="32" t="str">
        <f>IF(ISNUMBER(AS30),IF((N(V30)+N(W30)+N(X30))=0,0,MIN(N(V30),(AS30-AT30-AU30)*N(V30)/(N(V30)+N(W30)+N(X30)))),"보류")</f>
        <v>보류</v>
      </c>
      <c r="AW30" s="32" t="str">
        <f>IF(ISNUMBER(AS30),IF((N(V30)+N(W30)+N(X30))=0,0,MIN(N(W30),(AS30-AT30-AU30)*N(W30)/(N(V30)+N(W30)+N(X30)))),"보류")</f>
        <v>보류</v>
      </c>
      <c r="AX30" s="32" t="str">
        <f>IF(ISNUMBER(AS30),IF((N(V30)+N(W30)+N(X30))=0,0,MIN(N(X30),(AS30-AT30-AU30)*N(X30)/(N(V30)+N(W30)+N(X30)))),"보류")</f>
        <v>보류</v>
      </c>
      <c r="AY30" s="32" t="str">
        <f>IF(ISNUMBER(AS30),Y30-AT30-AV30-AW30-AX30,"보류")</f>
        <v>보류</v>
      </c>
      <c r="AZ30" s="36" t="str">
        <f>IF(ISNUMBER(AS30),AS30-AT30-AV30-AW30-AX30,"보류")</f>
        <v>보류</v>
      </c>
      <c r="BA30" s="32" t="str">
        <f>IF(ISNUMBER('01_Inputs'!$B$104),'01_Inputs'!$B$104,"미입력")</f>
        <v>미입력</v>
      </c>
      <c r="BB30" s="32" t="str">
        <f>IF(AND(ISNUMBER(AR30),ISNUMBER(BA30)),Y30+BA30-AR30,"보류")</f>
        <v>보류</v>
      </c>
      <c r="BC30" s="32" t="str">
        <f>IF(AND(ISNUMBER(AZ30),ISNUMBER(BA30)),AZ30-BA30,"보류")</f>
        <v>보류</v>
      </c>
      <c r="BD30" s="9" t="str">
        <f>IF(ISNUMBER(AZ30),"계산 가능",IF(ISNUMBER(AP30),"부분 (재고 입력 필요)","보류 (생산 조건 미확인)"))</f>
        <v>부분 (재고 입력 필요)</v>
      </c>
      <c r="BE30" s="9" t="str">
        <f>IF(D30="대정비","대정비 범위·","")&amp;IF(D30="개선 (2대·105℃)","105℃ 품질 검증·","")&amp;IF(ISNUMBER('01_Inputs'!$B$105),"","양품률(100% 상한)·")&amp;IF(COUNTIF(U30:X30,"미제시")&gt;0,"고객 물량 미제시·","")&amp;IF(ISNUMBER(AJ30),"","200 L 충진시간·")&amp;IF(ISNUMBER('01_Inputs'!$B$86),"","글로브 박스 가용·")&amp;IF(ISNUMBER('01_Inputs'!$B$102),"","기초재고·")</f>
        <v>105℃ 품질 검증·양품률(100% 상한)·200 L 충진시간·글로브 박스 가용·기초재고·</v>
      </c>
    </row>
    <row r="31">
      <c r="A31" s="55" t="n">
        <v>46784</v>
      </c>
      <c r="B31" s="15">
        <f>YEAR(A31)</f>
        <v>2028</v>
      </c>
      <c r="C31" s="15">
        <f>DAY(EOMONTH(A31,0))</f>
        <v>29</v>
      </c>
      <c r="D31" s="9" t="str">
        <f>IF(AND(YEAR(A31)&gt;=2027,MONTH(A31)='01_Inputs'!$B$69),"대정비",IF(A31&lt;'01_Inputs'!$B$80,"현재 (1대)",IF(AND(ISNUMBER('01_Inputs'!$B$76),A31&gt;='01_Inputs'!$B$76),"개선 (2대·105℃)","개선 (2대)")))</f>
        <v>개선 (2대·105℃)</v>
      </c>
      <c r="E31" s="15">
        <f>IF(LEFT(D31,2)="개선",'01_Inputs'!$B$8,'01_Inputs'!$B$7)</f>
        <v>2</v>
      </c>
      <c r="F31" s="56" t="n"/>
      <c r="G31" s="14">
        <f>IF(D31="대정비","대정비",E31*C31*24-N(F31))</f>
        <v>1392</v>
      </c>
      <c r="H31" s="30" t="str">
        <f>IF(D31="현재 (1대)",'03_Capacity_Model'!$B$80,IF(D31="개선 (2대)",IF(ISNUMBER('01_Inputs'!$B$82),'01_Inputs'!$B$82,"미확인"),IF(D31="개선 (2대·105℃)",IF(ISNUMBER('01_Inputs'!$B$77),'01_Inputs'!$B$77,"미확인"),"-")))</f>
        <v>미확인</v>
      </c>
      <c r="I31" s="14">
        <f>IF(AND(ISNUMBER(K30),D30=D31),K30,0)</f>
        <v>0</v>
      </c>
      <c r="J31" s="45" t="str">
        <f>IF(AND(ISNUMBER(G31),ISNUMBER(H31)),INT((G31+I31)/H31),IF(D31="대정비","대정비","미확인"))</f>
        <v>미확인</v>
      </c>
      <c r="K31" s="14">
        <f>IF(AND(ISNUMBER(G31),ISNUMBER(H31),ISNUMBER(J31)),G31+I31-J31*H31,"")</f>
      </c>
      <c r="L31" s="19">
        <f>IF(COUNTIFS('02_Batch_Raw'!$E$6:$E$99,"&gt;="&amp;A31,'02_Batch_Raw'!$E$6:$E$99,"&lt;="&amp;EOMONTH(A31,0))=0,"",COUNTIFS('02_Batch_Raw'!$E$6:$E$99,"&gt;="&amp;A31,'02_Batch_Raw'!$E$6:$E$99,"&lt;="&amp;EOMONTH(A31,0)))</f>
      </c>
      <c r="M31" s="19">
        <f>""</f>
      </c>
      <c r="N31" s="57" t="n"/>
      <c r="O31" s="15">
        <f>IF(ISNUMBER(N31),N31,IF(ISNUMBER('P5_2028_월별'!$D$6),'P5_2028_월별'!$D$6/Q31,J31))</f>
        <v>23.4507177033493</v>
      </c>
      <c r="P31" s="9" t="str">
        <f>IF(ISNUMBER(N31),"실적 입력",IF(ISNUMBER('P5_2028_월별'!$D$6),"Capa. 기준 계획","미확인"))</f>
        <v>Capa. 기준 계획</v>
      </c>
      <c r="Q31" s="25">
        <f>IF(LEFT(D31,2)="개선",IF(ISNUMBER('01_Inputs'!$B$61),'01_Inputs'!$B$61,'01_Inputs'!$B$49),'01_Inputs'!$B$49)</f>
        <v>190</v>
      </c>
      <c r="R31" s="25">
        <f>IF(ISNUMBER(N31),N31*Q31,IF(ISNUMBER('P5_2028_월별'!$D$6),'P5_2028_월별'!$D$6,IF(ISNUMBER(O31),O31*Q31,"미확인")))</f>
        <v>4455.63636363636</v>
      </c>
      <c r="S31" s="40">
        <f>IF(ISNUMBER(R31),R31*IF(ISNUMBER('01_Inputs'!$B$105),'01_Inputs'!$B$105,1),"미확인")</f>
        <v>4455.63636363636</v>
      </c>
      <c r="T31" s="32">
        <f>IF(D31="대정비",'01_Inputs'!$B$70,IF(D31="개선 (2대·105℃)",'01_Inputs'!$B$72,IF(D31="개선 (2대)",'01_Inputs'!$B$71,'01_Inputs'!$B$63*1000/12)))</f>
        <v>4455.63636363636</v>
      </c>
      <c r="U31" s="31">
        <f>IF(ISNUMBER('01_Inputs'!$D$122),'01_Inputs'!$D$122,"미제시")</f>
        <v>1893.33333333333</v>
      </c>
      <c r="V31" s="31">
        <f>IF(ISNUMBER('01_Inputs'!$D$123),'01_Inputs'!$D$123,"미제시")</f>
        <v>780</v>
      </c>
      <c r="W31" s="31">
        <f>IF(ISNUMBER('01_Inputs'!$D$124),'01_Inputs'!$D$124,"미제시")</f>
        <v>840</v>
      </c>
      <c r="X31" s="31">
        <f>IF(ISNUMBER('01_Inputs'!$D$125),'01_Inputs'!$D$125,"미제시")</f>
        <v>300</v>
      </c>
      <c r="Y31" s="36">
        <f>SUM(U31:X31)</f>
        <v>3813.33333333333</v>
      </c>
      <c r="Z31" s="52">
        <f>Y31/Q31</f>
        <v>20.0701754385965</v>
      </c>
      <c r="AA31" s="52">
        <f>(N(U31)+N(V31))/'01_Inputs'!$B$42</f>
        <v>133.666666666667</v>
      </c>
      <c r="AB31" s="14">
        <f>AA31*'01_Inputs'!$B$28</f>
        <v>267.333333333333</v>
      </c>
      <c r="AC31" s="14">
        <f>AA31/'01_Inputs'!$B$29*'01_Inputs'!$B$32</f>
        <v>29.7037037037037</v>
      </c>
      <c r="AD31" s="52">
        <f>N(W31)/'01_Inputs'!$B$43</f>
        <v>6</v>
      </c>
      <c r="AE31" s="52">
        <f>N(X31)/'01_Inputs'!$B$44</f>
        <v>2</v>
      </c>
      <c r="AF31" s="9" t="str">
        <f>IF(AD31=0,"-",IF(A31&gt;='01_Inputs'!$B$47,"ARS","수동"))</f>
        <v>ARS</v>
      </c>
      <c r="AG31" s="9" t="str">
        <f>IF(AE31=0,"-",IF(A31&gt;='01_Inputs'!$B$46,"ARS","수동"))</f>
        <v>ARS</v>
      </c>
      <c r="AH31" s="14" t="str">
        <f>IF(AD31=0,0,IF(AF31="수동",AD31*'01_Inputs'!$B$34,IF(ISNUMBER('01_Inputs'!$B$36),AD31*'01_Inputs'!$B$36,"미확인")))</f>
        <v>미확인</v>
      </c>
      <c r="AI31" s="14" t="str">
        <f>IF(AE31=0,0,IF(AG31="수동",IF(ISNUMBER('01_Inputs'!$B$35),AE31*'01_Inputs'!$B$35,"미확인"),IF(ISNUMBER('01_Inputs'!$B$37),AE31*'01_Inputs'!$B$37,"미확인")))</f>
        <v>미확인</v>
      </c>
      <c r="AJ31" s="14" t="str">
        <f>IF(AND(ISNUMBER(AH31),ISNUMBER(AI31)),AH31+AI31,"부분 "&amp;TEXT(N(AH31)+N(AI31),"0")&amp;" h + 미확인")</f>
        <v>부분 0 h + 미확인</v>
      </c>
      <c r="AK31" s="14">
        <f>(AD31+AE31)*'01_Inputs'!$B$38</f>
        <v>64</v>
      </c>
      <c r="AL31" s="14">
        <f>(AD31+AE31)*'01_Inputs'!$B$33</f>
        <v>16</v>
      </c>
      <c r="AM31" s="14" t="str">
        <f>IF(ISNUMBER('01_Inputs'!$B$86),'01_Inputs'!$B$86,"미확인")</f>
        <v>미확인</v>
      </c>
      <c r="AN31" s="14" t="str">
        <f>IF(ISNUMBER(AM31),AM31-AB31,"미확인")</f>
        <v>미확인</v>
      </c>
      <c r="AO31" s="32">
        <f>T31-Y31</f>
        <v>642.303030303031</v>
      </c>
      <c r="AP31" s="32">
        <f>IF(ISNUMBER(S31),S31-Y31,"미확인")</f>
        <v>642.303030303031</v>
      </c>
      <c r="AQ31" s="32">
        <f>IF(AND(ISNUMBER(AP31),ISNUMBER(AQ30)),AQ30+AP31,"보류")</f>
        <v>59.8787878787934</v>
      </c>
      <c r="AR31" s="32" t="str">
        <f>IF(ISNUMBER(AZ30),AZ30,"보류")</f>
        <v>보류</v>
      </c>
      <c r="AS31" s="32" t="str">
        <f>IF(AND(ISNUMBER(AR31),ISNUMBER(S31)),AR31+S31,"보류")</f>
        <v>보류</v>
      </c>
      <c r="AT31" s="32" t="str">
        <f>IF(ISNUMBER(AS31),MIN(AS31,U31),"보류")</f>
        <v>보류</v>
      </c>
      <c r="AU31" s="32" t="str">
        <f>IF(ISNUMBER(AS31),MIN(AS31-AT31,N('01_Inputs'!$B$103)),"보류")</f>
        <v>보류</v>
      </c>
      <c r="AV31" s="32" t="str">
        <f>IF(ISNUMBER(AS31),IF((N(V31)+N(W31)+N(X31))=0,0,MIN(N(V31),(AS31-AT31-AU31)*N(V31)/(N(V31)+N(W31)+N(X31)))),"보류")</f>
        <v>보류</v>
      </c>
      <c r="AW31" s="32" t="str">
        <f>IF(ISNUMBER(AS31),IF((N(V31)+N(W31)+N(X31))=0,0,MIN(N(W31),(AS31-AT31-AU31)*N(W31)/(N(V31)+N(W31)+N(X31)))),"보류")</f>
        <v>보류</v>
      </c>
      <c r="AX31" s="32" t="str">
        <f>IF(ISNUMBER(AS31),IF((N(V31)+N(W31)+N(X31))=0,0,MIN(N(X31),(AS31-AT31-AU31)*N(X31)/(N(V31)+N(W31)+N(X31)))),"보류")</f>
        <v>보류</v>
      </c>
      <c r="AY31" s="32" t="str">
        <f>IF(ISNUMBER(AS31),Y31-AT31-AV31-AW31-AX31,"보류")</f>
        <v>보류</v>
      </c>
      <c r="AZ31" s="36" t="str">
        <f>IF(ISNUMBER(AS31),AS31-AT31-AV31-AW31-AX31,"보류")</f>
        <v>보류</v>
      </c>
      <c r="BA31" s="32" t="str">
        <f>IF(ISNUMBER('01_Inputs'!$B$104),'01_Inputs'!$B$104,"미입력")</f>
        <v>미입력</v>
      </c>
      <c r="BB31" s="32" t="str">
        <f>IF(AND(ISNUMBER(AR31),ISNUMBER(BA31)),Y31+BA31-AR31,"보류")</f>
        <v>보류</v>
      </c>
      <c r="BC31" s="32" t="str">
        <f>IF(AND(ISNUMBER(AZ31),ISNUMBER(BA31)),AZ31-BA31,"보류")</f>
        <v>보류</v>
      </c>
      <c r="BD31" s="9" t="str">
        <f>IF(ISNUMBER(AZ31),"계산 가능",IF(ISNUMBER(AP31),"부분 (재고 입력 필요)","보류 (생산 조건 미확인)"))</f>
        <v>부분 (재고 입력 필요)</v>
      </c>
      <c r="BE31" s="9" t="str">
        <f>IF(D31="대정비","대정비 범위·","")&amp;IF(D31="개선 (2대·105℃)","105℃ 품질 검증·","")&amp;IF(ISNUMBER('01_Inputs'!$B$105),"","양품률(100% 상한)·")&amp;IF(COUNTIF(U31:X31,"미제시")&gt;0,"고객 물량 미제시·","")&amp;IF(ISNUMBER(AJ31),"","200 L 충진시간·")&amp;IF(ISNUMBER('01_Inputs'!$B$86),"","글로브 박스 가용·")&amp;IF(ISNUMBER('01_Inputs'!$B$102),"","기초재고·")</f>
        <v>105℃ 품질 검증·양품률(100% 상한)·200 L 충진시간·글로브 박스 가용·기초재고·</v>
      </c>
    </row>
    <row r="32">
      <c r="A32" s="55" t="n">
        <v>46813</v>
      </c>
      <c r="B32" s="15">
        <f>YEAR(A32)</f>
        <v>2028</v>
      </c>
      <c r="C32" s="15">
        <f>DAY(EOMONTH(A32,0))</f>
        <v>31</v>
      </c>
      <c r="D32" s="9" t="str">
        <f>IF(AND(YEAR(A32)&gt;=2027,MONTH(A32)='01_Inputs'!$B$69),"대정비",IF(A32&lt;'01_Inputs'!$B$80,"현재 (1대)",IF(AND(ISNUMBER('01_Inputs'!$B$76),A32&gt;='01_Inputs'!$B$76),"개선 (2대·105℃)","개선 (2대)")))</f>
        <v>개선 (2대·105℃)</v>
      </c>
      <c r="E32" s="15">
        <f>IF(LEFT(D32,2)="개선",'01_Inputs'!$B$8,'01_Inputs'!$B$7)</f>
        <v>2</v>
      </c>
      <c r="F32" s="56" t="n"/>
      <c r="G32" s="14">
        <f>IF(D32="대정비","대정비",E32*C32*24-N(F32))</f>
        <v>1488</v>
      </c>
      <c r="H32" s="30" t="str">
        <f>IF(D32="현재 (1대)",'03_Capacity_Model'!$B$80,IF(D32="개선 (2대)",IF(ISNUMBER('01_Inputs'!$B$82),'01_Inputs'!$B$82,"미확인"),IF(D32="개선 (2대·105℃)",IF(ISNUMBER('01_Inputs'!$B$77),'01_Inputs'!$B$77,"미확인"),"-")))</f>
        <v>미확인</v>
      </c>
      <c r="I32" s="14">
        <f>IF(AND(ISNUMBER(K31),D31=D32),K31,0)</f>
        <v>0</v>
      </c>
      <c r="J32" s="45" t="str">
        <f>IF(AND(ISNUMBER(G32),ISNUMBER(H32)),INT((G32+I32)/H32),IF(D32="대정비","대정비","미확인"))</f>
        <v>미확인</v>
      </c>
      <c r="K32" s="14">
        <f>IF(AND(ISNUMBER(G32),ISNUMBER(H32),ISNUMBER(J32)),G32+I32-J32*H32,"")</f>
      </c>
      <c r="L32" s="19">
        <f>IF(COUNTIFS('02_Batch_Raw'!$E$6:$E$99,"&gt;="&amp;A32,'02_Batch_Raw'!$E$6:$E$99,"&lt;="&amp;EOMONTH(A32,0))=0,"",COUNTIFS('02_Batch_Raw'!$E$6:$E$99,"&gt;="&amp;A32,'02_Batch_Raw'!$E$6:$E$99,"&lt;="&amp;EOMONTH(A32,0)))</f>
      </c>
      <c r="M32" s="19">
        <f>""</f>
      </c>
      <c r="N32" s="57" t="n"/>
      <c r="O32" s="15">
        <f>IF(ISNUMBER(N32),N32,IF(ISNUMBER('P5_2028_월별'!$E$6),'P5_2028_월별'!$E$6/Q32,J32))</f>
        <v>23.4507177033493</v>
      </c>
      <c r="P32" s="9" t="str">
        <f>IF(ISNUMBER(N32),"실적 입력",IF(ISNUMBER('P5_2028_월별'!$E$6),"Capa. 기준 계획","미확인"))</f>
        <v>Capa. 기준 계획</v>
      </c>
      <c r="Q32" s="25">
        <f>IF(LEFT(D32,2)="개선",IF(ISNUMBER('01_Inputs'!$B$61),'01_Inputs'!$B$61,'01_Inputs'!$B$49),'01_Inputs'!$B$49)</f>
        <v>190</v>
      </c>
      <c r="R32" s="25">
        <f>IF(ISNUMBER(N32),N32*Q32,IF(ISNUMBER('P5_2028_월별'!$E$6),'P5_2028_월별'!$E$6,IF(ISNUMBER(O32),O32*Q32,"미확인")))</f>
        <v>4455.63636363636</v>
      </c>
      <c r="S32" s="40">
        <f>IF(ISNUMBER(R32),R32*IF(ISNUMBER('01_Inputs'!$B$105),'01_Inputs'!$B$105,1),"미확인")</f>
        <v>4455.63636363636</v>
      </c>
      <c r="T32" s="32">
        <f>IF(D32="대정비",'01_Inputs'!$B$70,IF(D32="개선 (2대·105℃)",'01_Inputs'!$B$72,IF(D32="개선 (2대)",'01_Inputs'!$B$71,'01_Inputs'!$B$63*1000/12)))</f>
        <v>4455.63636363636</v>
      </c>
      <c r="U32" s="31">
        <f>IF(ISNUMBER('01_Inputs'!$E$122),'01_Inputs'!$E$122,"미제시")</f>
        <v>1893.33333333333</v>
      </c>
      <c r="V32" s="31">
        <f>IF(ISNUMBER('01_Inputs'!$E$123),'01_Inputs'!$E$123,"미제시")</f>
        <v>780</v>
      </c>
      <c r="W32" s="31">
        <f>IF(ISNUMBER('01_Inputs'!$E$124),'01_Inputs'!$E$124,"미제시")</f>
        <v>840</v>
      </c>
      <c r="X32" s="31">
        <f>IF(ISNUMBER('01_Inputs'!$E$125),'01_Inputs'!$E$125,"미제시")</f>
        <v>300</v>
      </c>
      <c r="Y32" s="36">
        <f>SUM(U32:X32)</f>
        <v>3813.33333333333</v>
      </c>
      <c r="Z32" s="52">
        <f>Y32/Q32</f>
        <v>20.0701754385965</v>
      </c>
      <c r="AA32" s="52">
        <f>(N(U32)+N(V32))/'01_Inputs'!$B$42</f>
        <v>133.666666666667</v>
      </c>
      <c r="AB32" s="14">
        <f>AA32*'01_Inputs'!$B$28</f>
        <v>267.333333333333</v>
      </c>
      <c r="AC32" s="14">
        <f>AA32/'01_Inputs'!$B$29*'01_Inputs'!$B$32</f>
        <v>29.7037037037037</v>
      </c>
      <c r="AD32" s="52">
        <f>N(W32)/'01_Inputs'!$B$43</f>
        <v>6</v>
      </c>
      <c r="AE32" s="52">
        <f>N(X32)/'01_Inputs'!$B$44</f>
        <v>2</v>
      </c>
      <c r="AF32" s="9" t="str">
        <f>IF(AD32=0,"-",IF(A32&gt;='01_Inputs'!$B$47,"ARS","수동"))</f>
        <v>ARS</v>
      </c>
      <c r="AG32" s="9" t="str">
        <f>IF(AE32=0,"-",IF(A32&gt;='01_Inputs'!$B$46,"ARS","수동"))</f>
        <v>ARS</v>
      </c>
      <c r="AH32" s="14" t="str">
        <f>IF(AD32=0,0,IF(AF32="수동",AD32*'01_Inputs'!$B$34,IF(ISNUMBER('01_Inputs'!$B$36),AD32*'01_Inputs'!$B$36,"미확인")))</f>
        <v>미확인</v>
      </c>
      <c r="AI32" s="14" t="str">
        <f>IF(AE32=0,0,IF(AG32="수동",IF(ISNUMBER('01_Inputs'!$B$35),AE32*'01_Inputs'!$B$35,"미확인"),IF(ISNUMBER('01_Inputs'!$B$37),AE32*'01_Inputs'!$B$37,"미확인")))</f>
        <v>미확인</v>
      </c>
      <c r="AJ32" s="14" t="str">
        <f>IF(AND(ISNUMBER(AH32),ISNUMBER(AI32)),AH32+AI32,"부분 "&amp;TEXT(N(AH32)+N(AI32),"0")&amp;" h + 미확인")</f>
        <v>부분 0 h + 미확인</v>
      </c>
      <c r="AK32" s="14">
        <f>(AD32+AE32)*'01_Inputs'!$B$38</f>
        <v>64</v>
      </c>
      <c r="AL32" s="14">
        <f>(AD32+AE32)*'01_Inputs'!$B$33</f>
        <v>16</v>
      </c>
      <c r="AM32" s="14" t="str">
        <f>IF(ISNUMBER('01_Inputs'!$B$86),'01_Inputs'!$B$86,"미확인")</f>
        <v>미확인</v>
      </c>
      <c r="AN32" s="14" t="str">
        <f>IF(ISNUMBER(AM32),AM32-AB32,"미확인")</f>
        <v>미확인</v>
      </c>
      <c r="AO32" s="32">
        <f>T32-Y32</f>
        <v>642.303030303031</v>
      </c>
      <c r="AP32" s="32">
        <f>IF(ISNUMBER(S32),S32-Y32,"미확인")</f>
        <v>642.303030303031</v>
      </c>
      <c r="AQ32" s="32">
        <f>IF(AND(ISNUMBER(AP32),ISNUMBER(AQ31)),AQ31+AP32,"보류")</f>
        <v>702.181818181824</v>
      </c>
      <c r="AR32" s="32" t="str">
        <f>IF(ISNUMBER(AZ31),AZ31,"보류")</f>
        <v>보류</v>
      </c>
      <c r="AS32" s="32" t="str">
        <f>IF(AND(ISNUMBER(AR32),ISNUMBER(S32)),AR32+S32,"보류")</f>
        <v>보류</v>
      </c>
      <c r="AT32" s="32" t="str">
        <f>IF(ISNUMBER(AS32),MIN(AS32,U32),"보류")</f>
        <v>보류</v>
      </c>
      <c r="AU32" s="32" t="str">
        <f>IF(ISNUMBER(AS32),MIN(AS32-AT32,N('01_Inputs'!$B$103)),"보류")</f>
        <v>보류</v>
      </c>
      <c r="AV32" s="32" t="str">
        <f>IF(ISNUMBER(AS32),IF((N(V32)+N(W32)+N(X32))=0,0,MIN(N(V32),(AS32-AT32-AU32)*N(V32)/(N(V32)+N(W32)+N(X32)))),"보류")</f>
        <v>보류</v>
      </c>
      <c r="AW32" s="32" t="str">
        <f>IF(ISNUMBER(AS32),IF((N(V32)+N(W32)+N(X32))=0,0,MIN(N(W32),(AS32-AT32-AU32)*N(W32)/(N(V32)+N(W32)+N(X32)))),"보류")</f>
        <v>보류</v>
      </c>
      <c r="AX32" s="32" t="str">
        <f>IF(ISNUMBER(AS32),IF((N(V32)+N(W32)+N(X32))=0,0,MIN(N(X32),(AS32-AT32-AU32)*N(X32)/(N(V32)+N(W32)+N(X32)))),"보류")</f>
        <v>보류</v>
      </c>
      <c r="AY32" s="32" t="str">
        <f>IF(ISNUMBER(AS32),Y32-AT32-AV32-AW32-AX32,"보류")</f>
        <v>보류</v>
      </c>
      <c r="AZ32" s="36" t="str">
        <f>IF(ISNUMBER(AS32),AS32-AT32-AV32-AW32-AX32,"보류")</f>
        <v>보류</v>
      </c>
      <c r="BA32" s="32" t="str">
        <f>IF(ISNUMBER('01_Inputs'!$B$104),'01_Inputs'!$B$104,"미입력")</f>
        <v>미입력</v>
      </c>
      <c r="BB32" s="32" t="str">
        <f>IF(AND(ISNUMBER(AR32),ISNUMBER(BA32)),Y32+BA32-AR32,"보류")</f>
        <v>보류</v>
      </c>
      <c r="BC32" s="32" t="str">
        <f>IF(AND(ISNUMBER(AZ32),ISNUMBER(BA32)),AZ32-BA32,"보류")</f>
        <v>보류</v>
      </c>
      <c r="BD32" s="9" t="str">
        <f>IF(ISNUMBER(AZ32),"계산 가능",IF(ISNUMBER(AP32),"부분 (재고 입력 필요)","보류 (생산 조건 미확인)"))</f>
        <v>부분 (재고 입력 필요)</v>
      </c>
      <c r="BE32" s="9" t="str">
        <f>IF(D32="대정비","대정비 범위·","")&amp;IF(D32="개선 (2대·105℃)","105℃ 품질 검증·","")&amp;IF(ISNUMBER('01_Inputs'!$B$105),"","양품률(100% 상한)·")&amp;IF(COUNTIF(U32:X32,"미제시")&gt;0,"고객 물량 미제시·","")&amp;IF(ISNUMBER(AJ32),"","200 L 충진시간·")&amp;IF(ISNUMBER('01_Inputs'!$B$86),"","글로브 박스 가용·")&amp;IF(ISNUMBER('01_Inputs'!$B$102),"","기초재고·")</f>
        <v>105℃ 품질 검증·양품률(100% 상한)·200 L 충진시간·글로브 박스 가용·기초재고·</v>
      </c>
    </row>
    <row r="33">
      <c r="A33" s="55" t="n">
        <v>46844</v>
      </c>
      <c r="B33" s="15">
        <f>YEAR(A33)</f>
        <v>2028</v>
      </c>
      <c r="C33" s="15">
        <f>DAY(EOMONTH(A33,0))</f>
        <v>30</v>
      </c>
      <c r="D33" s="9" t="str">
        <f>IF(AND(YEAR(A33)&gt;=2027,MONTH(A33)='01_Inputs'!$B$69),"대정비",IF(A33&lt;'01_Inputs'!$B$80,"현재 (1대)",IF(AND(ISNUMBER('01_Inputs'!$B$76),A33&gt;='01_Inputs'!$B$76),"개선 (2대·105℃)","개선 (2대)")))</f>
        <v>대정비</v>
      </c>
      <c r="E33" s="15">
        <f>IF(LEFT(D33,2)="개선",'01_Inputs'!$B$8,'01_Inputs'!$B$7)</f>
        <v>1</v>
      </c>
      <c r="F33" s="56" t="n"/>
      <c r="G33" s="14" t="str">
        <f>IF(D33="대정비","대정비",E33*C33*24-N(F33))</f>
        <v>대정비</v>
      </c>
      <c r="H33" s="30" t="str">
        <f>IF(D33="현재 (1대)",'03_Capacity_Model'!$B$80,IF(D33="개선 (2대)",IF(ISNUMBER('01_Inputs'!$B$82),'01_Inputs'!$B$82,"미확인"),IF(D33="개선 (2대·105℃)",IF(ISNUMBER('01_Inputs'!$B$77),'01_Inputs'!$B$77,"미확인"),"-")))</f>
        <v>-</v>
      </c>
      <c r="I33" s="14">
        <f>IF(AND(ISNUMBER(K32),D32=D33),K32,0)</f>
        <v>0</v>
      </c>
      <c r="J33" s="45" t="str">
        <f>IF(AND(ISNUMBER(G33),ISNUMBER(H33)),INT((G33+I33)/H33),IF(D33="대정비","대정비","미확인"))</f>
        <v>대정비</v>
      </c>
      <c r="K33" s="14">
        <f>IF(AND(ISNUMBER(G33),ISNUMBER(H33),ISNUMBER(J33)),G33+I33-J33*H33,"")</f>
      </c>
      <c r="L33" s="19">
        <f>IF(COUNTIFS('02_Batch_Raw'!$E$6:$E$99,"&gt;="&amp;A33,'02_Batch_Raw'!$E$6:$E$99,"&lt;="&amp;EOMONTH(A33,0))=0,"",COUNTIFS('02_Batch_Raw'!$E$6:$E$99,"&gt;="&amp;A33,'02_Batch_Raw'!$E$6:$E$99,"&lt;="&amp;EOMONTH(A33,0)))</f>
      </c>
      <c r="M33" s="19">
        <f>""</f>
      </c>
      <c r="N33" s="57" t="n"/>
      <c r="O33" s="15">
        <f>IF(ISNUMBER(N33),N33,IF(ISNUMBER('P5_2028_월별'!$F$6),'P5_2028_월별'!$F$6/Q33,J33))</f>
        <v>6.25263157894737</v>
      </c>
      <c r="P33" s="9" t="str">
        <f>IF(ISNUMBER(N33),"실적 입력",IF(ISNUMBER('P5_2028_월별'!$F$6),"Capa. 기준 계획","미확인"))</f>
        <v>Capa. 기준 계획</v>
      </c>
      <c r="Q33" s="25">
        <f>IF(LEFT(D33,2)="개선",IF(ISNUMBER('01_Inputs'!$B$61),'01_Inputs'!$B$61,'01_Inputs'!$B$49),'01_Inputs'!$B$49)</f>
        <v>190</v>
      </c>
      <c r="R33" s="25">
        <f>IF(ISNUMBER(N33),N33*Q33,IF(ISNUMBER('P5_2028_월별'!$F$6),'P5_2028_월별'!$F$6,IF(ISNUMBER(O33),O33*Q33,"미확인")))</f>
        <v>1188</v>
      </c>
      <c r="S33" s="40">
        <f>IF(ISNUMBER(R33),R33*IF(ISNUMBER('01_Inputs'!$B$105),'01_Inputs'!$B$105,1),"미확인")</f>
        <v>1188</v>
      </c>
      <c r="T33" s="32">
        <f>IF(D33="대정비",'01_Inputs'!$B$70,IF(D33="개선 (2대·105℃)",'01_Inputs'!$B$72,IF(D33="개선 (2대)",'01_Inputs'!$B$71,'01_Inputs'!$B$63*1000/12)))</f>
        <v>1188</v>
      </c>
      <c r="U33" s="31">
        <f>IF(ISNUMBER('01_Inputs'!$F$122),'01_Inputs'!$F$122,"미제시")</f>
        <v>1893.33333333333</v>
      </c>
      <c r="V33" s="31">
        <f>IF(ISNUMBER('01_Inputs'!$F$123),'01_Inputs'!$F$123,"미제시")</f>
        <v>780</v>
      </c>
      <c r="W33" s="31">
        <f>IF(ISNUMBER('01_Inputs'!$F$124),'01_Inputs'!$F$124,"미제시")</f>
        <v>840</v>
      </c>
      <c r="X33" s="31">
        <f>IF(ISNUMBER('01_Inputs'!$F$125),'01_Inputs'!$F$125,"미제시")</f>
        <v>300</v>
      </c>
      <c r="Y33" s="36">
        <f>SUM(U33:X33)</f>
        <v>3813.33333333333</v>
      </c>
      <c r="Z33" s="52">
        <f>Y33/Q33</f>
        <v>20.0701754385965</v>
      </c>
      <c r="AA33" s="52">
        <f>(N(U33)+N(V33))/'01_Inputs'!$B$42</f>
        <v>133.666666666667</v>
      </c>
      <c r="AB33" s="14">
        <f>AA33*'01_Inputs'!$B$28</f>
        <v>267.333333333333</v>
      </c>
      <c r="AC33" s="14">
        <f>AA33/'01_Inputs'!$B$29*'01_Inputs'!$B$32</f>
        <v>29.7037037037037</v>
      </c>
      <c r="AD33" s="52">
        <f>N(W33)/'01_Inputs'!$B$43</f>
        <v>6</v>
      </c>
      <c r="AE33" s="52">
        <f>N(X33)/'01_Inputs'!$B$44</f>
        <v>2</v>
      </c>
      <c r="AF33" s="9" t="str">
        <f>IF(AD33=0,"-",IF(A33&gt;='01_Inputs'!$B$47,"ARS","수동"))</f>
        <v>ARS</v>
      </c>
      <c r="AG33" s="9" t="str">
        <f>IF(AE33=0,"-",IF(A33&gt;='01_Inputs'!$B$46,"ARS","수동"))</f>
        <v>ARS</v>
      </c>
      <c r="AH33" s="14" t="str">
        <f>IF(AD33=0,0,IF(AF33="수동",AD33*'01_Inputs'!$B$34,IF(ISNUMBER('01_Inputs'!$B$36),AD33*'01_Inputs'!$B$36,"미확인")))</f>
        <v>미확인</v>
      </c>
      <c r="AI33" s="14" t="str">
        <f>IF(AE33=0,0,IF(AG33="수동",IF(ISNUMBER('01_Inputs'!$B$35),AE33*'01_Inputs'!$B$35,"미확인"),IF(ISNUMBER('01_Inputs'!$B$37),AE33*'01_Inputs'!$B$37,"미확인")))</f>
        <v>미확인</v>
      </c>
      <c r="AJ33" s="14" t="str">
        <f>IF(AND(ISNUMBER(AH33),ISNUMBER(AI33)),AH33+AI33,"부분 "&amp;TEXT(N(AH33)+N(AI33),"0")&amp;" h + 미확인")</f>
        <v>부분 0 h + 미확인</v>
      </c>
      <c r="AK33" s="14">
        <f>(AD33+AE33)*'01_Inputs'!$B$38</f>
        <v>64</v>
      </c>
      <c r="AL33" s="14">
        <f>(AD33+AE33)*'01_Inputs'!$B$33</f>
        <v>16</v>
      </c>
      <c r="AM33" s="14" t="str">
        <f>IF(ISNUMBER('01_Inputs'!$B$86),'01_Inputs'!$B$86,"미확인")</f>
        <v>미확인</v>
      </c>
      <c r="AN33" s="14" t="str">
        <f>IF(ISNUMBER(AM33),AM33-AB33,"미확인")</f>
        <v>미확인</v>
      </c>
      <c r="AO33" s="32">
        <f>T33-Y33</f>
        <v>-2625.33333333333</v>
      </c>
      <c r="AP33" s="32">
        <f>IF(ISNUMBER(S33),S33-Y33,"미확인")</f>
        <v>-2625.33333333333</v>
      </c>
      <c r="AQ33" s="32">
        <f>IF(AND(ISNUMBER(AP33),ISNUMBER(AQ32)),AQ32+AP33,"보류")</f>
        <v>-1923.15151515151</v>
      </c>
      <c r="AR33" s="32" t="str">
        <f>IF(ISNUMBER(AZ32),AZ32,"보류")</f>
        <v>보류</v>
      </c>
      <c r="AS33" s="32" t="str">
        <f>IF(AND(ISNUMBER(AR33),ISNUMBER(S33)),AR33+S33,"보류")</f>
        <v>보류</v>
      </c>
      <c r="AT33" s="32" t="str">
        <f>IF(ISNUMBER(AS33),MIN(AS33,U33),"보류")</f>
        <v>보류</v>
      </c>
      <c r="AU33" s="32" t="str">
        <f>IF(ISNUMBER(AS33),MIN(AS33-AT33,N('01_Inputs'!$B$103)),"보류")</f>
        <v>보류</v>
      </c>
      <c r="AV33" s="32" t="str">
        <f>IF(ISNUMBER(AS33),IF((N(V33)+N(W33)+N(X33))=0,0,MIN(N(V33),(AS33-AT33-AU33)*N(V33)/(N(V33)+N(W33)+N(X33)))),"보류")</f>
        <v>보류</v>
      </c>
      <c r="AW33" s="32" t="str">
        <f>IF(ISNUMBER(AS33),IF((N(V33)+N(W33)+N(X33))=0,0,MIN(N(W33),(AS33-AT33-AU33)*N(W33)/(N(V33)+N(W33)+N(X33)))),"보류")</f>
        <v>보류</v>
      </c>
      <c r="AX33" s="32" t="str">
        <f>IF(ISNUMBER(AS33),IF((N(V33)+N(W33)+N(X33))=0,0,MIN(N(X33),(AS33-AT33-AU33)*N(X33)/(N(V33)+N(W33)+N(X33)))),"보류")</f>
        <v>보류</v>
      </c>
      <c r="AY33" s="32" t="str">
        <f>IF(ISNUMBER(AS33),Y33-AT33-AV33-AW33-AX33,"보류")</f>
        <v>보류</v>
      </c>
      <c r="AZ33" s="36" t="str">
        <f>IF(ISNUMBER(AS33),AS33-AT33-AV33-AW33-AX33,"보류")</f>
        <v>보류</v>
      </c>
      <c r="BA33" s="32" t="str">
        <f>IF(ISNUMBER('01_Inputs'!$B$104),'01_Inputs'!$B$104,"미입력")</f>
        <v>미입력</v>
      </c>
      <c r="BB33" s="32" t="str">
        <f>IF(AND(ISNUMBER(AR33),ISNUMBER(BA33)),Y33+BA33-AR33,"보류")</f>
        <v>보류</v>
      </c>
      <c r="BC33" s="32" t="str">
        <f>IF(AND(ISNUMBER(AZ33),ISNUMBER(BA33)),AZ33-BA33,"보류")</f>
        <v>보류</v>
      </c>
      <c r="BD33" s="9" t="str">
        <f>IF(ISNUMBER(AZ33),"계산 가능",IF(ISNUMBER(AP33),"부분 (재고 입력 필요)","보류 (생산 조건 미확인)"))</f>
        <v>부분 (재고 입력 필요)</v>
      </c>
      <c r="BE33" s="9" t="str">
        <f>IF(D33="대정비","대정비 범위·","")&amp;IF(D33="개선 (2대·105℃)","105℃ 품질 검증·","")&amp;IF(ISNUMBER('01_Inputs'!$B$105),"","양품률(100% 상한)·")&amp;IF(COUNTIF(U33:X33,"미제시")&gt;0,"고객 물량 미제시·","")&amp;IF(ISNUMBER(AJ33),"","200 L 충진시간·")&amp;IF(ISNUMBER('01_Inputs'!$B$86),"","글로브 박스 가용·")&amp;IF(ISNUMBER('01_Inputs'!$B$102),"","기초재고·")</f>
        <v>대정비 범위·양품률(100% 상한)·200 L 충진시간·글로브 박스 가용·기초재고·</v>
      </c>
    </row>
    <row r="34">
      <c r="A34" s="55" t="n">
        <v>46874</v>
      </c>
      <c r="B34" s="15">
        <f>YEAR(A34)</f>
        <v>2028</v>
      </c>
      <c r="C34" s="15">
        <f>DAY(EOMONTH(A34,0))</f>
        <v>31</v>
      </c>
      <c r="D34" s="9" t="str">
        <f>IF(AND(YEAR(A34)&gt;=2027,MONTH(A34)='01_Inputs'!$B$69),"대정비",IF(A34&lt;'01_Inputs'!$B$80,"현재 (1대)",IF(AND(ISNUMBER('01_Inputs'!$B$76),A34&gt;='01_Inputs'!$B$76),"개선 (2대·105℃)","개선 (2대)")))</f>
        <v>개선 (2대·105℃)</v>
      </c>
      <c r="E34" s="15">
        <f>IF(LEFT(D34,2)="개선",'01_Inputs'!$B$8,'01_Inputs'!$B$7)</f>
        <v>2</v>
      </c>
      <c r="F34" s="56" t="n"/>
      <c r="G34" s="14">
        <f>IF(D34="대정비","대정비",E34*C34*24-N(F34))</f>
        <v>1488</v>
      </c>
      <c r="H34" s="30" t="str">
        <f>IF(D34="현재 (1대)",'03_Capacity_Model'!$B$80,IF(D34="개선 (2대)",IF(ISNUMBER('01_Inputs'!$B$82),'01_Inputs'!$B$82,"미확인"),IF(D34="개선 (2대·105℃)",IF(ISNUMBER('01_Inputs'!$B$77),'01_Inputs'!$B$77,"미확인"),"-")))</f>
        <v>미확인</v>
      </c>
      <c r="I34" s="14">
        <f>IF(AND(ISNUMBER(K33),D33=D34),K33,0)</f>
        <v>0</v>
      </c>
      <c r="J34" s="45" t="str">
        <f>IF(AND(ISNUMBER(G34),ISNUMBER(H34)),INT((G34+I34)/H34),IF(D34="대정비","대정비","미확인"))</f>
        <v>미확인</v>
      </c>
      <c r="K34" s="14">
        <f>IF(AND(ISNUMBER(G34),ISNUMBER(H34),ISNUMBER(J34)),G34+I34-J34*H34,"")</f>
      </c>
      <c r="L34" s="19">
        <f>IF(COUNTIFS('02_Batch_Raw'!$E$6:$E$99,"&gt;="&amp;A34,'02_Batch_Raw'!$E$6:$E$99,"&lt;="&amp;EOMONTH(A34,0))=0,"",COUNTIFS('02_Batch_Raw'!$E$6:$E$99,"&gt;="&amp;A34,'02_Batch_Raw'!$E$6:$E$99,"&lt;="&amp;EOMONTH(A34,0)))</f>
      </c>
      <c r="M34" s="19">
        <f>""</f>
      </c>
      <c r="N34" s="57" t="n"/>
      <c r="O34" s="15">
        <f>IF(ISNUMBER(N34),N34,IF(ISNUMBER('P5_2028_월별'!$G$6),'P5_2028_월별'!$G$6/Q34,J34))</f>
        <v>23.4507177033493</v>
      </c>
      <c r="P34" s="9" t="str">
        <f>IF(ISNUMBER(N34),"실적 입력",IF(ISNUMBER('P5_2028_월별'!$G$6),"Capa. 기준 계획","미확인"))</f>
        <v>Capa. 기준 계획</v>
      </c>
      <c r="Q34" s="25">
        <f>IF(LEFT(D34,2)="개선",IF(ISNUMBER('01_Inputs'!$B$61),'01_Inputs'!$B$61,'01_Inputs'!$B$49),'01_Inputs'!$B$49)</f>
        <v>190</v>
      </c>
      <c r="R34" s="25">
        <f>IF(ISNUMBER(N34),N34*Q34,IF(ISNUMBER('P5_2028_월별'!$G$6),'P5_2028_월별'!$G$6,IF(ISNUMBER(O34),O34*Q34,"미확인")))</f>
        <v>4455.63636363636</v>
      </c>
      <c r="S34" s="40">
        <f>IF(ISNUMBER(R34),R34*IF(ISNUMBER('01_Inputs'!$B$105),'01_Inputs'!$B$105,1),"미확인")</f>
        <v>4455.63636363636</v>
      </c>
      <c r="T34" s="32">
        <f>IF(D34="대정비",'01_Inputs'!$B$70,IF(D34="개선 (2대·105℃)",'01_Inputs'!$B$72,IF(D34="개선 (2대)",'01_Inputs'!$B$71,'01_Inputs'!$B$63*1000/12)))</f>
        <v>4455.63636363636</v>
      </c>
      <c r="U34" s="31">
        <f>IF(ISNUMBER('01_Inputs'!$G$122),'01_Inputs'!$G$122,"미제시")</f>
        <v>1893.33333333333</v>
      </c>
      <c r="V34" s="31">
        <f>IF(ISNUMBER('01_Inputs'!$G$123),'01_Inputs'!$G$123,"미제시")</f>
        <v>780</v>
      </c>
      <c r="W34" s="31">
        <f>IF(ISNUMBER('01_Inputs'!$G$124),'01_Inputs'!$G$124,"미제시")</f>
        <v>840</v>
      </c>
      <c r="X34" s="31">
        <f>IF(ISNUMBER('01_Inputs'!$G$125),'01_Inputs'!$G$125,"미제시")</f>
        <v>300</v>
      </c>
      <c r="Y34" s="36">
        <f>SUM(U34:X34)</f>
        <v>3813.33333333333</v>
      </c>
      <c r="Z34" s="52">
        <f>Y34/Q34</f>
        <v>20.0701754385965</v>
      </c>
      <c r="AA34" s="52">
        <f>(N(U34)+N(V34))/'01_Inputs'!$B$42</f>
        <v>133.666666666667</v>
      </c>
      <c r="AB34" s="14">
        <f>AA34*'01_Inputs'!$B$28</f>
        <v>267.333333333333</v>
      </c>
      <c r="AC34" s="14">
        <f>AA34/'01_Inputs'!$B$29*'01_Inputs'!$B$32</f>
        <v>29.7037037037037</v>
      </c>
      <c r="AD34" s="52">
        <f>N(W34)/'01_Inputs'!$B$43</f>
        <v>6</v>
      </c>
      <c r="AE34" s="52">
        <f>N(X34)/'01_Inputs'!$B$44</f>
        <v>2</v>
      </c>
      <c r="AF34" s="9" t="str">
        <f>IF(AD34=0,"-",IF(A34&gt;='01_Inputs'!$B$47,"ARS","수동"))</f>
        <v>ARS</v>
      </c>
      <c r="AG34" s="9" t="str">
        <f>IF(AE34=0,"-",IF(A34&gt;='01_Inputs'!$B$46,"ARS","수동"))</f>
        <v>ARS</v>
      </c>
      <c r="AH34" s="14" t="str">
        <f>IF(AD34=0,0,IF(AF34="수동",AD34*'01_Inputs'!$B$34,IF(ISNUMBER('01_Inputs'!$B$36),AD34*'01_Inputs'!$B$36,"미확인")))</f>
        <v>미확인</v>
      </c>
      <c r="AI34" s="14" t="str">
        <f>IF(AE34=0,0,IF(AG34="수동",IF(ISNUMBER('01_Inputs'!$B$35),AE34*'01_Inputs'!$B$35,"미확인"),IF(ISNUMBER('01_Inputs'!$B$37),AE34*'01_Inputs'!$B$37,"미확인")))</f>
        <v>미확인</v>
      </c>
      <c r="AJ34" s="14" t="str">
        <f>IF(AND(ISNUMBER(AH34),ISNUMBER(AI34)),AH34+AI34,"부분 "&amp;TEXT(N(AH34)+N(AI34),"0")&amp;" h + 미확인")</f>
        <v>부분 0 h + 미확인</v>
      </c>
      <c r="AK34" s="14">
        <f>(AD34+AE34)*'01_Inputs'!$B$38</f>
        <v>64</v>
      </c>
      <c r="AL34" s="14">
        <f>(AD34+AE34)*'01_Inputs'!$B$33</f>
        <v>16</v>
      </c>
      <c r="AM34" s="14" t="str">
        <f>IF(ISNUMBER('01_Inputs'!$B$86),'01_Inputs'!$B$86,"미확인")</f>
        <v>미확인</v>
      </c>
      <c r="AN34" s="14" t="str">
        <f>IF(ISNUMBER(AM34),AM34-AB34,"미확인")</f>
        <v>미확인</v>
      </c>
      <c r="AO34" s="32">
        <f>T34-Y34</f>
        <v>642.303030303031</v>
      </c>
      <c r="AP34" s="32">
        <f>IF(ISNUMBER(S34),S34-Y34,"미확인")</f>
        <v>642.303030303031</v>
      </c>
      <c r="AQ34" s="32">
        <f>IF(AND(ISNUMBER(AP34),ISNUMBER(AQ33)),AQ33+AP34,"보류")</f>
        <v>-1280.84848484848</v>
      </c>
      <c r="AR34" s="32" t="str">
        <f>IF(ISNUMBER(AZ33),AZ33,"보류")</f>
        <v>보류</v>
      </c>
      <c r="AS34" s="32" t="str">
        <f>IF(AND(ISNUMBER(AR34),ISNUMBER(S34)),AR34+S34,"보류")</f>
        <v>보류</v>
      </c>
      <c r="AT34" s="32" t="str">
        <f>IF(ISNUMBER(AS34),MIN(AS34,U34),"보류")</f>
        <v>보류</v>
      </c>
      <c r="AU34" s="32" t="str">
        <f>IF(ISNUMBER(AS34),MIN(AS34-AT34,N('01_Inputs'!$B$103)),"보류")</f>
        <v>보류</v>
      </c>
      <c r="AV34" s="32" t="str">
        <f>IF(ISNUMBER(AS34),IF((N(V34)+N(W34)+N(X34))=0,0,MIN(N(V34),(AS34-AT34-AU34)*N(V34)/(N(V34)+N(W34)+N(X34)))),"보류")</f>
        <v>보류</v>
      </c>
      <c r="AW34" s="32" t="str">
        <f>IF(ISNUMBER(AS34),IF((N(V34)+N(W34)+N(X34))=0,0,MIN(N(W34),(AS34-AT34-AU34)*N(W34)/(N(V34)+N(W34)+N(X34)))),"보류")</f>
        <v>보류</v>
      </c>
      <c r="AX34" s="32" t="str">
        <f>IF(ISNUMBER(AS34),IF((N(V34)+N(W34)+N(X34))=0,0,MIN(N(X34),(AS34-AT34-AU34)*N(X34)/(N(V34)+N(W34)+N(X34)))),"보류")</f>
        <v>보류</v>
      </c>
      <c r="AY34" s="32" t="str">
        <f>IF(ISNUMBER(AS34),Y34-AT34-AV34-AW34-AX34,"보류")</f>
        <v>보류</v>
      </c>
      <c r="AZ34" s="36" t="str">
        <f>IF(ISNUMBER(AS34),AS34-AT34-AV34-AW34-AX34,"보류")</f>
        <v>보류</v>
      </c>
      <c r="BA34" s="32" t="str">
        <f>IF(ISNUMBER('01_Inputs'!$B$104),'01_Inputs'!$B$104,"미입력")</f>
        <v>미입력</v>
      </c>
      <c r="BB34" s="32" t="str">
        <f>IF(AND(ISNUMBER(AR34),ISNUMBER(BA34)),Y34+BA34-AR34,"보류")</f>
        <v>보류</v>
      </c>
      <c r="BC34" s="32" t="str">
        <f>IF(AND(ISNUMBER(AZ34),ISNUMBER(BA34)),AZ34-BA34,"보류")</f>
        <v>보류</v>
      </c>
      <c r="BD34" s="9" t="str">
        <f>IF(ISNUMBER(AZ34),"계산 가능",IF(ISNUMBER(AP34),"부분 (재고 입력 필요)","보류 (생산 조건 미확인)"))</f>
        <v>부분 (재고 입력 필요)</v>
      </c>
      <c r="BE34" s="9" t="str">
        <f>IF(D34="대정비","대정비 범위·","")&amp;IF(D34="개선 (2대·105℃)","105℃ 품질 검증·","")&amp;IF(ISNUMBER('01_Inputs'!$B$105),"","양품률(100% 상한)·")&amp;IF(COUNTIF(U34:X34,"미제시")&gt;0,"고객 물량 미제시·","")&amp;IF(ISNUMBER(AJ34),"","200 L 충진시간·")&amp;IF(ISNUMBER('01_Inputs'!$B$86),"","글로브 박스 가용·")&amp;IF(ISNUMBER('01_Inputs'!$B$102),"","기초재고·")</f>
        <v>105℃ 품질 검증·양품률(100% 상한)·200 L 충진시간·글로브 박스 가용·기초재고·</v>
      </c>
    </row>
    <row r="35">
      <c r="A35" s="55" t="n">
        <v>46905</v>
      </c>
      <c r="B35" s="15">
        <f>YEAR(A35)</f>
        <v>2028</v>
      </c>
      <c r="C35" s="15">
        <f>DAY(EOMONTH(A35,0))</f>
        <v>30</v>
      </c>
      <c r="D35" s="9" t="str">
        <f>IF(AND(YEAR(A35)&gt;=2027,MONTH(A35)='01_Inputs'!$B$69),"대정비",IF(A35&lt;'01_Inputs'!$B$80,"현재 (1대)",IF(AND(ISNUMBER('01_Inputs'!$B$76),A35&gt;='01_Inputs'!$B$76),"개선 (2대·105℃)","개선 (2대)")))</f>
        <v>개선 (2대·105℃)</v>
      </c>
      <c r="E35" s="15">
        <f>IF(LEFT(D35,2)="개선",'01_Inputs'!$B$8,'01_Inputs'!$B$7)</f>
        <v>2</v>
      </c>
      <c r="F35" s="56" t="n"/>
      <c r="G35" s="14">
        <f>IF(D35="대정비","대정비",E35*C35*24-N(F35))</f>
        <v>1440</v>
      </c>
      <c r="H35" s="30" t="str">
        <f>IF(D35="현재 (1대)",'03_Capacity_Model'!$B$80,IF(D35="개선 (2대)",IF(ISNUMBER('01_Inputs'!$B$82),'01_Inputs'!$B$82,"미확인"),IF(D35="개선 (2대·105℃)",IF(ISNUMBER('01_Inputs'!$B$77),'01_Inputs'!$B$77,"미확인"),"-")))</f>
        <v>미확인</v>
      </c>
      <c r="I35" s="14">
        <f>IF(AND(ISNUMBER(K34),D34=D35),K34,0)</f>
        <v>0</v>
      </c>
      <c r="J35" s="45" t="str">
        <f>IF(AND(ISNUMBER(G35),ISNUMBER(H35)),INT((G35+I35)/H35),IF(D35="대정비","대정비","미확인"))</f>
        <v>미확인</v>
      </c>
      <c r="K35" s="14">
        <f>IF(AND(ISNUMBER(G35),ISNUMBER(H35),ISNUMBER(J35)),G35+I35-J35*H35,"")</f>
      </c>
      <c r="L35" s="19">
        <f>IF(COUNTIFS('02_Batch_Raw'!$E$6:$E$99,"&gt;="&amp;A35,'02_Batch_Raw'!$E$6:$E$99,"&lt;="&amp;EOMONTH(A35,0))=0,"",COUNTIFS('02_Batch_Raw'!$E$6:$E$99,"&gt;="&amp;A35,'02_Batch_Raw'!$E$6:$E$99,"&lt;="&amp;EOMONTH(A35,0)))</f>
      </c>
      <c r="M35" s="19">
        <f>""</f>
      </c>
      <c r="N35" s="57" t="n"/>
      <c r="O35" s="15">
        <f>IF(ISNUMBER(N35),N35,IF(ISNUMBER('P5_2028_월별'!$H$6),'P5_2028_월별'!$H$6/Q35,J35))</f>
        <v>23.4507177033493</v>
      </c>
      <c r="P35" s="9" t="str">
        <f>IF(ISNUMBER(N35),"실적 입력",IF(ISNUMBER('P5_2028_월별'!$H$6),"Capa. 기준 계획","미확인"))</f>
        <v>Capa. 기준 계획</v>
      </c>
      <c r="Q35" s="25">
        <f>IF(LEFT(D35,2)="개선",IF(ISNUMBER('01_Inputs'!$B$61),'01_Inputs'!$B$61,'01_Inputs'!$B$49),'01_Inputs'!$B$49)</f>
        <v>190</v>
      </c>
      <c r="R35" s="25">
        <f>IF(ISNUMBER(N35),N35*Q35,IF(ISNUMBER('P5_2028_월별'!$H$6),'P5_2028_월별'!$H$6,IF(ISNUMBER(O35),O35*Q35,"미확인")))</f>
        <v>4455.63636363636</v>
      </c>
      <c r="S35" s="40">
        <f>IF(ISNUMBER(R35),R35*IF(ISNUMBER('01_Inputs'!$B$105),'01_Inputs'!$B$105,1),"미확인")</f>
        <v>4455.63636363636</v>
      </c>
      <c r="T35" s="32">
        <f>IF(D35="대정비",'01_Inputs'!$B$70,IF(D35="개선 (2대·105℃)",'01_Inputs'!$B$72,IF(D35="개선 (2대)",'01_Inputs'!$B$71,'01_Inputs'!$B$63*1000/12)))</f>
        <v>4455.63636363636</v>
      </c>
      <c r="U35" s="31">
        <f>IF(ISNUMBER('01_Inputs'!$H$122),'01_Inputs'!$H$122,"미제시")</f>
        <v>1893.33333333333</v>
      </c>
      <c r="V35" s="31">
        <f>IF(ISNUMBER('01_Inputs'!$H$123),'01_Inputs'!$H$123,"미제시")</f>
        <v>780</v>
      </c>
      <c r="W35" s="31">
        <f>IF(ISNUMBER('01_Inputs'!$H$124),'01_Inputs'!$H$124,"미제시")</f>
        <v>840</v>
      </c>
      <c r="X35" s="31">
        <f>IF(ISNUMBER('01_Inputs'!$H$125),'01_Inputs'!$H$125,"미제시")</f>
        <v>300</v>
      </c>
      <c r="Y35" s="36">
        <f>SUM(U35:X35)</f>
        <v>3813.33333333333</v>
      </c>
      <c r="Z35" s="52">
        <f>Y35/Q35</f>
        <v>20.0701754385965</v>
      </c>
      <c r="AA35" s="52">
        <f>(N(U35)+N(V35))/'01_Inputs'!$B$42</f>
        <v>133.666666666667</v>
      </c>
      <c r="AB35" s="14">
        <f>AA35*'01_Inputs'!$B$28</f>
        <v>267.333333333333</v>
      </c>
      <c r="AC35" s="14">
        <f>AA35/'01_Inputs'!$B$29*'01_Inputs'!$B$32</f>
        <v>29.7037037037037</v>
      </c>
      <c r="AD35" s="52">
        <f>N(W35)/'01_Inputs'!$B$43</f>
        <v>6</v>
      </c>
      <c r="AE35" s="52">
        <f>N(X35)/'01_Inputs'!$B$44</f>
        <v>2</v>
      </c>
      <c r="AF35" s="9" t="str">
        <f>IF(AD35=0,"-",IF(A35&gt;='01_Inputs'!$B$47,"ARS","수동"))</f>
        <v>ARS</v>
      </c>
      <c r="AG35" s="9" t="str">
        <f>IF(AE35=0,"-",IF(A35&gt;='01_Inputs'!$B$46,"ARS","수동"))</f>
        <v>ARS</v>
      </c>
      <c r="AH35" s="14" t="str">
        <f>IF(AD35=0,0,IF(AF35="수동",AD35*'01_Inputs'!$B$34,IF(ISNUMBER('01_Inputs'!$B$36),AD35*'01_Inputs'!$B$36,"미확인")))</f>
        <v>미확인</v>
      </c>
      <c r="AI35" s="14" t="str">
        <f>IF(AE35=0,0,IF(AG35="수동",IF(ISNUMBER('01_Inputs'!$B$35),AE35*'01_Inputs'!$B$35,"미확인"),IF(ISNUMBER('01_Inputs'!$B$37),AE35*'01_Inputs'!$B$37,"미확인")))</f>
        <v>미확인</v>
      </c>
      <c r="AJ35" s="14" t="str">
        <f>IF(AND(ISNUMBER(AH35),ISNUMBER(AI35)),AH35+AI35,"부분 "&amp;TEXT(N(AH35)+N(AI35),"0")&amp;" h + 미확인")</f>
        <v>부분 0 h + 미확인</v>
      </c>
      <c r="AK35" s="14">
        <f>(AD35+AE35)*'01_Inputs'!$B$38</f>
        <v>64</v>
      </c>
      <c r="AL35" s="14">
        <f>(AD35+AE35)*'01_Inputs'!$B$33</f>
        <v>16</v>
      </c>
      <c r="AM35" s="14" t="str">
        <f>IF(ISNUMBER('01_Inputs'!$B$86),'01_Inputs'!$B$86,"미확인")</f>
        <v>미확인</v>
      </c>
      <c r="AN35" s="14" t="str">
        <f>IF(ISNUMBER(AM35),AM35-AB35,"미확인")</f>
        <v>미확인</v>
      </c>
      <c r="AO35" s="32">
        <f>T35-Y35</f>
        <v>642.303030303031</v>
      </c>
      <c r="AP35" s="32">
        <f>IF(ISNUMBER(S35),S35-Y35,"미확인")</f>
        <v>642.303030303031</v>
      </c>
      <c r="AQ35" s="32">
        <f>IF(AND(ISNUMBER(AP35),ISNUMBER(AQ34)),AQ34+AP35,"보류")</f>
        <v>-638.545454545447</v>
      </c>
      <c r="AR35" s="32" t="str">
        <f>IF(ISNUMBER(AZ34),AZ34,"보류")</f>
        <v>보류</v>
      </c>
      <c r="AS35" s="32" t="str">
        <f>IF(AND(ISNUMBER(AR35),ISNUMBER(S35)),AR35+S35,"보류")</f>
        <v>보류</v>
      </c>
      <c r="AT35" s="32" t="str">
        <f>IF(ISNUMBER(AS35),MIN(AS35,U35),"보류")</f>
        <v>보류</v>
      </c>
      <c r="AU35" s="32" t="str">
        <f>IF(ISNUMBER(AS35),MIN(AS35-AT35,N('01_Inputs'!$B$103)),"보류")</f>
        <v>보류</v>
      </c>
      <c r="AV35" s="32" t="str">
        <f>IF(ISNUMBER(AS35),IF((N(V35)+N(W35)+N(X35))=0,0,MIN(N(V35),(AS35-AT35-AU35)*N(V35)/(N(V35)+N(W35)+N(X35)))),"보류")</f>
        <v>보류</v>
      </c>
      <c r="AW35" s="32" t="str">
        <f>IF(ISNUMBER(AS35),IF((N(V35)+N(W35)+N(X35))=0,0,MIN(N(W35),(AS35-AT35-AU35)*N(W35)/(N(V35)+N(W35)+N(X35)))),"보류")</f>
        <v>보류</v>
      </c>
      <c r="AX35" s="32" t="str">
        <f>IF(ISNUMBER(AS35),IF((N(V35)+N(W35)+N(X35))=0,0,MIN(N(X35),(AS35-AT35-AU35)*N(X35)/(N(V35)+N(W35)+N(X35)))),"보류")</f>
        <v>보류</v>
      </c>
      <c r="AY35" s="32" t="str">
        <f>IF(ISNUMBER(AS35),Y35-AT35-AV35-AW35-AX35,"보류")</f>
        <v>보류</v>
      </c>
      <c r="AZ35" s="36" t="str">
        <f>IF(ISNUMBER(AS35),AS35-AT35-AV35-AW35-AX35,"보류")</f>
        <v>보류</v>
      </c>
      <c r="BA35" s="32" t="str">
        <f>IF(ISNUMBER('01_Inputs'!$B$104),'01_Inputs'!$B$104,"미입력")</f>
        <v>미입력</v>
      </c>
      <c r="BB35" s="32" t="str">
        <f>IF(AND(ISNUMBER(AR35),ISNUMBER(BA35)),Y35+BA35-AR35,"보류")</f>
        <v>보류</v>
      </c>
      <c r="BC35" s="32" t="str">
        <f>IF(AND(ISNUMBER(AZ35),ISNUMBER(BA35)),AZ35-BA35,"보류")</f>
        <v>보류</v>
      </c>
      <c r="BD35" s="9" t="str">
        <f>IF(ISNUMBER(AZ35),"계산 가능",IF(ISNUMBER(AP35),"부분 (재고 입력 필요)","보류 (생산 조건 미확인)"))</f>
        <v>부분 (재고 입력 필요)</v>
      </c>
      <c r="BE35" s="9" t="str">
        <f>IF(D35="대정비","대정비 범위·","")&amp;IF(D35="개선 (2대·105℃)","105℃ 품질 검증·","")&amp;IF(ISNUMBER('01_Inputs'!$B$105),"","양품률(100% 상한)·")&amp;IF(COUNTIF(U35:X35,"미제시")&gt;0,"고객 물량 미제시·","")&amp;IF(ISNUMBER(AJ35),"","200 L 충진시간·")&amp;IF(ISNUMBER('01_Inputs'!$B$86),"","글로브 박스 가용·")&amp;IF(ISNUMBER('01_Inputs'!$B$102),"","기초재고·")</f>
        <v>105℃ 품질 검증·양품률(100% 상한)·200 L 충진시간·글로브 박스 가용·기초재고·</v>
      </c>
    </row>
    <row r="36">
      <c r="A36" s="55" t="n">
        <v>46935</v>
      </c>
      <c r="B36" s="15">
        <f>YEAR(A36)</f>
        <v>2028</v>
      </c>
      <c r="C36" s="15">
        <f>DAY(EOMONTH(A36,0))</f>
        <v>31</v>
      </c>
      <c r="D36" s="9" t="str">
        <f>IF(AND(YEAR(A36)&gt;=2027,MONTH(A36)='01_Inputs'!$B$69),"대정비",IF(A36&lt;'01_Inputs'!$B$80,"현재 (1대)",IF(AND(ISNUMBER('01_Inputs'!$B$76),A36&gt;='01_Inputs'!$B$76),"개선 (2대·105℃)","개선 (2대)")))</f>
        <v>개선 (2대·105℃)</v>
      </c>
      <c r="E36" s="15">
        <f>IF(LEFT(D36,2)="개선",'01_Inputs'!$B$8,'01_Inputs'!$B$7)</f>
        <v>2</v>
      </c>
      <c r="F36" s="56" t="n"/>
      <c r="G36" s="14">
        <f>IF(D36="대정비","대정비",E36*C36*24-N(F36))</f>
        <v>1488</v>
      </c>
      <c r="H36" s="30" t="str">
        <f>IF(D36="현재 (1대)",'03_Capacity_Model'!$B$80,IF(D36="개선 (2대)",IF(ISNUMBER('01_Inputs'!$B$82),'01_Inputs'!$B$82,"미확인"),IF(D36="개선 (2대·105℃)",IF(ISNUMBER('01_Inputs'!$B$77),'01_Inputs'!$B$77,"미확인"),"-")))</f>
        <v>미확인</v>
      </c>
      <c r="I36" s="14">
        <f>IF(AND(ISNUMBER(K35),D35=D36),K35,0)</f>
        <v>0</v>
      </c>
      <c r="J36" s="45" t="str">
        <f>IF(AND(ISNUMBER(G36),ISNUMBER(H36)),INT((G36+I36)/H36),IF(D36="대정비","대정비","미확인"))</f>
        <v>미확인</v>
      </c>
      <c r="K36" s="14">
        <f>IF(AND(ISNUMBER(G36),ISNUMBER(H36),ISNUMBER(J36)),G36+I36-J36*H36,"")</f>
      </c>
      <c r="L36" s="19">
        <f>IF(COUNTIFS('02_Batch_Raw'!$E$6:$E$99,"&gt;="&amp;A36,'02_Batch_Raw'!$E$6:$E$99,"&lt;="&amp;EOMONTH(A36,0))=0,"",COUNTIFS('02_Batch_Raw'!$E$6:$E$99,"&gt;="&amp;A36,'02_Batch_Raw'!$E$6:$E$99,"&lt;="&amp;EOMONTH(A36,0)))</f>
      </c>
      <c r="M36" s="19">
        <f>""</f>
      </c>
      <c r="N36" s="57" t="n"/>
      <c r="O36" s="15">
        <f>IF(ISNUMBER(N36),N36,IF(ISNUMBER('P5_2028_월별'!$I$6),'P5_2028_월별'!$I$6/Q36,J36))</f>
        <v>23.4507177033493</v>
      </c>
      <c r="P36" s="9" t="str">
        <f>IF(ISNUMBER(N36),"실적 입력",IF(ISNUMBER('P5_2028_월별'!$I$6),"Capa. 기준 계획","미확인"))</f>
        <v>Capa. 기준 계획</v>
      </c>
      <c r="Q36" s="25">
        <f>IF(LEFT(D36,2)="개선",IF(ISNUMBER('01_Inputs'!$B$61),'01_Inputs'!$B$61,'01_Inputs'!$B$49),'01_Inputs'!$B$49)</f>
        <v>190</v>
      </c>
      <c r="R36" s="25">
        <f>IF(ISNUMBER(N36),N36*Q36,IF(ISNUMBER('P5_2028_월별'!$I$6),'P5_2028_월별'!$I$6,IF(ISNUMBER(O36),O36*Q36,"미확인")))</f>
        <v>4455.63636363636</v>
      </c>
      <c r="S36" s="40">
        <f>IF(ISNUMBER(R36),R36*IF(ISNUMBER('01_Inputs'!$B$105),'01_Inputs'!$B$105,1),"미확인")</f>
        <v>4455.63636363636</v>
      </c>
      <c r="T36" s="32">
        <f>IF(D36="대정비",'01_Inputs'!$B$70,IF(D36="개선 (2대·105℃)",'01_Inputs'!$B$72,IF(D36="개선 (2대)",'01_Inputs'!$B$71,'01_Inputs'!$B$63*1000/12)))</f>
        <v>4455.63636363636</v>
      </c>
      <c r="U36" s="31">
        <f>IF(ISNUMBER('01_Inputs'!$I$122),'01_Inputs'!$I$122,"미제시")</f>
        <v>1893.33333333333</v>
      </c>
      <c r="V36" s="31">
        <f>IF(ISNUMBER('01_Inputs'!$I$123),'01_Inputs'!$I$123,"미제시")</f>
        <v>780</v>
      </c>
      <c r="W36" s="31">
        <f>IF(ISNUMBER('01_Inputs'!$I$124),'01_Inputs'!$I$124,"미제시")</f>
        <v>840</v>
      </c>
      <c r="X36" s="31">
        <f>IF(ISNUMBER('01_Inputs'!$I$125),'01_Inputs'!$I$125,"미제시")</f>
        <v>300</v>
      </c>
      <c r="Y36" s="36">
        <f>SUM(U36:X36)</f>
        <v>3813.33333333333</v>
      </c>
      <c r="Z36" s="52">
        <f>Y36/Q36</f>
        <v>20.0701754385965</v>
      </c>
      <c r="AA36" s="52">
        <f>(N(U36)+N(V36))/'01_Inputs'!$B$42</f>
        <v>133.666666666667</v>
      </c>
      <c r="AB36" s="14">
        <f>AA36*'01_Inputs'!$B$28</f>
        <v>267.333333333333</v>
      </c>
      <c r="AC36" s="14">
        <f>AA36/'01_Inputs'!$B$29*'01_Inputs'!$B$32</f>
        <v>29.7037037037037</v>
      </c>
      <c r="AD36" s="52">
        <f>N(W36)/'01_Inputs'!$B$43</f>
        <v>6</v>
      </c>
      <c r="AE36" s="52">
        <f>N(X36)/'01_Inputs'!$B$44</f>
        <v>2</v>
      </c>
      <c r="AF36" s="9" t="str">
        <f>IF(AD36=0,"-",IF(A36&gt;='01_Inputs'!$B$47,"ARS","수동"))</f>
        <v>ARS</v>
      </c>
      <c r="AG36" s="9" t="str">
        <f>IF(AE36=0,"-",IF(A36&gt;='01_Inputs'!$B$46,"ARS","수동"))</f>
        <v>ARS</v>
      </c>
      <c r="AH36" s="14" t="str">
        <f>IF(AD36=0,0,IF(AF36="수동",AD36*'01_Inputs'!$B$34,IF(ISNUMBER('01_Inputs'!$B$36),AD36*'01_Inputs'!$B$36,"미확인")))</f>
        <v>미확인</v>
      </c>
      <c r="AI36" s="14" t="str">
        <f>IF(AE36=0,0,IF(AG36="수동",IF(ISNUMBER('01_Inputs'!$B$35),AE36*'01_Inputs'!$B$35,"미확인"),IF(ISNUMBER('01_Inputs'!$B$37),AE36*'01_Inputs'!$B$37,"미확인")))</f>
        <v>미확인</v>
      </c>
      <c r="AJ36" s="14" t="str">
        <f>IF(AND(ISNUMBER(AH36),ISNUMBER(AI36)),AH36+AI36,"부분 "&amp;TEXT(N(AH36)+N(AI36),"0")&amp;" h + 미확인")</f>
        <v>부분 0 h + 미확인</v>
      </c>
      <c r="AK36" s="14">
        <f>(AD36+AE36)*'01_Inputs'!$B$38</f>
        <v>64</v>
      </c>
      <c r="AL36" s="14">
        <f>(AD36+AE36)*'01_Inputs'!$B$33</f>
        <v>16</v>
      </c>
      <c r="AM36" s="14" t="str">
        <f>IF(ISNUMBER('01_Inputs'!$B$86),'01_Inputs'!$B$86,"미확인")</f>
        <v>미확인</v>
      </c>
      <c r="AN36" s="14" t="str">
        <f>IF(ISNUMBER(AM36),AM36-AB36,"미확인")</f>
        <v>미확인</v>
      </c>
      <c r="AO36" s="32">
        <f>T36-Y36</f>
        <v>642.303030303031</v>
      </c>
      <c r="AP36" s="32">
        <f>IF(ISNUMBER(S36),S36-Y36,"미확인")</f>
        <v>642.303030303031</v>
      </c>
      <c r="AQ36" s="32">
        <f>IF(AND(ISNUMBER(AP36),ISNUMBER(AQ35)),AQ35+AP36,"보류")</f>
        <v>3.75757575758416</v>
      </c>
      <c r="AR36" s="32" t="str">
        <f>IF(ISNUMBER(AZ35),AZ35,"보류")</f>
        <v>보류</v>
      </c>
      <c r="AS36" s="32" t="str">
        <f>IF(AND(ISNUMBER(AR36),ISNUMBER(S36)),AR36+S36,"보류")</f>
        <v>보류</v>
      </c>
      <c r="AT36" s="32" t="str">
        <f>IF(ISNUMBER(AS36),MIN(AS36,U36),"보류")</f>
        <v>보류</v>
      </c>
      <c r="AU36" s="32" t="str">
        <f>IF(ISNUMBER(AS36),MIN(AS36-AT36,N('01_Inputs'!$B$103)),"보류")</f>
        <v>보류</v>
      </c>
      <c r="AV36" s="32" t="str">
        <f>IF(ISNUMBER(AS36),IF((N(V36)+N(W36)+N(X36))=0,0,MIN(N(V36),(AS36-AT36-AU36)*N(V36)/(N(V36)+N(W36)+N(X36)))),"보류")</f>
        <v>보류</v>
      </c>
      <c r="AW36" s="32" t="str">
        <f>IF(ISNUMBER(AS36),IF((N(V36)+N(W36)+N(X36))=0,0,MIN(N(W36),(AS36-AT36-AU36)*N(W36)/(N(V36)+N(W36)+N(X36)))),"보류")</f>
        <v>보류</v>
      </c>
      <c r="AX36" s="32" t="str">
        <f>IF(ISNUMBER(AS36),IF((N(V36)+N(W36)+N(X36))=0,0,MIN(N(X36),(AS36-AT36-AU36)*N(X36)/(N(V36)+N(W36)+N(X36)))),"보류")</f>
        <v>보류</v>
      </c>
      <c r="AY36" s="32" t="str">
        <f>IF(ISNUMBER(AS36),Y36-AT36-AV36-AW36-AX36,"보류")</f>
        <v>보류</v>
      </c>
      <c r="AZ36" s="36" t="str">
        <f>IF(ISNUMBER(AS36),AS36-AT36-AV36-AW36-AX36,"보류")</f>
        <v>보류</v>
      </c>
      <c r="BA36" s="32" t="str">
        <f>IF(ISNUMBER('01_Inputs'!$B$104),'01_Inputs'!$B$104,"미입력")</f>
        <v>미입력</v>
      </c>
      <c r="BB36" s="32" t="str">
        <f>IF(AND(ISNUMBER(AR36),ISNUMBER(BA36)),Y36+BA36-AR36,"보류")</f>
        <v>보류</v>
      </c>
      <c r="BC36" s="32" t="str">
        <f>IF(AND(ISNUMBER(AZ36),ISNUMBER(BA36)),AZ36-BA36,"보류")</f>
        <v>보류</v>
      </c>
      <c r="BD36" s="9" t="str">
        <f>IF(ISNUMBER(AZ36),"계산 가능",IF(ISNUMBER(AP36),"부분 (재고 입력 필요)","보류 (생산 조건 미확인)"))</f>
        <v>부분 (재고 입력 필요)</v>
      </c>
      <c r="BE36" s="9" t="str">
        <f>IF(D36="대정비","대정비 범위·","")&amp;IF(D36="개선 (2대·105℃)","105℃ 품질 검증·","")&amp;IF(ISNUMBER('01_Inputs'!$B$105),"","양품률(100% 상한)·")&amp;IF(COUNTIF(U36:X36,"미제시")&gt;0,"고객 물량 미제시·","")&amp;IF(ISNUMBER(AJ36),"","200 L 충진시간·")&amp;IF(ISNUMBER('01_Inputs'!$B$86),"","글로브 박스 가용·")&amp;IF(ISNUMBER('01_Inputs'!$B$102),"","기초재고·")</f>
        <v>105℃ 품질 검증·양품률(100% 상한)·200 L 충진시간·글로브 박스 가용·기초재고·</v>
      </c>
    </row>
    <row r="37">
      <c r="A37" s="55" t="n">
        <v>46966</v>
      </c>
      <c r="B37" s="15">
        <f>YEAR(A37)</f>
        <v>2028</v>
      </c>
      <c r="C37" s="15">
        <f>DAY(EOMONTH(A37,0))</f>
        <v>31</v>
      </c>
      <c r="D37" s="9" t="str">
        <f>IF(AND(YEAR(A37)&gt;=2027,MONTH(A37)='01_Inputs'!$B$69),"대정비",IF(A37&lt;'01_Inputs'!$B$80,"현재 (1대)",IF(AND(ISNUMBER('01_Inputs'!$B$76),A37&gt;='01_Inputs'!$B$76),"개선 (2대·105℃)","개선 (2대)")))</f>
        <v>개선 (2대·105℃)</v>
      </c>
      <c r="E37" s="15">
        <f>IF(LEFT(D37,2)="개선",'01_Inputs'!$B$8,'01_Inputs'!$B$7)</f>
        <v>2</v>
      </c>
      <c r="F37" s="56" t="n"/>
      <c r="G37" s="14">
        <f>IF(D37="대정비","대정비",E37*C37*24-N(F37))</f>
        <v>1488</v>
      </c>
      <c r="H37" s="30" t="str">
        <f>IF(D37="현재 (1대)",'03_Capacity_Model'!$B$80,IF(D37="개선 (2대)",IF(ISNUMBER('01_Inputs'!$B$82),'01_Inputs'!$B$82,"미확인"),IF(D37="개선 (2대·105℃)",IF(ISNUMBER('01_Inputs'!$B$77),'01_Inputs'!$B$77,"미확인"),"-")))</f>
        <v>미확인</v>
      </c>
      <c r="I37" s="14">
        <f>IF(AND(ISNUMBER(K36),D36=D37),K36,0)</f>
        <v>0</v>
      </c>
      <c r="J37" s="45" t="str">
        <f>IF(AND(ISNUMBER(G37),ISNUMBER(H37)),INT((G37+I37)/H37),IF(D37="대정비","대정비","미확인"))</f>
        <v>미확인</v>
      </c>
      <c r="K37" s="14">
        <f>IF(AND(ISNUMBER(G37),ISNUMBER(H37),ISNUMBER(J37)),G37+I37-J37*H37,"")</f>
      </c>
      <c r="L37" s="19">
        <f>IF(COUNTIFS('02_Batch_Raw'!$E$6:$E$99,"&gt;="&amp;A37,'02_Batch_Raw'!$E$6:$E$99,"&lt;="&amp;EOMONTH(A37,0))=0,"",COUNTIFS('02_Batch_Raw'!$E$6:$E$99,"&gt;="&amp;A37,'02_Batch_Raw'!$E$6:$E$99,"&lt;="&amp;EOMONTH(A37,0)))</f>
      </c>
      <c r="M37" s="19">
        <f>""</f>
      </c>
      <c r="N37" s="57" t="n"/>
      <c r="O37" s="15">
        <f>IF(ISNUMBER(N37),N37,IF(ISNUMBER('P5_2028_월별'!$J$6),'P5_2028_월별'!$J$6/Q37,J37))</f>
        <v>23.4507177033493</v>
      </c>
      <c r="P37" s="9" t="str">
        <f>IF(ISNUMBER(N37),"실적 입력",IF(ISNUMBER('P5_2028_월별'!$J$6),"Capa. 기준 계획","미확인"))</f>
        <v>Capa. 기준 계획</v>
      </c>
      <c r="Q37" s="25">
        <f>IF(LEFT(D37,2)="개선",IF(ISNUMBER('01_Inputs'!$B$61),'01_Inputs'!$B$61,'01_Inputs'!$B$49),'01_Inputs'!$B$49)</f>
        <v>190</v>
      </c>
      <c r="R37" s="25">
        <f>IF(ISNUMBER(N37),N37*Q37,IF(ISNUMBER('P5_2028_월별'!$J$6),'P5_2028_월별'!$J$6,IF(ISNUMBER(O37),O37*Q37,"미확인")))</f>
        <v>4455.63636363636</v>
      </c>
      <c r="S37" s="40">
        <f>IF(ISNUMBER(R37),R37*IF(ISNUMBER('01_Inputs'!$B$105),'01_Inputs'!$B$105,1),"미확인")</f>
        <v>4455.63636363636</v>
      </c>
      <c r="T37" s="32">
        <f>IF(D37="대정비",'01_Inputs'!$B$70,IF(D37="개선 (2대·105℃)",'01_Inputs'!$B$72,IF(D37="개선 (2대)",'01_Inputs'!$B$71,'01_Inputs'!$B$63*1000/12)))</f>
        <v>4455.63636363636</v>
      </c>
      <c r="U37" s="31">
        <f>IF(ISNUMBER('01_Inputs'!$J$122),'01_Inputs'!$J$122,"미제시")</f>
        <v>1893.33333333333</v>
      </c>
      <c r="V37" s="31">
        <f>IF(ISNUMBER('01_Inputs'!$J$123),'01_Inputs'!$J$123,"미제시")</f>
        <v>780</v>
      </c>
      <c r="W37" s="31">
        <f>IF(ISNUMBER('01_Inputs'!$J$124),'01_Inputs'!$J$124,"미제시")</f>
        <v>840</v>
      </c>
      <c r="X37" s="31">
        <f>IF(ISNUMBER('01_Inputs'!$J$125),'01_Inputs'!$J$125,"미제시")</f>
        <v>300</v>
      </c>
      <c r="Y37" s="36">
        <f>SUM(U37:X37)</f>
        <v>3813.33333333333</v>
      </c>
      <c r="Z37" s="52">
        <f>Y37/Q37</f>
        <v>20.0701754385965</v>
      </c>
      <c r="AA37" s="52">
        <f>(N(U37)+N(V37))/'01_Inputs'!$B$42</f>
        <v>133.666666666667</v>
      </c>
      <c r="AB37" s="14">
        <f>AA37*'01_Inputs'!$B$28</f>
        <v>267.333333333333</v>
      </c>
      <c r="AC37" s="14">
        <f>AA37/'01_Inputs'!$B$29*'01_Inputs'!$B$32</f>
        <v>29.7037037037037</v>
      </c>
      <c r="AD37" s="52">
        <f>N(W37)/'01_Inputs'!$B$43</f>
        <v>6</v>
      </c>
      <c r="AE37" s="52">
        <f>N(X37)/'01_Inputs'!$B$44</f>
        <v>2</v>
      </c>
      <c r="AF37" s="9" t="str">
        <f>IF(AD37=0,"-",IF(A37&gt;='01_Inputs'!$B$47,"ARS","수동"))</f>
        <v>ARS</v>
      </c>
      <c r="AG37" s="9" t="str">
        <f>IF(AE37=0,"-",IF(A37&gt;='01_Inputs'!$B$46,"ARS","수동"))</f>
        <v>ARS</v>
      </c>
      <c r="AH37" s="14" t="str">
        <f>IF(AD37=0,0,IF(AF37="수동",AD37*'01_Inputs'!$B$34,IF(ISNUMBER('01_Inputs'!$B$36),AD37*'01_Inputs'!$B$36,"미확인")))</f>
        <v>미확인</v>
      </c>
      <c r="AI37" s="14" t="str">
        <f>IF(AE37=0,0,IF(AG37="수동",IF(ISNUMBER('01_Inputs'!$B$35),AE37*'01_Inputs'!$B$35,"미확인"),IF(ISNUMBER('01_Inputs'!$B$37),AE37*'01_Inputs'!$B$37,"미확인")))</f>
        <v>미확인</v>
      </c>
      <c r="AJ37" s="14" t="str">
        <f>IF(AND(ISNUMBER(AH37),ISNUMBER(AI37)),AH37+AI37,"부분 "&amp;TEXT(N(AH37)+N(AI37),"0")&amp;" h + 미확인")</f>
        <v>부분 0 h + 미확인</v>
      </c>
      <c r="AK37" s="14">
        <f>(AD37+AE37)*'01_Inputs'!$B$38</f>
        <v>64</v>
      </c>
      <c r="AL37" s="14">
        <f>(AD37+AE37)*'01_Inputs'!$B$33</f>
        <v>16</v>
      </c>
      <c r="AM37" s="14" t="str">
        <f>IF(ISNUMBER('01_Inputs'!$B$86),'01_Inputs'!$B$86,"미확인")</f>
        <v>미확인</v>
      </c>
      <c r="AN37" s="14" t="str">
        <f>IF(ISNUMBER(AM37),AM37-AB37,"미확인")</f>
        <v>미확인</v>
      </c>
      <c r="AO37" s="32">
        <f>T37-Y37</f>
        <v>642.303030303031</v>
      </c>
      <c r="AP37" s="32">
        <f>IF(ISNUMBER(S37),S37-Y37,"미확인")</f>
        <v>642.303030303031</v>
      </c>
      <c r="AQ37" s="32">
        <f>IF(AND(ISNUMBER(AP37),ISNUMBER(AQ36)),AQ36+AP37,"보류")</f>
        <v>646.060606060615</v>
      </c>
      <c r="AR37" s="32" t="str">
        <f>IF(ISNUMBER(AZ36),AZ36,"보류")</f>
        <v>보류</v>
      </c>
      <c r="AS37" s="32" t="str">
        <f>IF(AND(ISNUMBER(AR37),ISNUMBER(S37)),AR37+S37,"보류")</f>
        <v>보류</v>
      </c>
      <c r="AT37" s="32" t="str">
        <f>IF(ISNUMBER(AS37),MIN(AS37,U37),"보류")</f>
        <v>보류</v>
      </c>
      <c r="AU37" s="32" t="str">
        <f>IF(ISNUMBER(AS37),MIN(AS37-AT37,N('01_Inputs'!$B$103)),"보류")</f>
        <v>보류</v>
      </c>
      <c r="AV37" s="32" t="str">
        <f>IF(ISNUMBER(AS37),IF((N(V37)+N(W37)+N(X37))=0,0,MIN(N(V37),(AS37-AT37-AU37)*N(V37)/(N(V37)+N(W37)+N(X37)))),"보류")</f>
        <v>보류</v>
      </c>
      <c r="AW37" s="32" t="str">
        <f>IF(ISNUMBER(AS37),IF((N(V37)+N(W37)+N(X37))=0,0,MIN(N(W37),(AS37-AT37-AU37)*N(W37)/(N(V37)+N(W37)+N(X37)))),"보류")</f>
        <v>보류</v>
      </c>
      <c r="AX37" s="32" t="str">
        <f>IF(ISNUMBER(AS37),IF((N(V37)+N(W37)+N(X37))=0,0,MIN(N(X37),(AS37-AT37-AU37)*N(X37)/(N(V37)+N(W37)+N(X37)))),"보류")</f>
        <v>보류</v>
      </c>
      <c r="AY37" s="32" t="str">
        <f>IF(ISNUMBER(AS37),Y37-AT37-AV37-AW37-AX37,"보류")</f>
        <v>보류</v>
      </c>
      <c r="AZ37" s="36" t="str">
        <f>IF(ISNUMBER(AS37),AS37-AT37-AV37-AW37-AX37,"보류")</f>
        <v>보류</v>
      </c>
      <c r="BA37" s="32" t="str">
        <f>IF(ISNUMBER('01_Inputs'!$B$104),'01_Inputs'!$B$104,"미입력")</f>
        <v>미입력</v>
      </c>
      <c r="BB37" s="32" t="str">
        <f>IF(AND(ISNUMBER(AR37),ISNUMBER(BA37)),Y37+BA37-AR37,"보류")</f>
        <v>보류</v>
      </c>
      <c r="BC37" s="32" t="str">
        <f>IF(AND(ISNUMBER(AZ37),ISNUMBER(BA37)),AZ37-BA37,"보류")</f>
        <v>보류</v>
      </c>
      <c r="BD37" s="9" t="str">
        <f>IF(ISNUMBER(AZ37),"계산 가능",IF(ISNUMBER(AP37),"부분 (재고 입력 필요)","보류 (생산 조건 미확인)"))</f>
        <v>부분 (재고 입력 필요)</v>
      </c>
      <c r="BE37" s="9" t="str">
        <f>IF(D37="대정비","대정비 범위·","")&amp;IF(D37="개선 (2대·105℃)","105℃ 품질 검증·","")&amp;IF(ISNUMBER('01_Inputs'!$B$105),"","양품률(100% 상한)·")&amp;IF(COUNTIF(U37:X37,"미제시")&gt;0,"고객 물량 미제시·","")&amp;IF(ISNUMBER(AJ37),"","200 L 충진시간·")&amp;IF(ISNUMBER('01_Inputs'!$B$86),"","글로브 박스 가용·")&amp;IF(ISNUMBER('01_Inputs'!$B$102),"","기초재고·")</f>
        <v>105℃ 품질 검증·양품률(100% 상한)·200 L 충진시간·글로브 박스 가용·기초재고·</v>
      </c>
    </row>
    <row r="38">
      <c r="A38" s="55" t="n">
        <v>46997</v>
      </c>
      <c r="B38" s="15">
        <f>YEAR(A38)</f>
        <v>2028</v>
      </c>
      <c r="C38" s="15">
        <f>DAY(EOMONTH(A38,0))</f>
        <v>30</v>
      </c>
      <c r="D38" s="9" t="str">
        <f>IF(AND(YEAR(A38)&gt;=2027,MONTH(A38)='01_Inputs'!$B$69),"대정비",IF(A38&lt;'01_Inputs'!$B$80,"현재 (1대)",IF(AND(ISNUMBER('01_Inputs'!$B$76),A38&gt;='01_Inputs'!$B$76),"개선 (2대·105℃)","개선 (2대)")))</f>
        <v>개선 (2대·105℃)</v>
      </c>
      <c r="E38" s="15">
        <f>IF(LEFT(D38,2)="개선",'01_Inputs'!$B$8,'01_Inputs'!$B$7)</f>
        <v>2</v>
      </c>
      <c r="F38" s="56" t="n"/>
      <c r="G38" s="14">
        <f>IF(D38="대정비","대정비",E38*C38*24-N(F38))</f>
        <v>1440</v>
      </c>
      <c r="H38" s="30" t="str">
        <f>IF(D38="현재 (1대)",'03_Capacity_Model'!$B$80,IF(D38="개선 (2대)",IF(ISNUMBER('01_Inputs'!$B$82),'01_Inputs'!$B$82,"미확인"),IF(D38="개선 (2대·105℃)",IF(ISNUMBER('01_Inputs'!$B$77),'01_Inputs'!$B$77,"미확인"),"-")))</f>
        <v>미확인</v>
      </c>
      <c r="I38" s="14">
        <f>IF(AND(ISNUMBER(K37),D37=D38),K37,0)</f>
        <v>0</v>
      </c>
      <c r="J38" s="45" t="str">
        <f>IF(AND(ISNUMBER(G38),ISNUMBER(H38)),INT((G38+I38)/H38),IF(D38="대정비","대정비","미확인"))</f>
        <v>미확인</v>
      </c>
      <c r="K38" s="14">
        <f>IF(AND(ISNUMBER(G38),ISNUMBER(H38),ISNUMBER(J38)),G38+I38-J38*H38,"")</f>
      </c>
      <c r="L38" s="19">
        <f>IF(COUNTIFS('02_Batch_Raw'!$E$6:$E$99,"&gt;="&amp;A38,'02_Batch_Raw'!$E$6:$E$99,"&lt;="&amp;EOMONTH(A38,0))=0,"",COUNTIFS('02_Batch_Raw'!$E$6:$E$99,"&gt;="&amp;A38,'02_Batch_Raw'!$E$6:$E$99,"&lt;="&amp;EOMONTH(A38,0)))</f>
      </c>
      <c r="M38" s="19">
        <f>""</f>
      </c>
      <c r="N38" s="57" t="n"/>
      <c r="O38" s="15">
        <f>IF(ISNUMBER(N38),N38,IF(ISNUMBER('P5_2028_월별'!$K$6),'P5_2028_월별'!$K$6/Q38,J38))</f>
        <v>23.4507177033493</v>
      </c>
      <c r="P38" s="9" t="str">
        <f>IF(ISNUMBER(N38),"실적 입력",IF(ISNUMBER('P5_2028_월별'!$K$6),"Capa. 기준 계획","미확인"))</f>
        <v>Capa. 기준 계획</v>
      </c>
      <c r="Q38" s="25">
        <f>IF(LEFT(D38,2)="개선",IF(ISNUMBER('01_Inputs'!$B$61),'01_Inputs'!$B$61,'01_Inputs'!$B$49),'01_Inputs'!$B$49)</f>
        <v>190</v>
      </c>
      <c r="R38" s="25">
        <f>IF(ISNUMBER(N38),N38*Q38,IF(ISNUMBER('P5_2028_월별'!$K$6),'P5_2028_월별'!$K$6,IF(ISNUMBER(O38),O38*Q38,"미확인")))</f>
        <v>4455.63636363636</v>
      </c>
      <c r="S38" s="40">
        <f>IF(ISNUMBER(R38),R38*IF(ISNUMBER('01_Inputs'!$B$105),'01_Inputs'!$B$105,1),"미확인")</f>
        <v>4455.63636363636</v>
      </c>
      <c r="T38" s="32">
        <f>IF(D38="대정비",'01_Inputs'!$B$70,IF(D38="개선 (2대·105℃)",'01_Inputs'!$B$72,IF(D38="개선 (2대)",'01_Inputs'!$B$71,'01_Inputs'!$B$63*1000/12)))</f>
        <v>4455.63636363636</v>
      </c>
      <c r="U38" s="31">
        <f>IF(ISNUMBER('01_Inputs'!$K$122),'01_Inputs'!$K$122,"미제시")</f>
        <v>1893.33333333333</v>
      </c>
      <c r="V38" s="31">
        <f>IF(ISNUMBER('01_Inputs'!$K$123),'01_Inputs'!$K$123,"미제시")</f>
        <v>780</v>
      </c>
      <c r="W38" s="31">
        <f>IF(ISNUMBER('01_Inputs'!$K$124),'01_Inputs'!$K$124,"미제시")</f>
        <v>840</v>
      </c>
      <c r="X38" s="31">
        <f>IF(ISNUMBER('01_Inputs'!$K$125),'01_Inputs'!$K$125,"미제시")</f>
        <v>300</v>
      </c>
      <c r="Y38" s="36">
        <f>SUM(U38:X38)</f>
        <v>3813.33333333333</v>
      </c>
      <c r="Z38" s="52">
        <f>Y38/Q38</f>
        <v>20.0701754385965</v>
      </c>
      <c r="AA38" s="52">
        <f>(N(U38)+N(V38))/'01_Inputs'!$B$42</f>
        <v>133.666666666667</v>
      </c>
      <c r="AB38" s="14">
        <f>AA38*'01_Inputs'!$B$28</f>
        <v>267.333333333333</v>
      </c>
      <c r="AC38" s="14">
        <f>AA38/'01_Inputs'!$B$29*'01_Inputs'!$B$32</f>
        <v>29.7037037037037</v>
      </c>
      <c r="AD38" s="52">
        <f>N(W38)/'01_Inputs'!$B$43</f>
        <v>6</v>
      </c>
      <c r="AE38" s="52">
        <f>N(X38)/'01_Inputs'!$B$44</f>
        <v>2</v>
      </c>
      <c r="AF38" s="9" t="str">
        <f>IF(AD38=0,"-",IF(A38&gt;='01_Inputs'!$B$47,"ARS","수동"))</f>
        <v>ARS</v>
      </c>
      <c r="AG38" s="9" t="str">
        <f>IF(AE38=0,"-",IF(A38&gt;='01_Inputs'!$B$46,"ARS","수동"))</f>
        <v>ARS</v>
      </c>
      <c r="AH38" s="14" t="str">
        <f>IF(AD38=0,0,IF(AF38="수동",AD38*'01_Inputs'!$B$34,IF(ISNUMBER('01_Inputs'!$B$36),AD38*'01_Inputs'!$B$36,"미확인")))</f>
        <v>미확인</v>
      </c>
      <c r="AI38" s="14" t="str">
        <f>IF(AE38=0,0,IF(AG38="수동",IF(ISNUMBER('01_Inputs'!$B$35),AE38*'01_Inputs'!$B$35,"미확인"),IF(ISNUMBER('01_Inputs'!$B$37),AE38*'01_Inputs'!$B$37,"미확인")))</f>
        <v>미확인</v>
      </c>
      <c r="AJ38" s="14" t="str">
        <f>IF(AND(ISNUMBER(AH38),ISNUMBER(AI38)),AH38+AI38,"부분 "&amp;TEXT(N(AH38)+N(AI38),"0")&amp;" h + 미확인")</f>
        <v>부분 0 h + 미확인</v>
      </c>
      <c r="AK38" s="14">
        <f>(AD38+AE38)*'01_Inputs'!$B$38</f>
        <v>64</v>
      </c>
      <c r="AL38" s="14">
        <f>(AD38+AE38)*'01_Inputs'!$B$33</f>
        <v>16</v>
      </c>
      <c r="AM38" s="14" t="str">
        <f>IF(ISNUMBER('01_Inputs'!$B$86),'01_Inputs'!$B$86,"미확인")</f>
        <v>미확인</v>
      </c>
      <c r="AN38" s="14" t="str">
        <f>IF(ISNUMBER(AM38),AM38-AB38,"미확인")</f>
        <v>미확인</v>
      </c>
      <c r="AO38" s="32">
        <f>T38-Y38</f>
        <v>642.303030303031</v>
      </c>
      <c r="AP38" s="32">
        <f>IF(ISNUMBER(S38),S38-Y38,"미확인")</f>
        <v>642.303030303031</v>
      </c>
      <c r="AQ38" s="32">
        <f>IF(AND(ISNUMBER(AP38),ISNUMBER(AQ37)),AQ37+AP38,"보류")</f>
        <v>1288.36363636365</v>
      </c>
      <c r="AR38" s="32" t="str">
        <f>IF(ISNUMBER(AZ37),AZ37,"보류")</f>
        <v>보류</v>
      </c>
      <c r="AS38" s="32" t="str">
        <f>IF(AND(ISNUMBER(AR38),ISNUMBER(S38)),AR38+S38,"보류")</f>
        <v>보류</v>
      </c>
      <c r="AT38" s="32" t="str">
        <f>IF(ISNUMBER(AS38),MIN(AS38,U38),"보류")</f>
        <v>보류</v>
      </c>
      <c r="AU38" s="32" t="str">
        <f>IF(ISNUMBER(AS38),MIN(AS38-AT38,N('01_Inputs'!$B$103)),"보류")</f>
        <v>보류</v>
      </c>
      <c r="AV38" s="32" t="str">
        <f>IF(ISNUMBER(AS38),IF((N(V38)+N(W38)+N(X38))=0,0,MIN(N(V38),(AS38-AT38-AU38)*N(V38)/(N(V38)+N(W38)+N(X38)))),"보류")</f>
        <v>보류</v>
      </c>
      <c r="AW38" s="32" t="str">
        <f>IF(ISNUMBER(AS38),IF((N(V38)+N(W38)+N(X38))=0,0,MIN(N(W38),(AS38-AT38-AU38)*N(W38)/(N(V38)+N(W38)+N(X38)))),"보류")</f>
        <v>보류</v>
      </c>
      <c r="AX38" s="32" t="str">
        <f>IF(ISNUMBER(AS38),IF((N(V38)+N(W38)+N(X38))=0,0,MIN(N(X38),(AS38-AT38-AU38)*N(X38)/(N(V38)+N(W38)+N(X38)))),"보류")</f>
        <v>보류</v>
      </c>
      <c r="AY38" s="32" t="str">
        <f>IF(ISNUMBER(AS38),Y38-AT38-AV38-AW38-AX38,"보류")</f>
        <v>보류</v>
      </c>
      <c r="AZ38" s="36" t="str">
        <f>IF(ISNUMBER(AS38),AS38-AT38-AV38-AW38-AX38,"보류")</f>
        <v>보류</v>
      </c>
      <c r="BA38" s="32" t="str">
        <f>IF(ISNUMBER('01_Inputs'!$B$104),'01_Inputs'!$B$104,"미입력")</f>
        <v>미입력</v>
      </c>
      <c r="BB38" s="32" t="str">
        <f>IF(AND(ISNUMBER(AR38),ISNUMBER(BA38)),Y38+BA38-AR38,"보류")</f>
        <v>보류</v>
      </c>
      <c r="BC38" s="32" t="str">
        <f>IF(AND(ISNUMBER(AZ38),ISNUMBER(BA38)),AZ38-BA38,"보류")</f>
        <v>보류</v>
      </c>
      <c r="BD38" s="9" t="str">
        <f>IF(ISNUMBER(AZ38),"계산 가능",IF(ISNUMBER(AP38),"부분 (재고 입력 필요)","보류 (생산 조건 미확인)"))</f>
        <v>부분 (재고 입력 필요)</v>
      </c>
      <c r="BE38" s="9" t="str">
        <f>IF(D38="대정비","대정비 범위·","")&amp;IF(D38="개선 (2대·105℃)","105℃ 품질 검증·","")&amp;IF(ISNUMBER('01_Inputs'!$B$105),"","양품률(100% 상한)·")&amp;IF(COUNTIF(U38:X38,"미제시")&gt;0,"고객 물량 미제시·","")&amp;IF(ISNUMBER(AJ38),"","200 L 충진시간·")&amp;IF(ISNUMBER('01_Inputs'!$B$86),"","글로브 박스 가용·")&amp;IF(ISNUMBER('01_Inputs'!$B$102),"","기초재고·")</f>
        <v>105℃ 품질 검증·양품률(100% 상한)·200 L 충진시간·글로브 박스 가용·기초재고·</v>
      </c>
    </row>
    <row r="39">
      <c r="A39" s="55" t="n">
        <v>47027</v>
      </c>
      <c r="B39" s="15">
        <f>YEAR(A39)</f>
        <v>2028</v>
      </c>
      <c r="C39" s="15">
        <f>DAY(EOMONTH(A39,0))</f>
        <v>31</v>
      </c>
      <c r="D39" s="9" t="str">
        <f>IF(AND(YEAR(A39)&gt;=2027,MONTH(A39)='01_Inputs'!$B$69),"대정비",IF(A39&lt;'01_Inputs'!$B$80,"현재 (1대)",IF(AND(ISNUMBER('01_Inputs'!$B$76),A39&gt;='01_Inputs'!$B$76),"개선 (2대·105℃)","개선 (2대)")))</f>
        <v>개선 (2대·105℃)</v>
      </c>
      <c r="E39" s="15">
        <f>IF(LEFT(D39,2)="개선",'01_Inputs'!$B$8,'01_Inputs'!$B$7)</f>
        <v>2</v>
      </c>
      <c r="F39" s="56" t="n"/>
      <c r="G39" s="14">
        <f>IF(D39="대정비","대정비",E39*C39*24-N(F39))</f>
        <v>1488</v>
      </c>
      <c r="H39" s="30" t="str">
        <f>IF(D39="현재 (1대)",'03_Capacity_Model'!$B$80,IF(D39="개선 (2대)",IF(ISNUMBER('01_Inputs'!$B$82),'01_Inputs'!$B$82,"미확인"),IF(D39="개선 (2대·105℃)",IF(ISNUMBER('01_Inputs'!$B$77),'01_Inputs'!$B$77,"미확인"),"-")))</f>
        <v>미확인</v>
      </c>
      <c r="I39" s="14">
        <f>IF(AND(ISNUMBER(K38),D38=D39),K38,0)</f>
        <v>0</v>
      </c>
      <c r="J39" s="45" t="str">
        <f>IF(AND(ISNUMBER(G39),ISNUMBER(H39)),INT((G39+I39)/H39),IF(D39="대정비","대정비","미확인"))</f>
        <v>미확인</v>
      </c>
      <c r="K39" s="14">
        <f>IF(AND(ISNUMBER(G39),ISNUMBER(H39),ISNUMBER(J39)),G39+I39-J39*H39,"")</f>
      </c>
      <c r="L39" s="19">
        <f>IF(COUNTIFS('02_Batch_Raw'!$E$6:$E$99,"&gt;="&amp;A39,'02_Batch_Raw'!$E$6:$E$99,"&lt;="&amp;EOMONTH(A39,0))=0,"",COUNTIFS('02_Batch_Raw'!$E$6:$E$99,"&gt;="&amp;A39,'02_Batch_Raw'!$E$6:$E$99,"&lt;="&amp;EOMONTH(A39,0)))</f>
      </c>
      <c r="M39" s="19">
        <f>""</f>
      </c>
      <c r="N39" s="57" t="n"/>
      <c r="O39" s="15">
        <f>IF(ISNUMBER(N39),N39,IF(ISNUMBER('P5_2028_월별'!$L$6),'P5_2028_월별'!$L$6/Q39,J39))</f>
        <v>23.4507177033493</v>
      </c>
      <c r="P39" s="9" t="str">
        <f>IF(ISNUMBER(N39),"실적 입력",IF(ISNUMBER('P5_2028_월별'!$L$6),"Capa. 기준 계획","미확인"))</f>
        <v>Capa. 기준 계획</v>
      </c>
      <c r="Q39" s="25">
        <f>IF(LEFT(D39,2)="개선",IF(ISNUMBER('01_Inputs'!$B$61),'01_Inputs'!$B$61,'01_Inputs'!$B$49),'01_Inputs'!$B$49)</f>
        <v>190</v>
      </c>
      <c r="R39" s="25">
        <f>IF(ISNUMBER(N39),N39*Q39,IF(ISNUMBER('P5_2028_월별'!$L$6),'P5_2028_월별'!$L$6,IF(ISNUMBER(O39),O39*Q39,"미확인")))</f>
        <v>4455.63636363636</v>
      </c>
      <c r="S39" s="40">
        <f>IF(ISNUMBER(R39),R39*IF(ISNUMBER('01_Inputs'!$B$105),'01_Inputs'!$B$105,1),"미확인")</f>
        <v>4455.63636363636</v>
      </c>
      <c r="T39" s="32">
        <f>IF(D39="대정비",'01_Inputs'!$B$70,IF(D39="개선 (2대·105℃)",'01_Inputs'!$B$72,IF(D39="개선 (2대)",'01_Inputs'!$B$71,'01_Inputs'!$B$63*1000/12)))</f>
        <v>4455.63636363636</v>
      </c>
      <c r="U39" s="31">
        <f>IF(ISNUMBER('01_Inputs'!$L$122),'01_Inputs'!$L$122,"미제시")</f>
        <v>1893.33333333333</v>
      </c>
      <c r="V39" s="31">
        <f>IF(ISNUMBER('01_Inputs'!$L$123),'01_Inputs'!$L$123,"미제시")</f>
        <v>780</v>
      </c>
      <c r="W39" s="31">
        <f>IF(ISNUMBER('01_Inputs'!$L$124),'01_Inputs'!$L$124,"미제시")</f>
        <v>840</v>
      </c>
      <c r="X39" s="31">
        <f>IF(ISNUMBER('01_Inputs'!$L$125),'01_Inputs'!$L$125,"미제시")</f>
        <v>300</v>
      </c>
      <c r="Y39" s="36">
        <f>SUM(U39:X39)</f>
        <v>3813.33333333333</v>
      </c>
      <c r="Z39" s="52">
        <f>Y39/Q39</f>
        <v>20.0701754385965</v>
      </c>
      <c r="AA39" s="52">
        <f>(N(U39)+N(V39))/'01_Inputs'!$B$42</f>
        <v>133.666666666667</v>
      </c>
      <c r="AB39" s="14">
        <f>AA39*'01_Inputs'!$B$28</f>
        <v>267.333333333333</v>
      </c>
      <c r="AC39" s="14">
        <f>AA39/'01_Inputs'!$B$29*'01_Inputs'!$B$32</f>
        <v>29.7037037037037</v>
      </c>
      <c r="AD39" s="52">
        <f>N(W39)/'01_Inputs'!$B$43</f>
        <v>6</v>
      </c>
      <c r="AE39" s="52">
        <f>N(X39)/'01_Inputs'!$B$44</f>
        <v>2</v>
      </c>
      <c r="AF39" s="9" t="str">
        <f>IF(AD39=0,"-",IF(A39&gt;='01_Inputs'!$B$47,"ARS","수동"))</f>
        <v>ARS</v>
      </c>
      <c r="AG39" s="9" t="str">
        <f>IF(AE39=0,"-",IF(A39&gt;='01_Inputs'!$B$46,"ARS","수동"))</f>
        <v>ARS</v>
      </c>
      <c r="AH39" s="14" t="str">
        <f>IF(AD39=0,0,IF(AF39="수동",AD39*'01_Inputs'!$B$34,IF(ISNUMBER('01_Inputs'!$B$36),AD39*'01_Inputs'!$B$36,"미확인")))</f>
        <v>미확인</v>
      </c>
      <c r="AI39" s="14" t="str">
        <f>IF(AE39=0,0,IF(AG39="수동",IF(ISNUMBER('01_Inputs'!$B$35),AE39*'01_Inputs'!$B$35,"미확인"),IF(ISNUMBER('01_Inputs'!$B$37),AE39*'01_Inputs'!$B$37,"미확인")))</f>
        <v>미확인</v>
      </c>
      <c r="AJ39" s="14" t="str">
        <f>IF(AND(ISNUMBER(AH39),ISNUMBER(AI39)),AH39+AI39,"부분 "&amp;TEXT(N(AH39)+N(AI39),"0")&amp;" h + 미확인")</f>
        <v>부분 0 h + 미확인</v>
      </c>
      <c r="AK39" s="14">
        <f>(AD39+AE39)*'01_Inputs'!$B$38</f>
        <v>64</v>
      </c>
      <c r="AL39" s="14">
        <f>(AD39+AE39)*'01_Inputs'!$B$33</f>
        <v>16</v>
      </c>
      <c r="AM39" s="14" t="str">
        <f>IF(ISNUMBER('01_Inputs'!$B$86),'01_Inputs'!$B$86,"미확인")</f>
        <v>미확인</v>
      </c>
      <c r="AN39" s="14" t="str">
        <f>IF(ISNUMBER(AM39),AM39-AB39,"미확인")</f>
        <v>미확인</v>
      </c>
      <c r="AO39" s="32">
        <f>T39-Y39</f>
        <v>642.303030303031</v>
      </c>
      <c r="AP39" s="32">
        <f>IF(ISNUMBER(S39),S39-Y39,"미확인")</f>
        <v>642.303030303031</v>
      </c>
      <c r="AQ39" s="32">
        <f>IF(AND(ISNUMBER(AP39),ISNUMBER(AQ38)),AQ38+AP39,"보류")</f>
        <v>1930.66666666668</v>
      </c>
      <c r="AR39" s="32" t="str">
        <f>IF(ISNUMBER(AZ38),AZ38,"보류")</f>
        <v>보류</v>
      </c>
      <c r="AS39" s="32" t="str">
        <f>IF(AND(ISNUMBER(AR39),ISNUMBER(S39)),AR39+S39,"보류")</f>
        <v>보류</v>
      </c>
      <c r="AT39" s="32" t="str">
        <f>IF(ISNUMBER(AS39),MIN(AS39,U39),"보류")</f>
        <v>보류</v>
      </c>
      <c r="AU39" s="32" t="str">
        <f>IF(ISNUMBER(AS39),MIN(AS39-AT39,N('01_Inputs'!$B$103)),"보류")</f>
        <v>보류</v>
      </c>
      <c r="AV39" s="32" t="str">
        <f>IF(ISNUMBER(AS39),IF((N(V39)+N(W39)+N(X39))=0,0,MIN(N(V39),(AS39-AT39-AU39)*N(V39)/(N(V39)+N(W39)+N(X39)))),"보류")</f>
        <v>보류</v>
      </c>
      <c r="AW39" s="32" t="str">
        <f>IF(ISNUMBER(AS39),IF((N(V39)+N(W39)+N(X39))=0,0,MIN(N(W39),(AS39-AT39-AU39)*N(W39)/(N(V39)+N(W39)+N(X39)))),"보류")</f>
        <v>보류</v>
      </c>
      <c r="AX39" s="32" t="str">
        <f>IF(ISNUMBER(AS39),IF((N(V39)+N(W39)+N(X39))=0,0,MIN(N(X39),(AS39-AT39-AU39)*N(X39)/(N(V39)+N(W39)+N(X39)))),"보류")</f>
        <v>보류</v>
      </c>
      <c r="AY39" s="32" t="str">
        <f>IF(ISNUMBER(AS39),Y39-AT39-AV39-AW39-AX39,"보류")</f>
        <v>보류</v>
      </c>
      <c r="AZ39" s="36" t="str">
        <f>IF(ISNUMBER(AS39),AS39-AT39-AV39-AW39-AX39,"보류")</f>
        <v>보류</v>
      </c>
      <c r="BA39" s="32" t="str">
        <f>IF(ISNUMBER('01_Inputs'!$B$104),'01_Inputs'!$B$104,"미입력")</f>
        <v>미입력</v>
      </c>
      <c r="BB39" s="32" t="str">
        <f>IF(AND(ISNUMBER(AR39),ISNUMBER(BA39)),Y39+BA39-AR39,"보류")</f>
        <v>보류</v>
      </c>
      <c r="BC39" s="32" t="str">
        <f>IF(AND(ISNUMBER(AZ39),ISNUMBER(BA39)),AZ39-BA39,"보류")</f>
        <v>보류</v>
      </c>
      <c r="BD39" s="9" t="str">
        <f>IF(ISNUMBER(AZ39),"계산 가능",IF(ISNUMBER(AP39),"부분 (재고 입력 필요)","보류 (생산 조건 미확인)"))</f>
        <v>부분 (재고 입력 필요)</v>
      </c>
      <c r="BE39" s="9" t="str">
        <f>IF(D39="대정비","대정비 범위·","")&amp;IF(D39="개선 (2대·105℃)","105℃ 품질 검증·","")&amp;IF(ISNUMBER('01_Inputs'!$B$105),"","양품률(100% 상한)·")&amp;IF(COUNTIF(U39:X39,"미제시")&gt;0,"고객 물량 미제시·","")&amp;IF(ISNUMBER(AJ39),"","200 L 충진시간·")&amp;IF(ISNUMBER('01_Inputs'!$B$86),"","글로브 박스 가용·")&amp;IF(ISNUMBER('01_Inputs'!$B$102),"","기초재고·")</f>
        <v>105℃ 품질 검증·양품률(100% 상한)·200 L 충진시간·글로브 박스 가용·기초재고·</v>
      </c>
    </row>
    <row r="40">
      <c r="A40" s="55" t="n">
        <v>47058</v>
      </c>
      <c r="B40" s="15">
        <f>YEAR(A40)</f>
        <v>2028</v>
      </c>
      <c r="C40" s="15">
        <f>DAY(EOMONTH(A40,0))</f>
        <v>30</v>
      </c>
      <c r="D40" s="9" t="str">
        <f>IF(AND(YEAR(A40)&gt;=2027,MONTH(A40)='01_Inputs'!$B$69),"대정비",IF(A40&lt;'01_Inputs'!$B$80,"현재 (1대)",IF(AND(ISNUMBER('01_Inputs'!$B$76),A40&gt;='01_Inputs'!$B$76),"개선 (2대·105℃)","개선 (2대)")))</f>
        <v>개선 (2대·105℃)</v>
      </c>
      <c r="E40" s="15">
        <f>IF(LEFT(D40,2)="개선",'01_Inputs'!$B$8,'01_Inputs'!$B$7)</f>
        <v>2</v>
      </c>
      <c r="F40" s="56" t="n"/>
      <c r="G40" s="14">
        <f>IF(D40="대정비","대정비",E40*C40*24-N(F40))</f>
        <v>1440</v>
      </c>
      <c r="H40" s="30" t="str">
        <f>IF(D40="현재 (1대)",'03_Capacity_Model'!$B$80,IF(D40="개선 (2대)",IF(ISNUMBER('01_Inputs'!$B$82),'01_Inputs'!$B$82,"미확인"),IF(D40="개선 (2대·105℃)",IF(ISNUMBER('01_Inputs'!$B$77),'01_Inputs'!$B$77,"미확인"),"-")))</f>
        <v>미확인</v>
      </c>
      <c r="I40" s="14">
        <f>IF(AND(ISNUMBER(K39),D39=D40),K39,0)</f>
        <v>0</v>
      </c>
      <c r="J40" s="45" t="str">
        <f>IF(AND(ISNUMBER(G40),ISNUMBER(H40)),INT((G40+I40)/H40),IF(D40="대정비","대정비","미확인"))</f>
        <v>미확인</v>
      </c>
      <c r="K40" s="14">
        <f>IF(AND(ISNUMBER(G40),ISNUMBER(H40),ISNUMBER(J40)),G40+I40-J40*H40,"")</f>
      </c>
      <c r="L40" s="19">
        <f>IF(COUNTIFS('02_Batch_Raw'!$E$6:$E$99,"&gt;="&amp;A40,'02_Batch_Raw'!$E$6:$E$99,"&lt;="&amp;EOMONTH(A40,0))=0,"",COUNTIFS('02_Batch_Raw'!$E$6:$E$99,"&gt;="&amp;A40,'02_Batch_Raw'!$E$6:$E$99,"&lt;="&amp;EOMONTH(A40,0)))</f>
      </c>
      <c r="M40" s="19">
        <f>""</f>
      </c>
      <c r="N40" s="57" t="n"/>
      <c r="O40" s="15">
        <f>IF(ISNUMBER(N40),N40,IF(ISNUMBER('P5_2028_월별'!$M$6),'P5_2028_월별'!$M$6/Q40,J40))</f>
        <v>23.4507177033493</v>
      </c>
      <c r="P40" s="9" t="str">
        <f>IF(ISNUMBER(N40),"실적 입력",IF(ISNUMBER('P5_2028_월별'!$M$6),"Capa. 기준 계획","미확인"))</f>
        <v>Capa. 기준 계획</v>
      </c>
      <c r="Q40" s="25">
        <f>IF(LEFT(D40,2)="개선",IF(ISNUMBER('01_Inputs'!$B$61),'01_Inputs'!$B$61,'01_Inputs'!$B$49),'01_Inputs'!$B$49)</f>
        <v>190</v>
      </c>
      <c r="R40" s="25">
        <f>IF(ISNUMBER(N40),N40*Q40,IF(ISNUMBER('P5_2028_월별'!$M$6),'P5_2028_월별'!$M$6,IF(ISNUMBER(O40),O40*Q40,"미확인")))</f>
        <v>4455.63636363636</v>
      </c>
      <c r="S40" s="40">
        <f>IF(ISNUMBER(R40),R40*IF(ISNUMBER('01_Inputs'!$B$105),'01_Inputs'!$B$105,1),"미확인")</f>
        <v>4455.63636363636</v>
      </c>
      <c r="T40" s="32">
        <f>IF(D40="대정비",'01_Inputs'!$B$70,IF(D40="개선 (2대·105℃)",'01_Inputs'!$B$72,IF(D40="개선 (2대)",'01_Inputs'!$B$71,'01_Inputs'!$B$63*1000/12)))</f>
        <v>4455.63636363636</v>
      </c>
      <c r="U40" s="31">
        <f>IF(ISNUMBER('01_Inputs'!$M$122),'01_Inputs'!$M$122,"미제시")</f>
        <v>1893.33333333333</v>
      </c>
      <c r="V40" s="31">
        <f>IF(ISNUMBER('01_Inputs'!$M$123),'01_Inputs'!$M$123,"미제시")</f>
        <v>780</v>
      </c>
      <c r="W40" s="31">
        <f>IF(ISNUMBER('01_Inputs'!$M$124),'01_Inputs'!$M$124,"미제시")</f>
        <v>840</v>
      </c>
      <c r="X40" s="31">
        <f>IF(ISNUMBER('01_Inputs'!$M$125),'01_Inputs'!$M$125,"미제시")</f>
        <v>300</v>
      </c>
      <c r="Y40" s="36">
        <f>SUM(U40:X40)</f>
        <v>3813.33333333333</v>
      </c>
      <c r="Z40" s="52">
        <f>Y40/Q40</f>
        <v>20.0701754385965</v>
      </c>
      <c r="AA40" s="52">
        <f>(N(U40)+N(V40))/'01_Inputs'!$B$42</f>
        <v>133.666666666667</v>
      </c>
      <c r="AB40" s="14">
        <f>AA40*'01_Inputs'!$B$28</f>
        <v>267.333333333333</v>
      </c>
      <c r="AC40" s="14">
        <f>AA40/'01_Inputs'!$B$29*'01_Inputs'!$B$32</f>
        <v>29.7037037037037</v>
      </c>
      <c r="AD40" s="52">
        <f>N(W40)/'01_Inputs'!$B$43</f>
        <v>6</v>
      </c>
      <c r="AE40" s="52">
        <f>N(X40)/'01_Inputs'!$B$44</f>
        <v>2</v>
      </c>
      <c r="AF40" s="9" t="str">
        <f>IF(AD40=0,"-",IF(A40&gt;='01_Inputs'!$B$47,"ARS","수동"))</f>
        <v>ARS</v>
      </c>
      <c r="AG40" s="9" t="str">
        <f>IF(AE40=0,"-",IF(A40&gt;='01_Inputs'!$B$46,"ARS","수동"))</f>
        <v>ARS</v>
      </c>
      <c r="AH40" s="14" t="str">
        <f>IF(AD40=0,0,IF(AF40="수동",AD40*'01_Inputs'!$B$34,IF(ISNUMBER('01_Inputs'!$B$36),AD40*'01_Inputs'!$B$36,"미확인")))</f>
        <v>미확인</v>
      </c>
      <c r="AI40" s="14" t="str">
        <f>IF(AE40=0,0,IF(AG40="수동",IF(ISNUMBER('01_Inputs'!$B$35),AE40*'01_Inputs'!$B$35,"미확인"),IF(ISNUMBER('01_Inputs'!$B$37),AE40*'01_Inputs'!$B$37,"미확인")))</f>
        <v>미확인</v>
      </c>
      <c r="AJ40" s="14" t="str">
        <f>IF(AND(ISNUMBER(AH40),ISNUMBER(AI40)),AH40+AI40,"부분 "&amp;TEXT(N(AH40)+N(AI40),"0")&amp;" h + 미확인")</f>
        <v>부분 0 h + 미확인</v>
      </c>
      <c r="AK40" s="14">
        <f>(AD40+AE40)*'01_Inputs'!$B$38</f>
        <v>64</v>
      </c>
      <c r="AL40" s="14">
        <f>(AD40+AE40)*'01_Inputs'!$B$33</f>
        <v>16</v>
      </c>
      <c r="AM40" s="14" t="str">
        <f>IF(ISNUMBER('01_Inputs'!$B$86),'01_Inputs'!$B$86,"미확인")</f>
        <v>미확인</v>
      </c>
      <c r="AN40" s="14" t="str">
        <f>IF(ISNUMBER(AM40),AM40-AB40,"미확인")</f>
        <v>미확인</v>
      </c>
      <c r="AO40" s="32">
        <f>T40-Y40</f>
        <v>642.303030303031</v>
      </c>
      <c r="AP40" s="32">
        <f>IF(ISNUMBER(S40),S40-Y40,"미확인")</f>
        <v>642.303030303031</v>
      </c>
      <c r="AQ40" s="32">
        <f>IF(AND(ISNUMBER(AP40),ISNUMBER(AQ39)),AQ39+AP40,"보류")</f>
        <v>2572.96969696971</v>
      </c>
      <c r="AR40" s="32" t="str">
        <f>IF(ISNUMBER(AZ39),AZ39,"보류")</f>
        <v>보류</v>
      </c>
      <c r="AS40" s="32" t="str">
        <f>IF(AND(ISNUMBER(AR40),ISNUMBER(S40)),AR40+S40,"보류")</f>
        <v>보류</v>
      </c>
      <c r="AT40" s="32" t="str">
        <f>IF(ISNUMBER(AS40),MIN(AS40,U40),"보류")</f>
        <v>보류</v>
      </c>
      <c r="AU40" s="32" t="str">
        <f>IF(ISNUMBER(AS40),MIN(AS40-AT40,N('01_Inputs'!$B$103)),"보류")</f>
        <v>보류</v>
      </c>
      <c r="AV40" s="32" t="str">
        <f>IF(ISNUMBER(AS40),IF((N(V40)+N(W40)+N(X40))=0,0,MIN(N(V40),(AS40-AT40-AU40)*N(V40)/(N(V40)+N(W40)+N(X40)))),"보류")</f>
        <v>보류</v>
      </c>
      <c r="AW40" s="32" t="str">
        <f>IF(ISNUMBER(AS40),IF((N(V40)+N(W40)+N(X40))=0,0,MIN(N(W40),(AS40-AT40-AU40)*N(W40)/(N(V40)+N(W40)+N(X40)))),"보류")</f>
        <v>보류</v>
      </c>
      <c r="AX40" s="32" t="str">
        <f>IF(ISNUMBER(AS40),IF((N(V40)+N(W40)+N(X40))=0,0,MIN(N(X40),(AS40-AT40-AU40)*N(X40)/(N(V40)+N(W40)+N(X40)))),"보류")</f>
        <v>보류</v>
      </c>
      <c r="AY40" s="32" t="str">
        <f>IF(ISNUMBER(AS40),Y40-AT40-AV40-AW40-AX40,"보류")</f>
        <v>보류</v>
      </c>
      <c r="AZ40" s="36" t="str">
        <f>IF(ISNUMBER(AS40),AS40-AT40-AV40-AW40-AX40,"보류")</f>
        <v>보류</v>
      </c>
      <c r="BA40" s="32" t="str">
        <f>IF(ISNUMBER('01_Inputs'!$B$104),'01_Inputs'!$B$104,"미입력")</f>
        <v>미입력</v>
      </c>
      <c r="BB40" s="32" t="str">
        <f>IF(AND(ISNUMBER(AR40),ISNUMBER(BA40)),Y40+BA40-AR40,"보류")</f>
        <v>보류</v>
      </c>
      <c r="BC40" s="32" t="str">
        <f>IF(AND(ISNUMBER(AZ40),ISNUMBER(BA40)),AZ40-BA40,"보류")</f>
        <v>보류</v>
      </c>
      <c r="BD40" s="9" t="str">
        <f>IF(ISNUMBER(AZ40),"계산 가능",IF(ISNUMBER(AP40),"부분 (재고 입력 필요)","보류 (생산 조건 미확인)"))</f>
        <v>부분 (재고 입력 필요)</v>
      </c>
      <c r="BE40" s="9" t="str">
        <f>IF(D40="대정비","대정비 범위·","")&amp;IF(D40="개선 (2대·105℃)","105℃ 품질 검증·","")&amp;IF(ISNUMBER('01_Inputs'!$B$105),"","양품률(100% 상한)·")&amp;IF(COUNTIF(U40:X40,"미제시")&gt;0,"고객 물량 미제시·","")&amp;IF(ISNUMBER(AJ40),"","200 L 충진시간·")&amp;IF(ISNUMBER('01_Inputs'!$B$86),"","글로브 박스 가용·")&amp;IF(ISNUMBER('01_Inputs'!$B$102),"","기초재고·")</f>
        <v>105℃ 품질 검증·양품률(100% 상한)·200 L 충진시간·글로브 박스 가용·기초재고·</v>
      </c>
    </row>
    <row r="41">
      <c r="A41" s="55" t="n">
        <v>47088</v>
      </c>
      <c r="B41" s="15">
        <f>YEAR(A41)</f>
        <v>2028</v>
      </c>
      <c r="C41" s="15">
        <f>DAY(EOMONTH(A41,0))</f>
        <v>31</v>
      </c>
      <c r="D41" s="9" t="str">
        <f>IF(AND(YEAR(A41)&gt;=2027,MONTH(A41)='01_Inputs'!$B$69),"대정비",IF(A41&lt;'01_Inputs'!$B$80,"현재 (1대)",IF(AND(ISNUMBER('01_Inputs'!$B$76),A41&gt;='01_Inputs'!$B$76),"개선 (2대·105℃)","개선 (2대)")))</f>
        <v>개선 (2대·105℃)</v>
      </c>
      <c r="E41" s="15">
        <f>IF(LEFT(D41,2)="개선",'01_Inputs'!$B$8,'01_Inputs'!$B$7)</f>
        <v>2</v>
      </c>
      <c r="F41" s="56" t="n"/>
      <c r="G41" s="14">
        <f>IF(D41="대정비","대정비",E41*C41*24-N(F41))</f>
        <v>1488</v>
      </c>
      <c r="H41" s="30" t="str">
        <f>IF(D41="현재 (1대)",'03_Capacity_Model'!$B$80,IF(D41="개선 (2대)",IF(ISNUMBER('01_Inputs'!$B$82),'01_Inputs'!$B$82,"미확인"),IF(D41="개선 (2대·105℃)",IF(ISNUMBER('01_Inputs'!$B$77),'01_Inputs'!$B$77,"미확인"),"-")))</f>
        <v>미확인</v>
      </c>
      <c r="I41" s="14">
        <f>IF(AND(ISNUMBER(K40),D40=D41),K40,0)</f>
        <v>0</v>
      </c>
      <c r="J41" s="45" t="str">
        <f>IF(AND(ISNUMBER(G41),ISNUMBER(H41)),INT((G41+I41)/H41),IF(D41="대정비","대정비","미확인"))</f>
        <v>미확인</v>
      </c>
      <c r="K41" s="14">
        <f>IF(AND(ISNUMBER(G41),ISNUMBER(H41),ISNUMBER(J41)),G41+I41-J41*H41,"")</f>
      </c>
      <c r="L41" s="19">
        <f>IF(COUNTIFS('02_Batch_Raw'!$E$6:$E$99,"&gt;="&amp;A41,'02_Batch_Raw'!$E$6:$E$99,"&lt;="&amp;EOMONTH(A41,0))=0,"",COUNTIFS('02_Batch_Raw'!$E$6:$E$99,"&gt;="&amp;A41,'02_Batch_Raw'!$E$6:$E$99,"&lt;="&amp;EOMONTH(A41,0)))</f>
      </c>
      <c r="M41" s="19">
        <f>""</f>
      </c>
      <c r="N41" s="57" t="n"/>
      <c r="O41" s="15">
        <f>IF(ISNUMBER(N41),N41,IF(ISNUMBER('P5_2028_월별'!$N$6),'P5_2028_월별'!$N$6/Q41,J41))</f>
        <v>23.4507177033493</v>
      </c>
      <c r="P41" s="9" t="str">
        <f>IF(ISNUMBER(N41),"실적 입력",IF(ISNUMBER('P5_2028_월별'!$N$6),"Capa. 기준 계획","미확인"))</f>
        <v>Capa. 기준 계획</v>
      </c>
      <c r="Q41" s="25">
        <f>IF(LEFT(D41,2)="개선",IF(ISNUMBER('01_Inputs'!$B$61),'01_Inputs'!$B$61,'01_Inputs'!$B$49),'01_Inputs'!$B$49)</f>
        <v>190</v>
      </c>
      <c r="R41" s="25">
        <f>IF(ISNUMBER(N41),N41*Q41,IF(ISNUMBER('P5_2028_월별'!$N$6),'P5_2028_월별'!$N$6,IF(ISNUMBER(O41),O41*Q41,"미확인")))</f>
        <v>4455.63636363636</v>
      </c>
      <c r="S41" s="40">
        <f>IF(ISNUMBER(R41),R41*IF(ISNUMBER('01_Inputs'!$B$105),'01_Inputs'!$B$105,1),"미확인")</f>
        <v>4455.63636363636</v>
      </c>
      <c r="T41" s="32">
        <f>IF(D41="대정비",'01_Inputs'!$B$70,IF(D41="개선 (2대·105℃)",'01_Inputs'!$B$72,IF(D41="개선 (2대)",'01_Inputs'!$B$71,'01_Inputs'!$B$63*1000/12)))</f>
        <v>4455.63636363636</v>
      </c>
      <c r="U41" s="31">
        <f>IF(ISNUMBER('01_Inputs'!$N$122),'01_Inputs'!$N$122,"미제시")</f>
        <v>1893.33333333333</v>
      </c>
      <c r="V41" s="31">
        <f>IF(ISNUMBER('01_Inputs'!$N$123),'01_Inputs'!$N$123,"미제시")</f>
        <v>780</v>
      </c>
      <c r="W41" s="31">
        <f>IF(ISNUMBER('01_Inputs'!$N$124),'01_Inputs'!$N$124,"미제시")</f>
        <v>840</v>
      </c>
      <c r="X41" s="31">
        <f>IF(ISNUMBER('01_Inputs'!$N$125),'01_Inputs'!$N$125,"미제시")</f>
        <v>300</v>
      </c>
      <c r="Y41" s="36">
        <f>SUM(U41:X41)</f>
        <v>3813.33333333333</v>
      </c>
      <c r="Z41" s="52">
        <f>Y41/Q41</f>
        <v>20.0701754385965</v>
      </c>
      <c r="AA41" s="52">
        <f>(N(U41)+N(V41))/'01_Inputs'!$B$42</f>
        <v>133.666666666667</v>
      </c>
      <c r="AB41" s="14">
        <f>AA41*'01_Inputs'!$B$28</f>
        <v>267.333333333333</v>
      </c>
      <c r="AC41" s="14">
        <f>AA41/'01_Inputs'!$B$29*'01_Inputs'!$B$32</f>
        <v>29.7037037037037</v>
      </c>
      <c r="AD41" s="52">
        <f>N(W41)/'01_Inputs'!$B$43</f>
        <v>6</v>
      </c>
      <c r="AE41" s="52">
        <f>N(X41)/'01_Inputs'!$B$44</f>
        <v>2</v>
      </c>
      <c r="AF41" s="9" t="str">
        <f>IF(AD41=0,"-",IF(A41&gt;='01_Inputs'!$B$47,"ARS","수동"))</f>
        <v>ARS</v>
      </c>
      <c r="AG41" s="9" t="str">
        <f>IF(AE41=0,"-",IF(A41&gt;='01_Inputs'!$B$46,"ARS","수동"))</f>
        <v>ARS</v>
      </c>
      <c r="AH41" s="14" t="str">
        <f>IF(AD41=0,0,IF(AF41="수동",AD41*'01_Inputs'!$B$34,IF(ISNUMBER('01_Inputs'!$B$36),AD41*'01_Inputs'!$B$36,"미확인")))</f>
        <v>미확인</v>
      </c>
      <c r="AI41" s="14" t="str">
        <f>IF(AE41=0,0,IF(AG41="수동",IF(ISNUMBER('01_Inputs'!$B$35),AE41*'01_Inputs'!$B$35,"미확인"),IF(ISNUMBER('01_Inputs'!$B$37),AE41*'01_Inputs'!$B$37,"미확인")))</f>
        <v>미확인</v>
      </c>
      <c r="AJ41" s="14" t="str">
        <f>IF(AND(ISNUMBER(AH41),ISNUMBER(AI41)),AH41+AI41,"부분 "&amp;TEXT(N(AH41)+N(AI41),"0")&amp;" h + 미확인")</f>
        <v>부분 0 h + 미확인</v>
      </c>
      <c r="AK41" s="14">
        <f>(AD41+AE41)*'01_Inputs'!$B$38</f>
        <v>64</v>
      </c>
      <c r="AL41" s="14">
        <f>(AD41+AE41)*'01_Inputs'!$B$33</f>
        <v>16</v>
      </c>
      <c r="AM41" s="14" t="str">
        <f>IF(ISNUMBER('01_Inputs'!$B$86),'01_Inputs'!$B$86,"미확인")</f>
        <v>미확인</v>
      </c>
      <c r="AN41" s="14" t="str">
        <f>IF(ISNUMBER(AM41),AM41-AB41,"미확인")</f>
        <v>미확인</v>
      </c>
      <c r="AO41" s="32">
        <f>T41-Y41</f>
        <v>642.303030303031</v>
      </c>
      <c r="AP41" s="32">
        <f>IF(ISNUMBER(S41),S41-Y41,"미확인")</f>
        <v>642.303030303031</v>
      </c>
      <c r="AQ41" s="32">
        <f>IF(AND(ISNUMBER(AP41),ISNUMBER(AQ40)),AQ40+AP41,"보류")</f>
        <v>3215.27272727274</v>
      </c>
      <c r="AR41" s="32" t="str">
        <f>IF(ISNUMBER(AZ40),AZ40,"보류")</f>
        <v>보류</v>
      </c>
      <c r="AS41" s="32" t="str">
        <f>IF(AND(ISNUMBER(AR41),ISNUMBER(S41)),AR41+S41,"보류")</f>
        <v>보류</v>
      </c>
      <c r="AT41" s="32" t="str">
        <f>IF(ISNUMBER(AS41),MIN(AS41,U41),"보류")</f>
        <v>보류</v>
      </c>
      <c r="AU41" s="32" t="str">
        <f>IF(ISNUMBER(AS41),MIN(AS41-AT41,N('01_Inputs'!$B$103)),"보류")</f>
        <v>보류</v>
      </c>
      <c r="AV41" s="32" t="str">
        <f>IF(ISNUMBER(AS41),IF((N(V41)+N(W41)+N(X41))=0,0,MIN(N(V41),(AS41-AT41-AU41)*N(V41)/(N(V41)+N(W41)+N(X41)))),"보류")</f>
        <v>보류</v>
      </c>
      <c r="AW41" s="32" t="str">
        <f>IF(ISNUMBER(AS41),IF((N(V41)+N(W41)+N(X41))=0,0,MIN(N(W41),(AS41-AT41-AU41)*N(W41)/(N(V41)+N(W41)+N(X41)))),"보류")</f>
        <v>보류</v>
      </c>
      <c r="AX41" s="32" t="str">
        <f>IF(ISNUMBER(AS41),IF((N(V41)+N(W41)+N(X41))=0,0,MIN(N(X41),(AS41-AT41-AU41)*N(X41)/(N(V41)+N(W41)+N(X41)))),"보류")</f>
        <v>보류</v>
      </c>
      <c r="AY41" s="32" t="str">
        <f>IF(ISNUMBER(AS41),Y41-AT41-AV41-AW41-AX41,"보류")</f>
        <v>보류</v>
      </c>
      <c r="AZ41" s="36" t="str">
        <f>IF(ISNUMBER(AS41),AS41-AT41-AV41-AW41-AX41,"보류")</f>
        <v>보류</v>
      </c>
      <c r="BA41" s="32" t="str">
        <f>IF(ISNUMBER('01_Inputs'!$B$104),'01_Inputs'!$B$104,"미입력")</f>
        <v>미입력</v>
      </c>
      <c r="BB41" s="32" t="str">
        <f>IF(AND(ISNUMBER(AR41),ISNUMBER(BA41)),Y41+BA41-AR41,"보류")</f>
        <v>보류</v>
      </c>
      <c r="BC41" s="32" t="str">
        <f>IF(AND(ISNUMBER(AZ41),ISNUMBER(BA41)),AZ41-BA41,"보류")</f>
        <v>보류</v>
      </c>
      <c r="BD41" s="9" t="str">
        <f>IF(ISNUMBER(AZ41),"계산 가능",IF(ISNUMBER(AP41),"부분 (재고 입력 필요)","보류 (생산 조건 미확인)"))</f>
        <v>부분 (재고 입력 필요)</v>
      </c>
      <c r="BE41" s="9" t="str">
        <f>IF(D41="대정비","대정비 범위·","")&amp;IF(D41="개선 (2대·105℃)","105℃ 품질 검증·","")&amp;IF(ISNUMBER('01_Inputs'!$B$105),"","양품률(100% 상한)·")&amp;IF(COUNTIF(U41:X41,"미제시")&gt;0,"고객 물량 미제시·","")&amp;IF(ISNUMBER(AJ41),"","200 L 충진시간·")&amp;IF(ISNUMBER('01_Inputs'!$B$86),"","글로브 박스 가용·")&amp;IF(ISNUMBER('01_Inputs'!$B$102),"","기초재고·")</f>
        <v>105℃ 품질 검증·양품률(100% 상한)·200 L 충진시간·글로브 박스 가용·기초재고·</v>
      </c>
    </row>
    <row r="42">
      <c r="A42" s="37" t="inlineStr">
        <is>
          <t>2026 합계</t>
        </is>
      </c>
      <c r="J42" s="40">
        <f>IF(COUNT(J6:J17)=12,SUM(J6:J17),"부분합계 "&amp;TEXT(SUM(J6:J17),"#,##0")&amp;" ("&amp;COUNT(J6:J17)&amp;"/12개월)")</f>
        <v>129</v>
      </c>
      <c r="L42" s="45">
        <f>SUM(L6:L17)</f>
        <v>56</v>
      </c>
      <c r="M42" s="45">
        <f>SUM(M6:M17)</f>
        <v>46</v>
      </c>
      <c r="O42" s="40">
        <f>IF(COUNT(O6:O17)=12,SUM(O6:O17),"부분합계 "&amp;TEXT(SUM(O6:O17),"#,##0")&amp;" ("&amp;COUNT(O6:O17)&amp;"/12개월)")</f>
        <v>129</v>
      </c>
      <c r="R42" s="40">
        <f>IF(COUNT(R6:R17)=12,SUM(R6:R17),"부분합계 "&amp;TEXT(SUM(R6:R17),"#,##0")&amp;" ("&amp;COUNT(R6:R17)&amp;"/12개월)")</f>
        <v>24510</v>
      </c>
      <c r="S42" s="40">
        <f>IF(COUNT(S6:S17)=12,SUM(S6:S17),"부분합계 "&amp;TEXT(SUM(S6:S17),"#,##0")&amp;" ("&amp;COUNT(S6:S17)&amp;"/12개월)")</f>
        <v>24510</v>
      </c>
      <c r="T42" s="36">
        <f>SUM(T6:T17)</f>
        <v>26200</v>
      </c>
      <c r="U42" s="36">
        <f>SUM(U6:U17)</f>
        <v>16980</v>
      </c>
      <c r="V42" s="36" t="str">
        <f>IF(COUNT(V6:V17)=0,"미제시",SUM(V6:V17))</f>
        <v>미제시</v>
      </c>
      <c r="W42" s="36">
        <f>SUM(W6:W17)</f>
        <v>2240</v>
      </c>
      <c r="X42" s="36" t="str">
        <f>IF(COUNT(X6:X17)=0,"미제시",SUM(X6:X17))</f>
        <v>미제시</v>
      </c>
      <c r="Y42" s="36">
        <f>SUM(Y6:Y17)</f>
        <v>19220</v>
      </c>
      <c r="Z42" s="58">
        <f>SUM(Z6:Z17)</f>
        <v>101.157894736842</v>
      </c>
      <c r="AA42" s="58">
        <f>SUM(AA6:AA17)</f>
        <v>849</v>
      </c>
      <c r="AB42" s="48">
        <f>SUM(AB6:AB17)</f>
        <v>1698</v>
      </c>
      <c r="AC42" s="48">
        <f>SUM(AC6:AC17)</f>
        <v>188.666666666667</v>
      </c>
      <c r="AD42" s="58">
        <f>SUM(AD6:AD17)</f>
        <v>16</v>
      </c>
      <c r="AE42" s="58">
        <f>SUM(AE6:AE17)</f>
        <v>0</v>
      </c>
      <c r="AH42" s="48">
        <f>IF(COUNTIF(AH6:AH17,"미확인")&gt;0,"부분 "&amp;TEXT(SUM(AH6:AH17),"0")&amp;" h + 미확인",SUM(AH6:AH17))</f>
        <v>128</v>
      </c>
      <c r="AI42" s="48">
        <f>IF(COUNTIF(AI6:AI17,"미확인")&gt;0,"부분 "&amp;TEXT(SUM(AI6:AI17),"0")&amp;" h + 미확인",SUM(AI6:AI17))</f>
        <v>0</v>
      </c>
      <c r="AK42" s="48">
        <f>SUM(AK6:AK17)</f>
        <v>128</v>
      </c>
      <c r="AL42" s="48">
        <f>SUM(AL6:AL17)</f>
        <v>32</v>
      </c>
      <c r="AO42" s="36">
        <f>SUM(AO6:AO17)</f>
        <v>6980</v>
      </c>
    </row>
    <row r="43">
      <c r="A43" s="37" t="inlineStr">
        <is>
          <t>2027 합계</t>
        </is>
      </c>
      <c r="J43" s="40" t="str">
        <f>IF(COUNT(J18:J29)=12,SUM(J18:J29),"부분합계 "&amp;TEXT(SUM(J18:J29),"#,##0")&amp;" ("&amp;COUNT(J18:J29)&amp;"/12개월)")</f>
        <v>부분합계 32 (3/12개월)</v>
      </c>
      <c r="O43" s="40">
        <f>IF(COUNT(O18:O29)=12,SUM(O18:O29),"부분합계 "&amp;TEXT(SUM(O18:O29),"#,##0")&amp;" ("&amp;COUNT(O18:O29)&amp;"/12개월)")</f>
        <v>221.975119617225</v>
      </c>
      <c r="R43" s="40">
        <f>IF(COUNT(R18:R29)=12,SUM(R18:R29),"부분합계 "&amp;TEXT(SUM(R18:R29),"#,##0")&amp;" ("&amp;COUNT(R18:R29)&amp;"/12개월)")</f>
        <v>42175.2727272727</v>
      </c>
      <c r="S43" s="40">
        <f>IF(COUNT(S18:S29)=12,SUM(S18:S29),"부분합계 "&amp;TEXT(SUM(S18:S29),"#,##0")&amp;" ("&amp;COUNT(S18:S29)&amp;"/12개월)")</f>
        <v>42175.2727272727</v>
      </c>
      <c r="T43" s="36">
        <f>SUM(T18:T29)</f>
        <v>41201.2727272727</v>
      </c>
      <c r="U43" s="36">
        <f>SUM(U18:U29)</f>
        <v>22720</v>
      </c>
      <c r="V43" s="36">
        <f>IF(COUNT(V18:V29)=0,"미제시",SUM(V18:V29))</f>
        <v>7000</v>
      </c>
      <c r="W43" s="36">
        <f>SUM(W18:W29)</f>
        <v>10080</v>
      </c>
      <c r="X43" s="36">
        <f>IF(COUNT(X18:X29)=0,"미제시",SUM(X18:X29))</f>
        <v>3600</v>
      </c>
      <c r="Y43" s="36">
        <f>SUM(Y18:Y29)</f>
        <v>43400</v>
      </c>
      <c r="Z43" s="58">
        <f>SUM(Z18:Z29)</f>
        <v>228.421052631579</v>
      </c>
      <c r="AA43" s="58">
        <f>SUM(AA18:AA29)</f>
        <v>1486</v>
      </c>
      <c r="AB43" s="48">
        <f>SUM(AB18:AB29)</f>
        <v>2972</v>
      </c>
      <c r="AC43" s="48">
        <f>SUM(AC18:AC29)</f>
        <v>330.222222222222</v>
      </c>
      <c r="AD43" s="58">
        <f>SUM(AD18:AD29)</f>
        <v>72</v>
      </c>
      <c r="AE43" s="58">
        <f>SUM(AE18:AE29)</f>
        <v>24</v>
      </c>
      <c r="AH43" s="48" t="str">
        <f>IF(COUNTIF(AH18:AH29,"미확인")&gt;0,"부분 "&amp;TEXT(SUM(AH18:AH29),"0")&amp;" h + 미확인",SUM(AH18:AH29))</f>
        <v>부분 192 h + 미확인</v>
      </c>
      <c r="AI43" s="48" t="str">
        <f>IF(COUNTIF(AI18:AI29,"미확인")&gt;0,"부분 "&amp;TEXT(SUM(AI18:AI29),"0")&amp;" h + 미확인",SUM(AI18:AI29))</f>
        <v>부분 0 h + 미확인</v>
      </c>
      <c r="AK43" s="48">
        <f>SUM(AK18:AK29)</f>
        <v>768</v>
      </c>
      <c r="AL43" s="48">
        <f>SUM(AL18:AL29)</f>
        <v>192</v>
      </c>
      <c r="AO43" s="36">
        <f>SUM(AO18:AO29)</f>
        <v>-2198.72727272727</v>
      </c>
    </row>
    <row r="44">
      <c r="A44" s="37" t="inlineStr">
        <is>
          <t>2028 합계</t>
        </is>
      </c>
      <c r="J44" s="40" t="str">
        <f>IF(COUNT(J30:J41)=12,SUM(J30:J41),"부분합계 "&amp;TEXT(SUM(J30:J41),"#,##0")&amp;" ("&amp;COUNT(J30:J41)&amp;"/12개월)")</f>
        <v>부분합계 0 (0/12개월)</v>
      </c>
      <c r="O44" s="40">
        <f>IF(COUNT(O30:O41)=12,SUM(O30:O41),"부분합계 "&amp;TEXT(SUM(O30:O41),"#,##0")&amp;" ("&amp;COUNT(O30:O41)&amp;"/12개월)")</f>
        <v>264.21052631579</v>
      </c>
      <c r="R44" s="40">
        <f>IF(COUNT(R30:R41)=12,SUM(R30:R41),"부분합계 "&amp;TEXT(SUM(R30:R41),"#,##0")&amp;" ("&amp;COUNT(R30:R41)&amp;"/12개월)")</f>
        <v>50200</v>
      </c>
      <c r="S44" s="40">
        <f>IF(COUNT(S30:S41)=12,SUM(S30:S41),"부분합계 "&amp;TEXT(SUM(S30:S41),"#,##0")&amp;" ("&amp;COUNT(S30:S41)&amp;"/12개월)")</f>
        <v>50200</v>
      </c>
      <c r="T44" s="36">
        <f>SUM(T30:T41)</f>
        <v>50200</v>
      </c>
      <c r="U44" s="36">
        <f>SUM(U30:U41)</f>
        <v>22720</v>
      </c>
      <c r="V44" s="36">
        <f>IF(COUNT(V30:V41)=0,"미제시",SUM(V30:V41))</f>
        <v>9360</v>
      </c>
      <c r="W44" s="36">
        <f>SUM(W30:W41)</f>
        <v>10080</v>
      </c>
      <c r="X44" s="36">
        <f>IF(COUNT(X30:X41)=0,"미제시",SUM(X30:X41))</f>
        <v>3600</v>
      </c>
      <c r="Y44" s="36">
        <f>SUM(Y30:Y41)</f>
        <v>45760</v>
      </c>
      <c r="Z44" s="58">
        <f>SUM(Z30:Z41)</f>
        <v>240.842105263158</v>
      </c>
      <c r="AA44" s="58">
        <f>SUM(AA30:AA41)</f>
        <v>1604</v>
      </c>
      <c r="AB44" s="48">
        <f>SUM(AB30:AB41)</f>
        <v>3208</v>
      </c>
      <c r="AC44" s="48">
        <f>SUM(AC30:AC41)</f>
        <v>356.444444444444</v>
      </c>
      <c r="AD44" s="58">
        <f>SUM(AD30:AD41)</f>
        <v>72</v>
      </c>
      <c r="AE44" s="58">
        <f>SUM(AE30:AE41)</f>
        <v>24</v>
      </c>
      <c r="AH44" s="48" t="str">
        <f>IF(COUNTIF(AH30:AH41,"미확인")&gt;0,"부분 "&amp;TEXT(SUM(AH30:AH41),"0")&amp;" h + 미확인",SUM(AH30:AH41))</f>
        <v>부분 0 h + 미확인</v>
      </c>
      <c r="AI44" s="48" t="str">
        <f>IF(COUNTIF(AI30:AI41,"미확인")&gt;0,"부분 "&amp;TEXT(SUM(AI30:AI41),"0")&amp;" h + 미확인",SUM(AI30:AI41))</f>
        <v>부분 0 h + 미확인</v>
      </c>
      <c r="AK44" s="48">
        <f>SUM(AK30:AK41)</f>
        <v>768</v>
      </c>
      <c r="AL44" s="48">
        <f>SUM(AL30:AL41)</f>
        <v>192</v>
      </c>
      <c r="AO44" s="36">
        <f>SUM(AO30:AO41)</f>
        <v>4440.00000000001</v>
      </c>
    </row>
    <row r="45">
      <c r="A45" s="37" t="inlineStr">
        <is>
          <t>2026 월 최대</t>
        </is>
      </c>
      <c r="Y45" s="32">
        <f>MAX(Y6:Y17)</f>
        <v>2040</v>
      </c>
      <c r="AA45" s="52">
        <f>MAX(AA6:AA17)</f>
        <v>80</v>
      </c>
      <c r="AB45" s="14">
        <f>MAX(AB6:AB17)</f>
        <v>160</v>
      </c>
      <c r="AC45" s="14">
        <f>MAX(AC6:AC17)</f>
        <v>17.7777777777778</v>
      </c>
      <c r="AD45" s="52">
        <f>MAX(AD6:AD17)</f>
        <v>4</v>
      </c>
      <c r="AE45" s="52">
        <f>MAX(AE6:AE17)</f>
        <v>0</v>
      </c>
      <c r="AK45" s="14">
        <f>MAX(AK6:AK17)</f>
        <v>32</v>
      </c>
      <c r="AL45" s="14">
        <f>MAX(AL6:AL17)</f>
        <v>8</v>
      </c>
    </row>
    <row r="46">
      <c r="A46" s="37" t="inlineStr">
        <is>
          <t>2027 월 최대</t>
        </is>
      </c>
      <c r="Y46" s="32">
        <f>MAX(Y18:Y29)</f>
        <v>4093.33333333333</v>
      </c>
      <c r="AA46" s="52">
        <f>MAX(AA18:AA29)</f>
        <v>133.666666666667</v>
      </c>
      <c r="AB46" s="14">
        <f>MAX(AB18:AB29)</f>
        <v>267.333333333333</v>
      </c>
      <c r="AC46" s="14">
        <f>MAX(AC18:AC29)</f>
        <v>29.7037037037037</v>
      </c>
      <c r="AD46" s="52">
        <f>MAX(AD18:AD29)</f>
        <v>8</v>
      </c>
      <c r="AE46" s="52">
        <f>MAX(AE18:AE29)</f>
        <v>2</v>
      </c>
      <c r="AK46" s="14">
        <f>MAX(AK18:AK29)</f>
        <v>80</v>
      </c>
      <c r="AL46" s="14">
        <f>MAX(AL18:AL29)</f>
        <v>20</v>
      </c>
    </row>
    <row r="47">
      <c r="A47" s="37" t="inlineStr">
        <is>
          <t>2028 월 최대</t>
        </is>
      </c>
      <c r="Y47" s="32">
        <f>MAX(Y30:Y41)</f>
        <v>3813.33333333333</v>
      </c>
      <c r="AA47" s="52">
        <f>MAX(AA30:AA41)</f>
        <v>133.666666666667</v>
      </c>
      <c r="AB47" s="14">
        <f>MAX(AB30:AB41)</f>
        <v>267.333333333333</v>
      </c>
      <c r="AC47" s="14">
        <f>MAX(AC30:AC41)</f>
        <v>29.7037037037037</v>
      </c>
      <c r="AD47" s="52">
        <f>MAX(AD30:AD41)</f>
        <v>6</v>
      </c>
      <c r="AE47" s="52">
        <f>MAX(AE30:AE41)</f>
        <v>2</v>
      </c>
      <c r="AK47" s="14">
        <f>MAX(AK30:AK41)</f>
        <v>64</v>
      </c>
      <c r="AL47" s="14">
        <f>MAX(AL30:AL41)</f>
        <v>16</v>
      </c>
    </row>
    <row r="49">
      <c r="A49" s="2" t="inlineStr">
        <is>
          <t>※ 2026 생산 가능 Batch는 관측 간격 추정 · 2027~2028 정제 생산량 = P4·P5 생산 계획 ('27.1~4 확정 · 이후 Capa. 기준). 실적은 N열 입력 시 우선 적용. 2027.12 기말재고 → 2028.1 기초재고로 자동 연결.</t>
        </is>
      </c>
    </row>
    <row r="50">
      <c r="A50" s="2" t="inlineStr">
        <is>
          <t>※ 배정: ① 하이닉스 출하 → ② 하이닉스 목표재고 → ③ CXMT·이지켐·한솔은 잔여량을 출하 비율로 배분 (우선순위 미확인 — 01_Inputs J).</t>
        </is>
      </c>
    </row>
    <row r="51">
      <c r="A51" s="2" t="inlineStr">
        <is>
          <t>※ 기말재고 = 기초재고 + 출하 가능 양품 생산량 − 출하량(배정분) · 필요 생산량 = 출하량 + 목표 기말재고 − 기초재고.</t>
        </is>
      </c>
    </row>
    <row r="52">
      <c r="A52" s="2" t="inlineStr">
        <is>
          <t>※ 5 Gal 병 상당 = (하이닉스+CXMT) ÷ 20 — 실제 출하는 20 kg 정수 용기로 배분하고 연간 물량 유지. 200 L: 이지켐 140 kg / 한솔 150 kg.</t>
        </is>
      </c>
    </row>
    <row r="53">
      <c r="A53" s="2" t="inlineStr">
        <is>
          <t>※ 200 L 충진 확인분은 미확인 고객 시간 제외. '공통 8 h 적용 가정' 열은 비교용 가정 — 한솔 확정값 아님.</t>
        </is>
      </c>
    </row>
    <row r="54">
      <c r="A54" s="2" t="inlineStr">
        <is>
          <t>※ Capa. 기준 월 = (연간 Capa. − 대정비 월 생산량) ÷ 11 — '27.5~ 47.2톤 → 4,182.9 kg · 2028 105℃ 50.2톤 → 4,455.6 kg · 대정비 월 1,188 kg · '27.1~3 = 26.2÷12.</t>
        </is>
      </c>
    </row>
    <row r="55">
      <c r="A55" s="2" t="inlineStr">
        <is>
          <t>※ 누적 증감(AQ)은 2027.1부터 다시 누적 → 최저값 = 2027.1.1 기준 필요 선행재고 (05 시트 5절).</t>
        </is>
      </c>
    </row>
  </sheetData>
  <autoFilter ref="A5:BE41"/>
  <conditionalFormatting sqref="AN6:AN41">
    <cfRule type="expression" priority="1" dxfId="0">
      <formula>AND(ISNUMBER(AN6),AN6&lt;0)</formula>
    </cfRule>
  </conditionalFormatting>
  <conditionalFormatting sqref="AO6:AO41">
    <cfRule type="expression" priority="2" dxfId="0">
      <formula>AND(ISNUMBER(AO6),AO6&lt;0)</formula>
    </cfRule>
  </conditionalFormatting>
  <conditionalFormatting sqref="AP6:AP41">
    <cfRule type="expression" priority="3" dxfId="0">
      <formula>AND(ISNUMBER(AP6),AP6&lt;0)</formula>
    </cfRule>
  </conditionalFormatting>
  <conditionalFormatting sqref="AQ6:AQ41">
    <cfRule type="expression" priority="4" dxfId="0">
      <formula>AND(ISNUMBER(AQ6),AQ6&lt;0)</formula>
    </cfRule>
  </conditionalFormatting>
  <conditionalFormatting sqref="BC6:BC41">
    <cfRule type="expression" priority="5" dxfId="0">
      <formula>AND(ISNUMBER(BC6),BC6&lt;0)</formula>
    </cfRule>
  </conditionalFormatting>
  <conditionalFormatting sqref="AY6:AY41">
    <cfRule type="expression" priority="6" dxfId="0">
      <formula>AND(ISNUMBER(AY6),AY6&gt;0.001)</formula>
    </cfRule>
  </conditionalFormatting>
  <conditionalFormatting sqref="G6:BD41">
    <cfRule type="expression" priority="7" dxfId="6">
      <formula>OR(G6="미확인",G6="보류",G6="미입력",G6="미제시",LEFT(G6,2)="부분")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A1:Z67"/>
  <sheetViews>
    <sheetView zoomScale="90"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40" customWidth="1" min="27" max="27"/>
  </cols>
  <sheetData>
    <row r="1">
      <c r="A1" s="1" t="inlineStr">
        <is>
          <t>05_Reflux_Scenarios | 확정 계획 · 대정비 · 개선(정제기 2대) · 2028 105℃ 50.2톤 · 생산 계획 vs 출하 · 필요 선행재고</t>
        </is>
      </c>
    </row>
    <row r="2">
      <c r="A2" s="2" t="inlineStr">
        <is>
          <t>생산 계획 = '27.1~4 확정 + Capa. 기준 월 (연간 Capa. − 대정비) ÷ 11. 연간 환산 비교는 실제 판매 가능량이 아님.</t>
        </is>
      </c>
    </row>
    <row r="3">
      <c r="A3" s="3" t="inlineStr">
        <is>
          <t xml:space="preserve">  </t>
        </is>
      </c>
      <c r="B3" s="4" t="inlineStr">
        <is>
          <t>입력 (제공·확정·계획)</t>
        </is>
      </c>
      <c r="C3" s="5" t="inlineStr">
        <is>
          <t xml:space="preserve">  </t>
        </is>
      </c>
      <c r="D3" s="4" t="inlineStr">
        <is>
          <t>미확인 입력란 (공란 유지)</t>
        </is>
      </c>
      <c r="E3" s="6" t="inlineStr">
        <is>
          <t xml:space="preserve">  </t>
        </is>
      </c>
      <c r="F3" s="4" t="inlineStr">
        <is>
          <t>추정·가정 입력</t>
        </is>
      </c>
      <c r="G3" s="7" t="inlineStr">
        <is>
          <t xml:space="preserve">  </t>
        </is>
      </c>
      <c r="H3" s="4" t="inlineStr">
        <is>
          <t>구두 언급 (미검증)</t>
        </is>
      </c>
      <c r="I3" s="8" t="inlineStr">
        <is>
          <t xml:space="preserve">  </t>
        </is>
      </c>
      <c r="J3" s="4" t="inlineStr">
        <is>
          <t>검토안 (미확정)</t>
        </is>
      </c>
      <c r="K3" s="9" t="inlineStr">
        <is>
          <t xml:space="preserve">  </t>
        </is>
      </c>
      <c r="L3" s="4" t="inlineStr">
        <is>
          <t>수식 / 시트 참조(초록)</t>
        </is>
      </c>
      <c r="M3" s="10" t="inlineStr">
        <is>
          <t xml:space="preserve">  </t>
        </is>
      </c>
      <c r="N3" s="4" t="inlineStr">
        <is>
          <t>핵심 결과</t>
        </is>
      </c>
    </row>
    <row r="5">
      <c r="A5" s="35" t="inlineStr">
        <is>
          <t>1. 기간 정의</t>
        </is>
      </c>
    </row>
    <row r="6" ht="30" customHeight="1">
      <c r="A6" s="11" t="inlineStr">
        <is>
          <t>구분</t>
        </is>
      </c>
      <c r="B6" s="11" t="inlineStr">
        <is>
          <t>시작</t>
        </is>
      </c>
      <c r="C6" s="11" t="inlineStr">
        <is>
          <t>종료</t>
        </is>
      </c>
      <c r="D6" s="11" t="inlineStr">
        <is>
          <t>정제기</t>
        </is>
      </c>
      <c r="E6" s="11" t="inlineStr">
        <is>
          <t>운전</t>
        </is>
      </c>
      <c r="F6" s="11" t="inlineStr">
        <is>
          <t>200 L 충진</t>
        </is>
      </c>
      <c r="G6" s="11" t="inlineStr">
        <is>
          <t>생산 조건</t>
        </is>
      </c>
      <c r="H6" s="11" t="inlineStr">
        <is>
          <t>상태</t>
        </is>
      </c>
    </row>
    <row r="7">
      <c r="A7" s="9" t="inlineStr">
        <is>
          <t>현재 (1대 · 확정 계획)</t>
        </is>
      </c>
      <c r="B7" s="24" t="n">
        <v>46023</v>
      </c>
      <c r="C7" s="24">
        <f>DATE(2027,'01_Inputs'!$B$69,1)-1</f>
        <v>46477.0</v>
      </c>
      <c r="D7" s="9" t="inlineStr">
        <is>
          <t>1대</t>
        </is>
      </c>
      <c r="E7" s="9" t="inlineStr">
        <is>
          <t>단일 설비 순차</t>
        </is>
      </c>
      <c r="F7" s="9" t="inlineStr">
        <is>
          <t>이지켐·한솔 수동 (~'27.6)</t>
        </is>
      </c>
      <c r="G7" s="9" t="inlineStr">
        <is>
          <t>'27.1~3 확정 2,178 / 2,178 / 3,168 kg</t>
        </is>
      </c>
      <c r="H7" s="9" t="inlineStr">
        <is>
          <t>확정</t>
        </is>
      </c>
    </row>
    <row r="8">
      <c r="A8" s="9" t="inlineStr">
        <is>
          <t>대정비 (매년 같은 월)</t>
        </is>
      </c>
      <c r="B8" s="24">
        <f>DATE(2027,'01_Inputs'!$B$69,1)</f>
        <v>46478.0</v>
      </c>
      <c r="C8" s="24">
        <f>EOMONTH(DATE(2027,'01_Inputs'!$B$69,1),0)</f>
        <v>46507.0</v>
      </c>
      <c r="D8" s="9" t="inlineStr">
        <is>
          <t>-</t>
        </is>
      </c>
      <c r="E8" s="9" t="inlineStr">
        <is>
          <t>대정비</t>
        </is>
      </c>
      <c r="F8" s="9" t="inlineStr">
        <is>
          <t>-</t>
        </is>
      </c>
      <c r="G8" s="9" t="str">
        <f>TEXT('01_Inputs'!$B$70,"#,##0")&amp;" kg/월 (확정) · Capa. 기준 차감"</f>
        <v>1,188 kg/월 (확정) · Capa. 기준 차감</v>
      </c>
      <c r="H8" s="9" t="inlineStr">
        <is>
          <t>확정</t>
        </is>
      </c>
    </row>
    <row r="9">
      <c r="A9" s="9" t="inlineStr">
        <is>
          <t>개선 적용 생산 (2대)</t>
        </is>
      </c>
      <c r="B9" s="24">
        <f>'01_Inputs'!$B$80</f>
        <v>46508.0</v>
      </c>
      <c r="C9" s="24" t="inlineStr"/>
      <c r="D9" s="9" t="inlineStr">
        <is>
          <t>2대</t>
        </is>
      </c>
      <c r="E9" s="9" t="inlineStr">
        <is>
          <t>시간차 병행</t>
        </is>
      </c>
      <c r="F9" s="9" t="inlineStr">
        <is>
          <t>이지켐·한솔 ARS ('27.7~)</t>
        </is>
      </c>
      <c r="G9" s="9" t="str">
        <f>TEXT('01_Inputs'!$B$71,"#,##0.0")&amp;" kg/월 = (47.2톤 − 대정비) ÷ 11"</f>
        <v>4,182.9 kg/월 = (47.2톤 − 대정비) ÷ 11</v>
      </c>
      <c r="H9" s="9" t="inlineStr">
        <is>
          <t>계획</t>
        </is>
      </c>
    </row>
    <row r="10">
      <c r="A10" s="9" t="inlineStr">
        <is>
          <t>최초 12개월</t>
        </is>
      </c>
      <c r="B10" s="24">
        <f>'01_Inputs'!$B$80</f>
        <v>46508.0</v>
      </c>
      <c r="C10" s="24">
        <f>'01_Inputs'!$B$81</f>
        <v>46873.0</v>
      </c>
      <c r="D10" s="9" t="inlineStr">
        <is>
          <t>2대</t>
        </is>
      </c>
      <c r="E10" s="9" t="inlineStr"/>
      <c r="F10" s="9" t="inlineStr"/>
      <c r="G10" s="9" t="inlineStr">
        <is>
          <t>47.2톤 = 대정비 1개월 + 11개월</t>
        </is>
      </c>
      <c r="H10" s="9" t="inlineStr">
        <is>
          <t>제공</t>
        </is>
      </c>
    </row>
    <row r="11">
      <c r="A11" s="9" t="inlineStr">
        <is>
          <t>2028 105℃ 50.2톤</t>
        </is>
      </c>
      <c r="B11" s="24">
        <f>IF(ISNUMBER('01_Inputs'!$B$76),'01_Inputs'!$B$76,"미정")</f>
        <v>46753.0</v>
      </c>
      <c r="C11" s="24" t="n">
        <v>47118</v>
      </c>
      <c r="D11" s="9" t="inlineStr">
        <is>
          <t>2대</t>
        </is>
      </c>
      <c r="E11" s="9" t="inlineStr">
        <is>
          <t>103→105℃</t>
        </is>
      </c>
      <c r="F11" s="9" t="inlineStr">
        <is>
          <t>ARS</t>
        </is>
      </c>
      <c r="G11" s="9" t="str">
        <f>TEXT('01_Inputs'!$B$72,"#,##0.0")&amp;" kg/월 · 4월 대정비 · 합계 50.2톤"</f>
        <v>4,455.6 kg/월 · 4월 대정비 · 합계 50.2톤</v>
      </c>
      <c r="H11" s="9" t="inlineStr">
        <is>
          <t>계획 (품질 검증)</t>
        </is>
      </c>
    </row>
    <row r="13">
      <c r="A13" s="35" t="inlineStr">
        <is>
          <t>2. Capa. 로드맵 (연간 · 월 기준)</t>
        </is>
      </c>
    </row>
    <row r="14" ht="30" customHeight="1">
      <c r="A14" s="11" t="inlineStr">
        <is>
          <t>구분</t>
        </is>
      </c>
      <c r="B14" s="11" t="inlineStr">
        <is>
          <t>연간 (t)</t>
        </is>
      </c>
      <c r="C14" s="11" t="inlineStr">
        <is>
          <t>증가분 (t)</t>
        </is>
      </c>
      <c r="D14" s="11" t="inlineStr">
        <is>
          <t>월 기준 (kg)</t>
        </is>
      </c>
      <c r="E14" s="11" t="inlineStr">
        <is>
          <t>월 Batch 상당</t>
        </is>
      </c>
      <c r="F14" s="11" t="inlineStr">
        <is>
          <t>설비별 등가 간격 (h)</t>
        </is>
      </c>
      <c r="G14" s="11" t="inlineStr">
        <is>
          <t>상태</t>
        </is>
      </c>
      <c r="H14" s="11" t="inlineStr">
        <is>
          <t>비고</t>
        </is>
      </c>
    </row>
    <row r="15">
      <c r="A15" s="9" t="inlineStr">
        <is>
          <t>현재 (1대·103℃)</t>
        </is>
      </c>
      <c r="B15" s="42">
        <f>'01_Inputs'!$B$63</f>
        <v>26.2</v>
      </c>
      <c r="C15" s="30" t="inlineStr"/>
      <c r="D15" s="36">
        <f>B15*1000/12</f>
        <v>2183.33333333333</v>
      </c>
      <c r="E15" s="30">
        <f>D15/'01_Inputs'!$B$49</f>
        <v>11.4912280701754</v>
      </c>
      <c r="F15" s="30">
        <f>'01_Inputs'!$B$7*'01_Inputs'!$B$12/12/E15</f>
        <v>63.5267175572519</v>
      </c>
      <c r="G15" s="9" t="inlineStr">
        <is>
          <t>기준값</t>
        </is>
      </c>
      <c r="H15" s="9" t="inlineStr">
        <is>
          <t>연간 ÷ 12</t>
        </is>
      </c>
    </row>
    <row r="16">
      <c r="A16" s="9" t="inlineStr">
        <is>
          <t>참고: 단순 2배</t>
        </is>
      </c>
      <c r="B16" s="42">
        <f>'01_Inputs'!$B$66</f>
        <v>52.4</v>
      </c>
      <c r="C16" s="30" t="inlineStr"/>
      <c r="D16" s="36">
        <f>B16*1000/12</f>
        <v>4366.66666666667</v>
      </c>
      <c r="E16" s="30">
        <f>D16/'01_Inputs'!$B$49</f>
        <v>22.9824561403509</v>
      </c>
      <c r="F16" s="30">
        <f>'01_Inputs'!$B$8*'01_Inputs'!$B$12/12/E16</f>
        <v>63.5267175572519</v>
      </c>
      <c r="G16" s="9" t="inlineStr">
        <is>
          <t>적용 안 함</t>
        </is>
      </c>
      <c r="H16" s="9" t="inlineStr">
        <is>
          <t>차이 5.2톤 확정 손실 아님</t>
        </is>
      </c>
    </row>
    <row r="17">
      <c r="A17" s="9" t="inlineStr">
        <is>
          <t>개선 후 (2대 · 대정비 반영)</t>
        </is>
      </c>
      <c r="B17" s="42">
        <f>'01_Inputs'!$B$65</f>
        <v>47.2</v>
      </c>
      <c r="C17" s="30">
        <f>'01_Inputs'!$B$64</f>
        <v>21</v>
      </c>
      <c r="D17" s="36">
        <f>(B17*1000-'01_Inputs'!$B$70)/11</f>
        <v>4182.90909090909</v>
      </c>
      <c r="E17" s="30">
        <f>D17/'01_Inputs'!$B$49</f>
        <v>22.0153110047847</v>
      </c>
      <c r="F17" s="30">
        <f>'01_Inputs'!$B$8*'01_Inputs'!$B$12/12/E17</f>
        <v>66.3174823958967</v>
      </c>
      <c r="G17" s="9" t="inlineStr">
        <is>
          <t>제공 (12개월)</t>
        </is>
      </c>
      <c r="H17" s="9" t="inlineStr">
        <is>
          <t>(연간 − 대정비) ÷ 11</t>
        </is>
      </c>
    </row>
    <row r="18">
      <c r="A18" s="9" t="inlineStr">
        <is>
          <t>105℃ 적용 (2028 기준)</t>
        </is>
      </c>
      <c r="B18" s="42">
        <f>'01_Inputs'!$B$68</f>
        <v>50.2</v>
      </c>
      <c r="C18" s="30">
        <f>'01_Inputs'!$B$67</f>
        <v>3</v>
      </c>
      <c r="D18" s="36">
        <f>(B18*1000-'01_Inputs'!$B$70)/11</f>
        <v>4455.63636363636</v>
      </c>
      <c r="E18" s="30">
        <f>D18/'01_Inputs'!$B$49</f>
        <v>23.4507177033493</v>
      </c>
      <c r="F18" s="30">
        <f>'01_Inputs'!$B$8*'01_Inputs'!$B$12/12/E18</f>
        <v>62.2582224761283</v>
      </c>
      <c r="G18" s="9" t="inlineStr">
        <is>
          <t>계획 (품질 검증)</t>
        </is>
      </c>
      <c r="H18" s="9" t="inlineStr">
        <is>
          <t>(연간 − 대정비) ÷ 11</t>
        </is>
      </c>
    </row>
    <row r="19">
      <c r="A19" s="9" t="inlineStr">
        <is>
          <t>목표 (2028년 이후)</t>
        </is>
      </c>
      <c r="B19" s="42">
        <f>'01_Inputs'!$B$73</f>
        <v>50</v>
      </c>
      <c r="C19" s="30" t="inlineStr"/>
      <c r="D19" s="36">
        <f>(B19*1000-'01_Inputs'!$B$70)/11</f>
        <v>4437.45454545455</v>
      </c>
      <c r="E19" s="30">
        <f>D19/'01_Inputs'!$B$49</f>
        <v>23.355023923445</v>
      </c>
      <c r="F19" s="30">
        <f>'01_Inputs'!$B$8*'01_Inputs'!$B$12/12/E19</f>
        <v>62.5133163976072</v>
      </c>
      <c r="G19" s="9" t="inlineStr">
        <is>
          <t>목표</t>
        </is>
      </c>
      <c r="H19" s="9" t="inlineStr">
        <is>
          <t>50톤 수준</t>
        </is>
      </c>
    </row>
    <row r="21">
      <c r="A21" s="35" t="inlineStr">
        <is>
          <t>3. 연도별 출하 vs 생산 계획 · Capa. (t)</t>
        </is>
      </c>
    </row>
    <row r="22" ht="30" customHeight="1">
      <c r="A22" s="11" t="inlineStr">
        <is>
          <t>비교</t>
        </is>
      </c>
      <c r="B22" s="11" t="inlineStr">
        <is>
          <t>출하 (t)</t>
        </is>
      </c>
      <c r="C22" s="11" t="inlineStr">
        <is>
          <t>생산 계획 / Capa. (t)</t>
        </is>
      </c>
      <c r="D22" s="11" t="inlineStr">
        <is>
          <t>차이 (t)</t>
        </is>
      </c>
      <c r="E22" s="11" t="inlineStr">
        <is>
          <t>방향</t>
        </is>
      </c>
      <c r="F22" s="11" t="inlineStr"/>
      <c r="G22" s="11" t="inlineStr"/>
      <c r="H22" s="11" t="inlineStr">
        <is>
          <t>설명</t>
        </is>
      </c>
    </row>
    <row r="23">
      <c r="A23" s="9" t="inlineStr">
        <is>
          <t>2026 제시분 vs 현재 26.2</t>
        </is>
      </c>
      <c r="B23" s="28">
        <f>'01_Inputs'!$O$126/1000</f>
        <v>19.22</v>
      </c>
      <c r="C23" s="28">
        <f>'01_Inputs'!$B$63</f>
        <v>26.2</v>
      </c>
      <c r="D23" s="42">
        <f>C23-B23</f>
        <v>6.98</v>
      </c>
      <c r="E23" s="9" t="str">
        <f>IF(D23&lt;0,"부족 방향","여유 방향")</f>
        <v>여유 방향</v>
      </c>
      <c r="F23" s="20" t="inlineStr"/>
      <c r="G23" s="20" t="inlineStr"/>
      <c r="H23" s="9" t="inlineStr">
        <is>
          <t>CXMT·한솔 미포함</t>
        </is>
      </c>
    </row>
    <row r="24">
      <c r="A24" s="9" t="inlineStr">
        <is>
          <t>2027 출하 vs 현재 26.2</t>
        </is>
      </c>
      <c r="B24" s="28">
        <f>'01_Inputs'!$O$127/1000</f>
        <v>43.4</v>
      </c>
      <c r="C24" s="28">
        <f>'01_Inputs'!$B$63</f>
        <v>26.2</v>
      </c>
      <c r="D24" s="42">
        <f>C24-B24</f>
        <v>-17.2</v>
      </c>
      <c r="E24" s="9" t="str">
        <f>IF(D24&lt;0,"부족 방향","여유 방향")</f>
        <v>부족 방향</v>
      </c>
      <c r="F24" s="20" t="inlineStr"/>
      <c r="G24" s="20" t="inlineStr"/>
      <c r="H24" s="9" t="inlineStr">
        <is>
          <t>17.2톤 초과</t>
        </is>
      </c>
    </row>
    <row r="25">
      <c r="A25" s="9" t="inlineStr">
        <is>
          <t>2027 출하 vs 2027 생산 계획 (1~4월 확정 + 5~12월 Capa. 기준)</t>
        </is>
      </c>
      <c r="B25" s="28">
        <f>'01_Inputs'!$O$127/1000</f>
        <v>43.4</v>
      </c>
      <c r="C25" s="28">
        <f>SUM('04_Monthly_2026_2028'!R18:R29)/1000</f>
        <v>42.1752727272727</v>
      </c>
      <c r="D25" s="42">
        <f>C25-B25</f>
        <v>-1.22472727272727</v>
      </c>
      <c r="E25" s="9" t="str">
        <f>IF(D25&lt;0,"부족 방향","여유 방향")</f>
        <v>부족 방향</v>
      </c>
      <c r="F25" s="20" t="inlineStr"/>
      <c r="G25" s="20" t="inlineStr"/>
      <c r="H25" s="9" t="inlineStr">
        <is>
          <t>대정비·확정 계획 반영</t>
        </is>
      </c>
    </row>
    <row r="26">
      <c r="A26" s="9" t="inlineStr">
        <is>
          <t>2027 상반기 출하 vs 1~6월 생산 계획</t>
        </is>
      </c>
      <c r="B26" s="28">
        <f>SUM('01_Inputs'!C127:H127)/1000</f>
        <v>18.84</v>
      </c>
      <c r="C26" s="28">
        <f>SUM('04_Monthly_2026_2028'!R18:R23)/1000</f>
        <v>17.0778181818182</v>
      </c>
      <c r="D26" s="42">
        <f>C26-B26</f>
        <v>-1.76218181818181</v>
      </c>
      <c r="E26" s="9" t="str">
        <f>IF(D26&lt;0,"부족 방향","여유 방향")</f>
        <v>부족 방향</v>
      </c>
      <c r="F26" s="20" t="inlineStr"/>
      <c r="G26" s="20" t="inlineStr"/>
      <c r="H26" s="9" t="inlineStr">
        <is>
          <t>1~4월 확정 + 5~6월 Capa. 기준</t>
        </is>
      </c>
    </row>
    <row r="27">
      <c r="A27" s="9" t="inlineStr">
        <is>
          <t>2027 하반기 출하 vs 7~12월 생산 계획</t>
        </is>
      </c>
      <c r="B27" s="28">
        <f>SUM('01_Inputs'!I127:N127)/1000</f>
        <v>24.56</v>
      </c>
      <c r="C27" s="28">
        <f>SUM('04_Monthly_2026_2028'!R24:R29)/1000</f>
        <v>25.0974545454545</v>
      </c>
      <c r="D27" s="42">
        <f>C27-B27</f>
        <v>0.537454545454551</v>
      </c>
      <c r="E27" s="9" t="str">
        <f>IF(D27&lt;0,"부족 방향","여유 방향")</f>
        <v>여유 방향</v>
      </c>
      <c r="F27" s="20" t="inlineStr"/>
      <c r="G27" s="20" t="inlineStr"/>
      <c r="H27" s="9" t="inlineStr">
        <is>
          <t>4,182.9 kg × 6</t>
        </is>
      </c>
    </row>
    <row r="28">
      <c r="A28" s="9" t="inlineStr">
        <is>
          <t>참고: 2027 출하 vs 47.2 (연간 환산)</t>
        </is>
      </c>
      <c r="B28" s="28">
        <f>'01_Inputs'!$O$127/1000</f>
        <v>43.4</v>
      </c>
      <c r="C28" s="28">
        <f>'01_Inputs'!$B$65</f>
        <v>47.2</v>
      </c>
      <c r="D28" s="42">
        <f>C28-B28</f>
        <v>3.8</v>
      </c>
      <c r="E28" s="9" t="str">
        <f>IF(D28&lt;0,"부족 방향","여유 방향")</f>
        <v>여유 방향</v>
      </c>
      <c r="F28" s="20" t="inlineStr"/>
      <c r="G28" s="20" t="inlineStr"/>
      <c r="H28" s="9" t="inlineStr">
        <is>
          <t>연간 환산 — 2027 실제 아님</t>
        </is>
      </c>
    </row>
    <row r="29">
      <c r="A29" s="9" t="inlineStr">
        <is>
          <t>2028 출하 가정 vs 2028 생산 계획 (105℃ 50.2톤)</t>
        </is>
      </c>
      <c r="B29" s="28">
        <f>'01_Inputs'!$O$128/1000</f>
        <v>45.76</v>
      </c>
      <c r="C29" s="28">
        <f>SUM('04_Monthly_2026_2028'!R30:R41)/1000</f>
        <v>50.2</v>
      </c>
      <c r="D29" s="42">
        <f>C29-B29</f>
        <v>4.44000000000001</v>
      </c>
      <c r="E29" s="9" t="str">
        <f>IF(D29&lt;0,"부족 방향","여유 방향")</f>
        <v>여유 방향</v>
      </c>
      <c r="F29" s="20" t="inlineStr"/>
      <c r="G29" s="20" t="inlineStr"/>
      <c r="H29" s="9" t="inlineStr">
        <is>
          <t>4월 대정비 + 11개월 4,455.6 kg</t>
        </is>
      </c>
    </row>
    <row r="30">
      <c r="A30" s="9" t="inlineStr">
        <is>
          <t>참고: 2028 출하 가정 vs 47.2 (105℃ 미적용 시)</t>
        </is>
      </c>
      <c r="B30" s="28">
        <f>'01_Inputs'!$O$128/1000</f>
        <v>45.76</v>
      </c>
      <c r="C30" s="28">
        <f>'01_Inputs'!$B$65</f>
        <v>47.2</v>
      </c>
      <c r="D30" s="42">
        <f>C30-B30</f>
        <v>1.44</v>
      </c>
      <c r="E30" s="9" t="str">
        <f>IF(D30&lt;0,"부족 방향","여유 방향")</f>
        <v>여유 방향</v>
      </c>
      <c r="F30" s="20" t="inlineStr"/>
      <c r="G30" s="20" t="inlineStr"/>
      <c r="H30" s="9" t="inlineStr">
        <is>
          <t>4월 대정비 + 11개월 4,182.9 kg</t>
        </is>
      </c>
    </row>
    <row r="32">
      <c r="A32" s="35" t="inlineStr">
        <is>
          <t>4. 2027~2028 월별 생산 계획 · 출하 · 누적 (04 시트 연동)</t>
        </is>
      </c>
    </row>
    <row r="33" ht="30" customHeight="1">
      <c r="A33" s="11" t="inlineStr">
        <is>
          <t>구분</t>
        </is>
      </c>
      <c r="B33" s="11" t="inlineStr">
        <is>
          <t>27.1</t>
        </is>
      </c>
      <c r="C33" s="11" t="inlineStr">
        <is>
          <t>27.2</t>
        </is>
      </c>
      <c r="D33" s="11" t="inlineStr">
        <is>
          <t>27.3</t>
        </is>
      </c>
      <c r="E33" s="11" t="inlineStr">
        <is>
          <t>27.4</t>
        </is>
      </c>
      <c r="F33" s="11" t="inlineStr">
        <is>
          <t>27.5</t>
        </is>
      </c>
      <c r="G33" s="11" t="inlineStr">
        <is>
          <t>27.6</t>
        </is>
      </c>
      <c r="H33" s="11" t="inlineStr">
        <is>
          <t>27.7</t>
        </is>
      </c>
      <c r="I33" s="11" t="inlineStr">
        <is>
          <t>27.8</t>
        </is>
      </c>
      <c r="J33" s="11" t="inlineStr">
        <is>
          <t>27.9</t>
        </is>
      </c>
      <c r="K33" s="11" t="inlineStr">
        <is>
          <t>27.10</t>
        </is>
      </c>
      <c r="L33" s="11" t="inlineStr">
        <is>
          <t>27.11</t>
        </is>
      </c>
      <c r="M33" s="11" t="inlineStr">
        <is>
          <t>27.12</t>
        </is>
      </c>
      <c r="N33" s="11" t="inlineStr">
        <is>
          <t>28.1</t>
        </is>
      </c>
      <c r="O33" s="11" t="inlineStr">
        <is>
          <t>28.2</t>
        </is>
      </c>
      <c r="P33" s="11" t="inlineStr">
        <is>
          <t>28.3</t>
        </is>
      </c>
      <c r="Q33" s="11" t="inlineStr">
        <is>
          <t>28.4</t>
        </is>
      </c>
      <c r="R33" s="11" t="inlineStr">
        <is>
          <t>28.5</t>
        </is>
      </c>
      <c r="S33" s="11" t="inlineStr">
        <is>
          <t>28.6</t>
        </is>
      </c>
      <c r="T33" s="11" t="inlineStr">
        <is>
          <t>28.7</t>
        </is>
      </c>
      <c r="U33" s="11" t="inlineStr">
        <is>
          <t>28.8</t>
        </is>
      </c>
      <c r="V33" s="11" t="inlineStr">
        <is>
          <t>28.9</t>
        </is>
      </c>
      <c r="W33" s="11" t="inlineStr">
        <is>
          <t>28.10</t>
        </is>
      </c>
      <c r="X33" s="11" t="inlineStr">
        <is>
          <t>28.11</t>
        </is>
      </c>
      <c r="Y33" s="11" t="inlineStr">
        <is>
          <t>28.12</t>
        </is>
      </c>
      <c r="Z33" s="11" t="inlineStr">
        <is>
          <t>비고</t>
        </is>
      </c>
    </row>
    <row r="34">
      <c r="A34" s="37" t="inlineStr">
        <is>
          <t>운전 조건</t>
        </is>
      </c>
      <c r="B34" s="20" t="str">
        <f>'04_Monthly_2026_2028'!D18</f>
        <v>현재 (1대)</v>
      </c>
      <c r="C34" s="20" t="str">
        <f>'04_Monthly_2026_2028'!D19</f>
        <v>현재 (1대)</v>
      </c>
      <c r="D34" s="20" t="str">
        <f>'04_Monthly_2026_2028'!D20</f>
        <v>현재 (1대)</v>
      </c>
      <c r="E34" s="20" t="str">
        <f>'04_Monthly_2026_2028'!D21</f>
        <v>대정비</v>
      </c>
      <c r="F34" s="20" t="str">
        <f>'04_Monthly_2026_2028'!D22</f>
        <v>개선 (2대)</v>
      </c>
      <c r="G34" s="20" t="str">
        <f>'04_Monthly_2026_2028'!D23</f>
        <v>개선 (2대)</v>
      </c>
      <c r="H34" s="20" t="str">
        <f>'04_Monthly_2026_2028'!D24</f>
        <v>개선 (2대)</v>
      </c>
      <c r="I34" s="20" t="str">
        <f>'04_Monthly_2026_2028'!D25</f>
        <v>개선 (2대)</v>
      </c>
      <c r="J34" s="20" t="str">
        <f>'04_Monthly_2026_2028'!D26</f>
        <v>개선 (2대)</v>
      </c>
      <c r="K34" s="20" t="str">
        <f>'04_Monthly_2026_2028'!D27</f>
        <v>개선 (2대)</v>
      </c>
      <c r="L34" s="20" t="str">
        <f>'04_Monthly_2026_2028'!D28</f>
        <v>개선 (2대)</v>
      </c>
      <c r="M34" s="20" t="str">
        <f>'04_Monthly_2026_2028'!D29</f>
        <v>개선 (2대)</v>
      </c>
      <c r="N34" s="20" t="str">
        <f>'04_Monthly_2026_2028'!D30</f>
        <v>개선 (2대·105℃)</v>
      </c>
      <c r="O34" s="20" t="str">
        <f>'04_Monthly_2026_2028'!D31</f>
        <v>개선 (2대·105℃)</v>
      </c>
      <c r="P34" s="20" t="str">
        <f>'04_Monthly_2026_2028'!D32</f>
        <v>개선 (2대·105℃)</v>
      </c>
      <c r="Q34" s="20" t="str">
        <f>'04_Monthly_2026_2028'!D33</f>
        <v>대정비</v>
      </c>
      <c r="R34" s="20" t="str">
        <f>'04_Monthly_2026_2028'!D34</f>
        <v>개선 (2대·105℃)</v>
      </c>
      <c r="S34" s="20" t="str">
        <f>'04_Monthly_2026_2028'!D35</f>
        <v>개선 (2대·105℃)</v>
      </c>
      <c r="T34" s="20" t="str">
        <f>'04_Monthly_2026_2028'!D36</f>
        <v>개선 (2대·105℃)</v>
      </c>
      <c r="U34" s="20" t="str">
        <f>'04_Monthly_2026_2028'!D37</f>
        <v>개선 (2대·105℃)</v>
      </c>
      <c r="V34" s="20" t="str">
        <f>'04_Monthly_2026_2028'!D38</f>
        <v>개선 (2대·105℃)</v>
      </c>
      <c r="W34" s="20" t="str">
        <f>'04_Monthly_2026_2028'!D39</f>
        <v>개선 (2대·105℃)</v>
      </c>
      <c r="X34" s="20" t="str">
        <f>'04_Monthly_2026_2028'!D40</f>
        <v>개선 (2대·105℃)</v>
      </c>
      <c r="Y34" s="20" t="str">
        <f>'04_Monthly_2026_2028'!D41</f>
        <v>개선 (2대·105℃)</v>
      </c>
    </row>
    <row r="35">
      <c r="A35" s="37" t="inlineStr">
        <is>
          <t>계획 기준</t>
        </is>
      </c>
      <c r="B35" s="20" t="str">
        <f>'04_Monthly_2026_2028'!P18</f>
        <v>확정 계획</v>
      </c>
      <c r="C35" s="20" t="str">
        <f>'04_Monthly_2026_2028'!P19</f>
        <v>확정 계획</v>
      </c>
      <c r="D35" s="20" t="str">
        <f>'04_Monthly_2026_2028'!P20</f>
        <v>확정 계획</v>
      </c>
      <c r="E35" s="20" t="str">
        <f>'04_Monthly_2026_2028'!P21</f>
        <v>확정 계획</v>
      </c>
      <c r="F35" s="20" t="str">
        <f>'04_Monthly_2026_2028'!P22</f>
        <v>Capa. 기준 계획</v>
      </c>
      <c r="G35" s="20" t="str">
        <f>'04_Monthly_2026_2028'!P23</f>
        <v>Capa. 기준 계획</v>
      </c>
      <c r="H35" s="20" t="str">
        <f>'04_Monthly_2026_2028'!P24</f>
        <v>Capa. 기준 계획</v>
      </c>
      <c r="I35" s="20" t="str">
        <f>'04_Monthly_2026_2028'!P25</f>
        <v>Capa. 기준 계획</v>
      </c>
      <c r="J35" s="20" t="str">
        <f>'04_Monthly_2026_2028'!P26</f>
        <v>Capa. 기준 계획</v>
      </c>
      <c r="K35" s="20" t="str">
        <f>'04_Monthly_2026_2028'!P27</f>
        <v>Capa. 기준 계획</v>
      </c>
      <c r="L35" s="20" t="str">
        <f>'04_Monthly_2026_2028'!P28</f>
        <v>Capa. 기준 계획</v>
      </c>
      <c r="M35" s="20" t="str">
        <f>'04_Monthly_2026_2028'!P29</f>
        <v>Capa. 기준 계획</v>
      </c>
      <c r="N35" s="20" t="str">
        <f>'04_Monthly_2026_2028'!P30</f>
        <v>Capa. 기준 계획</v>
      </c>
      <c r="O35" s="20" t="str">
        <f>'04_Monthly_2026_2028'!P31</f>
        <v>Capa. 기준 계획</v>
      </c>
      <c r="P35" s="20" t="str">
        <f>'04_Monthly_2026_2028'!P32</f>
        <v>Capa. 기준 계획</v>
      </c>
      <c r="Q35" s="20" t="str">
        <f>'04_Monthly_2026_2028'!P33</f>
        <v>Capa. 기준 계획</v>
      </c>
      <c r="R35" s="20" t="str">
        <f>'04_Monthly_2026_2028'!P34</f>
        <v>Capa. 기준 계획</v>
      </c>
      <c r="S35" s="20" t="str">
        <f>'04_Monthly_2026_2028'!P35</f>
        <v>Capa. 기준 계획</v>
      </c>
      <c r="T35" s="20" t="str">
        <f>'04_Monthly_2026_2028'!P36</f>
        <v>Capa. 기준 계획</v>
      </c>
      <c r="U35" s="20" t="str">
        <f>'04_Monthly_2026_2028'!P37</f>
        <v>Capa. 기준 계획</v>
      </c>
      <c r="V35" s="20" t="str">
        <f>'04_Monthly_2026_2028'!P38</f>
        <v>Capa. 기준 계획</v>
      </c>
      <c r="W35" s="20" t="str">
        <f>'04_Monthly_2026_2028'!P39</f>
        <v>Capa. 기준 계획</v>
      </c>
      <c r="X35" s="20" t="str">
        <f>'04_Monthly_2026_2028'!P40</f>
        <v>Capa. 기준 계획</v>
      </c>
      <c r="Y35" s="20" t="str">
        <f>'04_Monthly_2026_2028'!P41</f>
        <v>Capa. 기준 계획</v>
      </c>
    </row>
    <row r="36">
      <c r="A36" s="37" t="inlineStr">
        <is>
          <t>Batch 환산</t>
        </is>
      </c>
      <c r="B36" s="59">
        <f>'04_Monthly_2026_2028'!O18</f>
        <v>11.4631578947368</v>
      </c>
      <c r="C36" s="59">
        <f>'04_Monthly_2026_2028'!O19</f>
        <v>11.4631578947368</v>
      </c>
      <c r="D36" s="59">
        <f>'04_Monthly_2026_2028'!O20</f>
        <v>16.6736842105263</v>
      </c>
      <c r="E36" s="59">
        <f>'04_Monthly_2026_2028'!O21</f>
        <v>6.25263157894737</v>
      </c>
      <c r="F36" s="59">
        <f>'04_Monthly_2026_2028'!O22</f>
        <v>22.0153110047847</v>
      </c>
      <c r="G36" s="59">
        <f>'04_Monthly_2026_2028'!O23</f>
        <v>22.0153110047847</v>
      </c>
      <c r="H36" s="59">
        <f>'04_Monthly_2026_2028'!O24</f>
        <v>22.0153110047847</v>
      </c>
      <c r="I36" s="59">
        <f>'04_Monthly_2026_2028'!O25</f>
        <v>22.0153110047847</v>
      </c>
      <c r="J36" s="59">
        <f>'04_Monthly_2026_2028'!O26</f>
        <v>22.0153110047847</v>
      </c>
      <c r="K36" s="59">
        <f>'04_Monthly_2026_2028'!O27</f>
        <v>22.0153110047847</v>
      </c>
      <c r="L36" s="59">
        <f>'04_Monthly_2026_2028'!O28</f>
        <v>22.0153110047847</v>
      </c>
      <c r="M36" s="59">
        <f>'04_Monthly_2026_2028'!O29</f>
        <v>22.0153110047847</v>
      </c>
      <c r="N36" s="59">
        <f>'04_Monthly_2026_2028'!O30</f>
        <v>23.4507177033493</v>
      </c>
      <c r="O36" s="59">
        <f>'04_Monthly_2026_2028'!O31</f>
        <v>23.4507177033493</v>
      </c>
      <c r="P36" s="59">
        <f>'04_Monthly_2026_2028'!O32</f>
        <v>23.4507177033493</v>
      </c>
      <c r="Q36" s="59">
        <f>'04_Monthly_2026_2028'!O33</f>
        <v>6.25263157894737</v>
      </c>
      <c r="R36" s="59">
        <f>'04_Monthly_2026_2028'!O34</f>
        <v>23.4507177033493</v>
      </c>
      <c r="S36" s="59">
        <f>'04_Monthly_2026_2028'!O35</f>
        <v>23.4507177033493</v>
      </c>
      <c r="T36" s="59">
        <f>'04_Monthly_2026_2028'!O36</f>
        <v>23.4507177033493</v>
      </c>
      <c r="U36" s="59">
        <f>'04_Monthly_2026_2028'!O37</f>
        <v>23.4507177033493</v>
      </c>
      <c r="V36" s="59">
        <f>'04_Monthly_2026_2028'!O38</f>
        <v>23.4507177033493</v>
      </c>
      <c r="W36" s="59">
        <f>'04_Monthly_2026_2028'!O39</f>
        <v>23.4507177033493</v>
      </c>
      <c r="X36" s="59">
        <f>'04_Monthly_2026_2028'!O40</f>
        <v>23.4507177033493</v>
      </c>
      <c r="Y36" s="59">
        <f>'04_Monthly_2026_2028'!O41</f>
        <v>23.4507177033493</v>
      </c>
    </row>
    <row r="37">
      <c r="A37" s="37" t="inlineStr">
        <is>
          <t>생산 계획 (양품, kg)</t>
        </is>
      </c>
      <c r="B37" s="22">
        <f>'04_Monthly_2026_2028'!S18</f>
        <v>2178</v>
      </c>
      <c r="C37" s="22">
        <f>'04_Monthly_2026_2028'!S19</f>
        <v>2178</v>
      </c>
      <c r="D37" s="22">
        <f>'04_Monthly_2026_2028'!S20</f>
        <v>3168</v>
      </c>
      <c r="E37" s="22">
        <f>'04_Monthly_2026_2028'!S21</f>
        <v>1188</v>
      </c>
      <c r="F37" s="22">
        <f>'04_Monthly_2026_2028'!S22</f>
        <v>4182.90909090909</v>
      </c>
      <c r="G37" s="22">
        <f>'04_Monthly_2026_2028'!S23</f>
        <v>4182.90909090909</v>
      </c>
      <c r="H37" s="22">
        <f>'04_Monthly_2026_2028'!S24</f>
        <v>4182.90909090909</v>
      </c>
      <c r="I37" s="22">
        <f>'04_Monthly_2026_2028'!S25</f>
        <v>4182.90909090909</v>
      </c>
      <c r="J37" s="22">
        <f>'04_Monthly_2026_2028'!S26</f>
        <v>4182.90909090909</v>
      </c>
      <c r="K37" s="22">
        <f>'04_Monthly_2026_2028'!S27</f>
        <v>4182.90909090909</v>
      </c>
      <c r="L37" s="22">
        <f>'04_Monthly_2026_2028'!S28</f>
        <v>4182.90909090909</v>
      </c>
      <c r="M37" s="22">
        <f>'04_Monthly_2026_2028'!S29</f>
        <v>4182.90909090909</v>
      </c>
      <c r="N37" s="22">
        <f>'04_Monthly_2026_2028'!S30</f>
        <v>4455.63636363636</v>
      </c>
      <c r="O37" s="22">
        <f>'04_Monthly_2026_2028'!S31</f>
        <v>4455.63636363636</v>
      </c>
      <c r="P37" s="22">
        <f>'04_Monthly_2026_2028'!S32</f>
        <v>4455.63636363636</v>
      </c>
      <c r="Q37" s="22">
        <f>'04_Monthly_2026_2028'!S33</f>
        <v>1188</v>
      </c>
      <c r="R37" s="22">
        <f>'04_Monthly_2026_2028'!S34</f>
        <v>4455.63636363636</v>
      </c>
      <c r="S37" s="22">
        <f>'04_Monthly_2026_2028'!S35</f>
        <v>4455.63636363636</v>
      </c>
      <c r="T37" s="22">
        <f>'04_Monthly_2026_2028'!S36</f>
        <v>4455.63636363636</v>
      </c>
      <c r="U37" s="22">
        <f>'04_Monthly_2026_2028'!S37</f>
        <v>4455.63636363636</v>
      </c>
      <c r="V37" s="22">
        <f>'04_Monthly_2026_2028'!S38</f>
        <v>4455.63636363636</v>
      </c>
      <c r="W37" s="22">
        <f>'04_Monthly_2026_2028'!S39</f>
        <v>4455.63636363636</v>
      </c>
      <c r="X37" s="22">
        <f>'04_Monthly_2026_2028'!S40</f>
        <v>4455.63636363636</v>
      </c>
      <c r="Y37" s="22">
        <f>'04_Monthly_2026_2028'!S41</f>
        <v>4455.63636363636</v>
      </c>
    </row>
    <row r="38">
      <c r="A38" s="37" t="inlineStr">
        <is>
          <t>출하 (kg)</t>
        </is>
      </c>
      <c r="B38" s="22">
        <f>'04_Monthly_2026_2028'!Y18</f>
        <v>2753.33333333333</v>
      </c>
      <c r="C38" s="22">
        <f>'04_Monthly_2026_2028'!Y19</f>
        <v>2753.33333333333</v>
      </c>
      <c r="D38" s="22">
        <f>'04_Monthly_2026_2028'!Y20</f>
        <v>3333.33333333333</v>
      </c>
      <c r="E38" s="22">
        <f>'04_Monthly_2026_2028'!Y21</f>
        <v>3333.33333333333</v>
      </c>
      <c r="F38" s="22">
        <f>'04_Monthly_2026_2028'!Y22</f>
        <v>3333.33333333333</v>
      </c>
      <c r="G38" s="22">
        <f>'04_Monthly_2026_2028'!Y23</f>
        <v>3333.33333333333</v>
      </c>
      <c r="H38" s="22">
        <f>'04_Monthly_2026_2028'!Y24</f>
        <v>4093.33333333333</v>
      </c>
      <c r="I38" s="22">
        <f>'04_Monthly_2026_2028'!Y25</f>
        <v>4093.33333333333</v>
      </c>
      <c r="J38" s="22">
        <f>'04_Monthly_2026_2028'!Y26</f>
        <v>4093.33333333333</v>
      </c>
      <c r="K38" s="22">
        <f>'04_Monthly_2026_2028'!Y27</f>
        <v>4093.33333333333</v>
      </c>
      <c r="L38" s="22">
        <f>'04_Monthly_2026_2028'!Y28</f>
        <v>4093.33333333333</v>
      </c>
      <c r="M38" s="22">
        <f>'04_Monthly_2026_2028'!Y29</f>
        <v>4093.33333333333</v>
      </c>
      <c r="N38" s="22">
        <f>'04_Monthly_2026_2028'!Y30</f>
        <v>3813.33333333333</v>
      </c>
      <c r="O38" s="22">
        <f>'04_Monthly_2026_2028'!Y31</f>
        <v>3813.33333333333</v>
      </c>
      <c r="P38" s="22">
        <f>'04_Monthly_2026_2028'!Y32</f>
        <v>3813.33333333333</v>
      </c>
      <c r="Q38" s="22">
        <f>'04_Monthly_2026_2028'!Y33</f>
        <v>3813.33333333333</v>
      </c>
      <c r="R38" s="22">
        <f>'04_Monthly_2026_2028'!Y34</f>
        <v>3813.33333333333</v>
      </c>
      <c r="S38" s="22">
        <f>'04_Monthly_2026_2028'!Y35</f>
        <v>3813.33333333333</v>
      </c>
      <c r="T38" s="22">
        <f>'04_Monthly_2026_2028'!Y36</f>
        <v>3813.33333333333</v>
      </c>
      <c r="U38" s="22">
        <f>'04_Monthly_2026_2028'!Y37</f>
        <v>3813.33333333333</v>
      </c>
      <c r="V38" s="22">
        <f>'04_Monthly_2026_2028'!Y38</f>
        <v>3813.33333333333</v>
      </c>
      <c r="W38" s="22">
        <f>'04_Monthly_2026_2028'!Y39</f>
        <v>3813.33333333333</v>
      </c>
      <c r="X38" s="22">
        <f>'04_Monthly_2026_2028'!Y40</f>
        <v>3813.33333333333</v>
      </c>
      <c r="Y38" s="22">
        <f>'04_Monthly_2026_2028'!Y41</f>
        <v>3813.33333333333</v>
      </c>
    </row>
    <row r="39">
      <c r="A39" s="37" t="inlineStr">
        <is>
          <t>생산 − 출하 (kg)</t>
        </is>
      </c>
      <c r="B39" s="22">
        <f>'04_Monthly_2026_2028'!AP18</f>
        <v>-575.333333333333</v>
      </c>
      <c r="C39" s="22">
        <f>'04_Monthly_2026_2028'!AP19</f>
        <v>-575.333333333333</v>
      </c>
      <c r="D39" s="22">
        <f>'04_Monthly_2026_2028'!AP20</f>
        <v>-165.333333333333</v>
      </c>
      <c r="E39" s="22">
        <f>'04_Monthly_2026_2028'!AP21</f>
        <v>-2145.33333333333</v>
      </c>
      <c r="F39" s="22">
        <f>'04_Monthly_2026_2028'!AP22</f>
        <v>849.575757575758</v>
      </c>
      <c r="G39" s="22">
        <f>'04_Monthly_2026_2028'!AP23</f>
        <v>849.575757575758</v>
      </c>
      <c r="H39" s="22">
        <f>'04_Monthly_2026_2028'!AP24</f>
        <v>89.575757575758</v>
      </c>
      <c r="I39" s="22">
        <f>'04_Monthly_2026_2028'!AP25</f>
        <v>89.575757575758</v>
      </c>
      <c r="J39" s="22">
        <f>'04_Monthly_2026_2028'!AP26</f>
        <v>89.575757575758</v>
      </c>
      <c r="K39" s="22">
        <f>'04_Monthly_2026_2028'!AP27</f>
        <v>89.575757575758</v>
      </c>
      <c r="L39" s="22">
        <f>'04_Monthly_2026_2028'!AP28</f>
        <v>89.575757575758</v>
      </c>
      <c r="M39" s="22">
        <f>'04_Monthly_2026_2028'!AP29</f>
        <v>89.575757575758</v>
      </c>
      <c r="N39" s="22">
        <f>'04_Monthly_2026_2028'!AP30</f>
        <v>642.303030303031</v>
      </c>
      <c r="O39" s="22">
        <f>'04_Monthly_2026_2028'!AP31</f>
        <v>642.303030303031</v>
      </c>
      <c r="P39" s="22">
        <f>'04_Monthly_2026_2028'!AP32</f>
        <v>642.303030303031</v>
      </c>
      <c r="Q39" s="22">
        <f>'04_Monthly_2026_2028'!AP33</f>
        <v>-2625.33333333333</v>
      </c>
      <c r="R39" s="22">
        <f>'04_Monthly_2026_2028'!AP34</f>
        <v>642.303030303031</v>
      </c>
      <c r="S39" s="22">
        <f>'04_Monthly_2026_2028'!AP35</f>
        <v>642.303030303031</v>
      </c>
      <c r="T39" s="22">
        <f>'04_Monthly_2026_2028'!AP36</f>
        <v>642.303030303031</v>
      </c>
      <c r="U39" s="22">
        <f>'04_Monthly_2026_2028'!AP37</f>
        <v>642.303030303031</v>
      </c>
      <c r="V39" s="22">
        <f>'04_Monthly_2026_2028'!AP38</f>
        <v>642.303030303031</v>
      </c>
      <c r="W39" s="22">
        <f>'04_Monthly_2026_2028'!AP39</f>
        <v>642.303030303031</v>
      </c>
      <c r="X39" s="22">
        <f>'04_Monthly_2026_2028'!AP40</f>
        <v>642.303030303031</v>
      </c>
      <c r="Y39" s="22">
        <f>'04_Monthly_2026_2028'!AP41</f>
        <v>642.303030303031</v>
      </c>
    </row>
    <row r="40">
      <c r="A40" s="37" t="inlineStr">
        <is>
          <t>누적 ('27.1~, kg)</t>
        </is>
      </c>
      <c r="B40" s="22">
        <f>'04_Monthly_2026_2028'!AQ18</f>
        <v>-575.333333333333</v>
      </c>
      <c r="C40" s="22">
        <f>'04_Monthly_2026_2028'!AQ19</f>
        <v>-1150.66666666667</v>
      </c>
      <c r="D40" s="22">
        <f>'04_Monthly_2026_2028'!AQ20</f>
        <v>-1316</v>
      </c>
      <c r="E40" s="22">
        <f>'04_Monthly_2026_2028'!AQ21</f>
        <v>-3461.33333333333</v>
      </c>
      <c r="F40" s="22">
        <f>'04_Monthly_2026_2028'!AQ22</f>
        <v>-2611.75757575757</v>
      </c>
      <c r="G40" s="22">
        <f>'04_Monthly_2026_2028'!AQ23</f>
        <v>-1762.18181818182</v>
      </c>
      <c r="H40" s="22">
        <f>'04_Monthly_2026_2028'!AQ24</f>
        <v>-1672.60606060606</v>
      </c>
      <c r="I40" s="22">
        <f>'04_Monthly_2026_2028'!AQ25</f>
        <v>-1583.0303030303</v>
      </c>
      <c r="J40" s="22">
        <f>'04_Monthly_2026_2028'!AQ26</f>
        <v>-1493.45454545454</v>
      </c>
      <c r="K40" s="22">
        <f>'04_Monthly_2026_2028'!AQ27</f>
        <v>-1403.87878787878</v>
      </c>
      <c r="L40" s="22">
        <f>'04_Monthly_2026_2028'!AQ28</f>
        <v>-1314.30303030303</v>
      </c>
      <c r="M40" s="22">
        <f>'04_Monthly_2026_2028'!AQ29</f>
        <v>-1224.72727272727</v>
      </c>
      <c r="N40" s="22">
        <f>'04_Monthly_2026_2028'!AQ30</f>
        <v>-582.424242424238</v>
      </c>
      <c r="O40" s="22">
        <f>'04_Monthly_2026_2028'!AQ31</f>
        <v>59.8787878787934</v>
      </c>
      <c r="P40" s="22">
        <f>'04_Monthly_2026_2028'!AQ32</f>
        <v>702.181818181824</v>
      </c>
      <c r="Q40" s="22">
        <f>'04_Monthly_2026_2028'!AQ33</f>
        <v>-1923.15151515151</v>
      </c>
      <c r="R40" s="22">
        <f>'04_Monthly_2026_2028'!AQ34</f>
        <v>-1280.84848484848</v>
      </c>
      <c r="S40" s="22">
        <f>'04_Monthly_2026_2028'!AQ35</f>
        <v>-638.545454545447</v>
      </c>
      <c r="T40" s="22">
        <f>'04_Monthly_2026_2028'!AQ36</f>
        <v>3.75757575758416</v>
      </c>
      <c r="U40" s="22">
        <f>'04_Monthly_2026_2028'!AQ37</f>
        <v>646.060606060615</v>
      </c>
      <c r="V40" s="22">
        <f>'04_Monthly_2026_2028'!AQ38</f>
        <v>1288.36363636365</v>
      </c>
      <c r="W40" s="22">
        <f>'04_Monthly_2026_2028'!AQ39</f>
        <v>1930.66666666668</v>
      </c>
      <c r="X40" s="22">
        <f>'04_Monthly_2026_2028'!AQ40</f>
        <v>2572.96969696971</v>
      </c>
      <c r="Y40" s="22">
        <f>'04_Monthly_2026_2028'!AQ41</f>
        <v>3215.27272727274</v>
      </c>
    </row>
    <row r="42">
      <c r="A42" s="35" t="inlineStr">
        <is>
          <t>5. 생산 계획 기준 결과 — 필요 선행재고 = 누적 (생산 − 출하) 최저점</t>
        </is>
      </c>
    </row>
    <row r="43" ht="30" customHeight="1">
      <c r="A43" s="11" t="inlineStr">
        <is>
          <t>항목</t>
        </is>
      </c>
      <c r="B43" s="11" t="inlineStr">
        <is>
          <t>값</t>
        </is>
      </c>
      <c r="C43" s="11" t="inlineStr">
        <is>
          <t>단위</t>
        </is>
      </c>
      <c r="D43" s="11" t="inlineStr"/>
      <c r="E43" s="11" t="inlineStr"/>
      <c r="F43" s="11" t="inlineStr"/>
      <c r="G43" s="11" t="inlineStr"/>
      <c r="H43" s="11" t="inlineStr">
        <is>
          <t>설명</t>
        </is>
      </c>
    </row>
    <row r="44">
      <c r="A44" s="37" t="inlineStr">
        <is>
          <t>2027 생산 계획</t>
        </is>
      </c>
      <c r="B44" s="40">
        <f>SUM(B37:M37)</f>
        <v>42175.2727272727</v>
      </c>
      <c r="C44" s="9" t="inlineStr">
        <is>
          <t>kg</t>
        </is>
      </c>
      <c r="H44" s="47" t="inlineStr">
        <is>
          <t>1~4월 확정 + 5~12월 Capa. 기준</t>
        </is>
      </c>
    </row>
    <row r="45">
      <c r="A45" s="37" t="inlineStr">
        <is>
          <t>2027 1~4월 확정 계획</t>
        </is>
      </c>
      <c r="B45" s="40">
        <f>SUM(B37:E37)</f>
        <v>8712</v>
      </c>
      <c r="C45" s="9" t="inlineStr">
        <is>
          <t>kg</t>
        </is>
      </c>
      <c r="H45" s="47" t="inlineStr">
        <is>
          <t>2,178 + 2,178 + 3,168 + 1,188 (대정비)</t>
        </is>
      </c>
    </row>
    <row r="46">
      <c r="A46" s="37" t="inlineStr">
        <is>
          <t>2027 5~12월 Capa. 기준 계획</t>
        </is>
      </c>
      <c r="B46" s="40">
        <f>SUM(F37:M37)</f>
        <v>33463.2727272727</v>
      </c>
      <c r="C46" s="9" t="inlineStr">
        <is>
          <t>kg</t>
        </is>
      </c>
      <c r="H46" s="47" t="inlineStr">
        <is>
          <t>4,182.9 kg × 8</t>
        </is>
      </c>
    </row>
    <row r="47">
      <c r="A47" s="37" t="inlineStr">
        <is>
          <t>2027 Capa. 기준 개월 수</t>
        </is>
      </c>
      <c r="B47" s="45">
        <f>COUNTIF(F35:M35,"Capa.*")</f>
        <v>8</v>
      </c>
      <c r="C47" s="9" t="inlineStr">
        <is>
          <t>개월</t>
        </is>
      </c>
      <c r="H47" s="47" t="inlineStr"/>
    </row>
    <row r="48">
      <c r="A48" s="37" t="inlineStr">
        <is>
          <t>2027 생산 계획 − 출하</t>
        </is>
      </c>
      <c r="B48" s="40">
        <f>SUM(B39:M39)</f>
        <v>-1224.72727272727</v>
      </c>
      <c r="C48" s="9" t="inlineStr">
        <is>
          <t>kg</t>
        </is>
      </c>
      <c r="H48" s="47" t="inlineStr">
        <is>
          <t>2027.12 누적과 같음</t>
        </is>
      </c>
    </row>
    <row r="49">
      <c r="A49" s="37" t="inlineStr">
        <is>
          <t>2028 생산 계획</t>
        </is>
      </c>
      <c r="B49" s="40">
        <f>SUM(N37:Y37)</f>
        <v>50200</v>
      </c>
      <c r="C49" s="9" t="inlineStr">
        <is>
          <t>kg</t>
        </is>
      </c>
      <c r="H49" s="47" t="inlineStr">
        <is>
          <t>105℃ 50.2톤 · 4월 대정비</t>
        </is>
      </c>
    </row>
    <row r="50">
      <c r="A50" s="37" t="inlineStr">
        <is>
          <t>2028 생산 계획 − 출하</t>
        </is>
      </c>
      <c r="B50" s="40">
        <f>SUM(N39:Y39)</f>
        <v>4440.00000000001</v>
      </c>
      <c r="C50" s="9" t="inlineStr">
        <is>
          <t>kg</t>
        </is>
      </c>
      <c r="H50" s="47" t="inlineStr"/>
    </row>
    <row r="51">
      <c r="A51" s="37" t="inlineStr">
        <is>
          <t>필요 선행재고 (2027-01-01)</t>
        </is>
      </c>
      <c r="B51" s="40">
        <f>MAX(0,-MIN(B40:Y40))</f>
        <v>3461.33333333333</v>
      </c>
      <c r="C51" s="9" t="inlineStr">
        <is>
          <t>kg</t>
        </is>
      </c>
      <c r="H51" s="47" t="inlineStr">
        <is>
          <t>24개월 결품 없이 대응할 최소 기초재고 (양품률 100% 상한)</t>
        </is>
      </c>
    </row>
    <row r="52">
      <c r="A52" s="37" t="inlineStr">
        <is>
          <t>누적 최저 시점</t>
        </is>
      </c>
      <c r="B52" s="60">
        <f>INDEX('04_Monthly_2026_2028'!A18:A41,MATCH(MIN(B40:Y40),B40:Y40,0))</f>
        <v>46478.0</v>
      </c>
      <c r="C52" s="9" t="inlineStr">
        <is>
          <t>연월</t>
        </is>
      </c>
      <c r="H52" s="47" t="inlineStr">
        <is>
          <t>대정비 월 직후</t>
        </is>
      </c>
    </row>
    <row r="53">
      <c r="A53" s="37" t="inlineStr">
        <is>
          <t>2028 누적 최저</t>
        </is>
      </c>
      <c r="B53" s="40">
        <f>MIN(N40:Y40)</f>
        <v>-1923.15151515151</v>
      </c>
      <c r="C53" s="9" t="inlineStr">
        <is>
          <t>kg</t>
        </is>
      </c>
      <c r="H53" s="47" t="inlineStr">
        <is>
          <t>2028 대정비 월</t>
        </is>
      </c>
    </row>
    <row r="54">
      <c r="A54" s="37" t="inlineStr">
        <is>
          <t>2028 누적 최저 시점</t>
        </is>
      </c>
      <c r="B54" s="60">
        <f>INDEX('04_Monthly_2026_2028'!A30:A41,MATCH(MIN(N40:Y40),N40:Y40,0))</f>
        <v>46844.0</v>
      </c>
      <c r="C54" s="9" t="inlineStr">
        <is>
          <t>연월</t>
        </is>
      </c>
      <c r="H54" s="47" t="inlineStr"/>
    </row>
    <row r="55">
      <c r="A55" s="37" t="inlineStr">
        <is>
          <t>2027.12 누적</t>
        </is>
      </c>
      <c r="B55" s="40">
        <f>M40</f>
        <v>-1224.72727272727</v>
      </c>
      <c r="C55" s="9" t="inlineStr">
        <is>
          <t>kg</t>
        </is>
      </c>
      <c r="H55" s="47" t="inlineStr"/>
    </row>
    <row r="56">
      <c r="A56" s="37" t="inlineStr">
        <is>
          <t>2028.12 누적</t>
        </is>
      </c>
      <c r="B56" s="40">
        <f>Y40</f>
        <v>3215.27272727274</v>
      </c>
      <c r="C56" s="9" t="inlineStr">
        <is>
          <t>kg</t>
        </is>
      </c>
      <c r="H56" s="47" t="inlineStr"/>
    </row>
    <row r="57">
      <c r="A57" s="37" t="inlineStr">
        <is>
          <t>2027.3 계획 Batch 환산</t>
        </is>
      </c>
      <c r="B57" s="58">
        <f>D36</f>
        <v>16.6736842105263</v>
      </c>
      <c r="C57" s="9" t="inlineStr">
        <is>
          <t>Batch</t>
        </is>
      </c>
      <c r="H57" s="47" t="inlineStr">
        <is>
          <t>3,168 ÷ 190 — 1대 과거 최대 11 Batch 대비 확인 필요</t>
        </is>
      </c>
    </row>
    <row r="58">
      <c r="A58" s="37" t="inlineStr">
        <is>
          <t>5~12월 월 Batch (2대 합산)</t>
        </is>
      </c>
      <c r="B58" s="58">
        <f>'01_Inputs'!$B$71/'01_Inputs'!$B$49</f>
        <v>22.0153110047847</v>
      </c>
      <c r="C58" s="9" t="inlineStr">
        <is>
          <t>Batch/월</t>
        </is>
      </c>
      <c r="H58" s="47" t="inlineStr"/>
    </row>
    <row r="59">
      <c r="A59" s="37" t="inlineStr">
        <is>
          <t>2028 월 Batch (105℃)</t>
        </is>
      </c>
      <c r="B59" s="58">
        <f>'01_Inputs'!$B$72/'01_Inputs'!$B$49</f>
        <v>23.4507177033493</v>
      </c>
      <c r="C59" s="9" t="inlineStr">
        <is>
          <t>Batch/월</t>
        </is>
      </c>
      <c r="H59" s="47" t="inlineStr"/>
    </row>
    <row r="61">
      <c r="A61" s="35" t="inlineStr">
        <is>
          <t>6. 105℃ (2028 50.2톤 기준) 확인사항 — 품질 검증 및 승인 필요</t>
        </is>
      </c>
    </row>
    <row r="62">
      <c r="A62" s="9" t="inlineStr">
        <is>
          <t>· 열 안정성</t>
        </is>
      </c>
    </row>
    <row r="63">
      <c r="A63" s="9" t="inlineStr">
        <is>
          <t>· Dimer 형성</t>
        </is>
      </c>
    </row>
    <row r="64">
      <c r="A64" s="9" t="inlineStr">
        <is>
          <t>· Unknown impurity 증가</t>
        </is>
      </c>
    </row>
    <row r="65">
      <c r="A65" s="9" t="inlineStr">
        <is>
          <t>· Yield 영향</t>
        </is>
      </c>
    </row>
    <row r="66">
      <c r="A66" s="9" t="inlineStr">
        <is>
          <t>· 고객 승인</t>
        </is>
      </c>
    </row>
    <row r="67">
      <c r="A67" s="9" t="inlineStr">
        <is>
          <t>· 적용 시작 — P2 '105℃ 50.2톤 적용 시작' (기본 2028-01-01) 변경 시 04·P5 월별 반영</t>
        </is>
      </c>
    </row>
  </sheetData>
  <conditionalFormatting sqref="D23:D30">
    <cfRule type="cellIs" priority="1" operator="lessThan" dxfId="0">
      <formula>0</formula>
    </cfRule>
  </conditionalFormatting>
  <conditionalFormatting sqref="B39:Y40">
    <cfRule type="cellIs" priority="2" operator="lessThan" dxfId="0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04040"/>
    <outlinePr summaryBelow="1" summaryRight="1"/>
    <pageSetUpPr/>
  </sheetPr>
  <dimension ref="A1:N189"/>
  <sheetViews>
    <sheetView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12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06_Report_Summary | PPT 사용 수치 · 표 · 차트 (수식 연동)</t>
        </is>
      </c>
    </row>
    <row r="2">
      <c r="A2" s="2" t="inlineStr">
        <is>
          <t>PPT 수치는 이 시트와 일치해야 함.</t>
        </is>
      </c>
    </row>
    <row r="4">
      <c r="A4" s="35" t="inlineStr">
        <is>
          <t>1. 핵심 수치</t>
        </is>
      </c>
    </row>
    <row r="5" ht="30" customHeight="1">
      <c r="A5" s="11" t="inlineStr">
        <is>
          <t>항목</t>
        </is>
      </c>
      <c r="B5" s="11" t="inlineStr">
        <is>
          <t>값</t>
        </is>
      </c>
      <c r="C5" s="11" t="inlineStr">
        <is>
          <t>단위</t>
        </is>
      </c>
      <c r="D5" s="11" t="inlineStr">
        <is>
          <t>시트</t>
        </is>
      </c>
    </row>
    <row r="6">
      <c r="A6" s="9" t="inlineStr">
        <is>
          <t>t57c</t>
        </is>
      </c>
      <c r="B6" s="16">
        <f>'01_Inputs'!$B$20</f>
        <v>57</v>
      </c>
      <c r="C6" s="9" t="inlineStr">
        <is>
          <t>h</t>
        </is>
      </c>
      <c r="D6" s="9" t="inlineStr">
        <is>
          <t>01</t>
        </is>
      </c>
    </row>
    <row r="7">
      <c r="A7" s="9" t="inlineStr">
        <is>
          <t>t_ref</t>
        </is>
      </c>
      <c r="B7" s="16">
        <f>'01_Inputs'!$B$16</f>
        <v>45</v>
      </c>
      <c r="C7" s="9" t="inlineStr">
        <is>
          <t>h</t>
        </is>
      </c>
      <c r="D7" s="9" t="inlineStr">
        <is>
          <t>01</t>
        </is>
      </c>
    </row>
    <row r="8">
      <c r="A8" s="9" t="inlineStr">
        <is>
          <t>lt_5g</t>
        </is>
      </c>
      <c r="B8" s="16">
        <f>'03_Capacity_Model'!$B$16</f>
        <v>77</v>
      </c>
      <c r="C8" s="9" t="inlineStr">
        <is>
          <t>h</t>
        </is>
      </c>
      <c r="D8" s="9" t="inlineStr">
        <is>
          <t>03</t>
        </is>
      </c>
    </row>
    <row r="9">
      <c r="A9" s="9" t="inlineStr">
        <is>
          <t>lt_ez</t>
        </is>
      </c>
      <c r="B9" s="16">
        <f>'03_Capacity_Model'!$C$16</f>
        <v>67</v>
      </c>
      <c r="C9" s="9" t="inlineStr">
        <is>
          <t>h</t>
        </is>
      </c>
      <c r="D9" s="9" t="inlineStr">
        <is>
          <t>03</t>
        </is>
      </c>
    </row>
    <row r="10">
      <c r="A10" s="9" t="inlineStr">
        <is>
          <t>el_5g</t>
        </is>
      </c>
      <c r="B10" s="28">
        <f>'03_Capacity_Model'!$B$17</f>
        <v>2.25</v>
      </c>
      <c r="C10" s="9" t="inlineStr">
        <is>
          <t>근무일</t>
        </is>
      </c>
      <c r="D10" s="9" t="inlineStr">
        <is>
          <t>03</t>
        </is>
      </c>
    </row>
    <row r="11">
      <c r="A11" s="9" t="inlineStr">
        <is>
          <t>occ</t>
        </is>
      </c>
      <c r="B11" s="16">
        <f>'03_Capacity_Model'!$B$21</f>
        <v>47</v>
      </c>
      <c r="C11" s="9" t="inlineStr">
        <is>
          <t>h</t>
        </is>
      </c>
      <c r="D11" s="9" t="inlineStr">
        <is>
          <t>03</t>
        </is>
      </c>
    </row>
    <row r="12">
      <c r="A12" s="9" t="inlineStr">
        <is>
          <t>th_bm</t>
        </is>
      </c>
      <c r="B12" s="28">
        <f>'03_Capacity_Model'!$B$27</f>
        <v>16</v>
      </c>
      <c r="C12" s="9" t="inlineStr">
        <is>
          <t>Batch</t>
        </is>
      </c>
      <c r="D12" s="9" t="inlineStr">
        <is>
          <t>03</t>
        </is>
      </c>
    </row>
    <row r="13">
      <c r="A13" s="9" t="inlineStr">
        <is>
          <t>th_kgm</t>
        </is>
      </c>
      <c r="B13" s="22">
        <f>'03_Capacity_Model'!$B$30</f>
        <v>3040</v>
      </c>
      <c r="C13" s="9" t="inlineStr">
        <is>
          <t>kg</t>
        </is>
      </c>
      <c r="D13" s="9" t="inlineStr">
        <is>
          <t>03</t>
        </is>
      </c>
    </row>
    <row r="14">
      <c r="A14" s="9" t="inlineStr">
        <is>
          <t>mx_ref</t>
        </is>
      </c>
      <c r="B14" s="16">
        <f>'03_Capacity_Model'!$B$37</f>
        <v>495</v>
      </c>
      <c r="C14" s="9" t="inlineStr">
        <is>
          <t>h</t>
        </is>
      </c>
      <c r="D14" s="9" t="inlineStr">
        <is>
          <t>03</t>
        </is>
      </c>
    </row>
    <row r="15">
      <c r="A15" s="9" t="inlineStr">
        <is>
          <t>mx_gap</t>
        </is>
      </c>
      <c r="B15" s="16">
        <f>'03_Capacity_Model'!$B$38</f>
        <v>225</v>
      </c>
      <c r="C15" s="9" t="inlineStr">
        <is>
          <t>h</t>
        </is>
      </c>
      <c r="D15" s="9" t="inlineStr">
        <is>
          <t>03</t>
        </is>
      </c>
    </row>
    <row r="16">
      <c r="A16" s="9" t="inlineStr">
        <is>
          <t>mx_kgm</t>
        </is>
      </c>
      <c r="B16" s="22">
        <f>'03_Capacity_Model'!$B$41</f>
        <v>2090</v>
      </c>
      <c r="C16" s="9" t="inlineStr">
        <is>
          <t>kg</t>
        </is>
      </c>
      <c r="D16" s="9" t="inlineStr">
        <is>
          <t>03</t>
        </is>
      </c>
    </row>
    <row r="17">
      <c r="A17" s="9" t="inlineStr">
        <is>
          <t>mx_kgy12</t>
        </is>
      </c>
      <c r="B17" s="22">
        <f>'03_Capacity_Model'!$B$42</f>
        <v>25080</v>
      </c>
      <c r="C17" s="9" t="inlineStr">
        <is>
          <t>kg</t>
        </is>
      </c>
      <c r="D17" s="9" t="inlineStr">
        <is>
          <t>03</t>
        </is>
      </c>
    </row>
    <row r="18">
      <c r="A18" s="9" t="inlineStr">
        <is>
          <t>mx_int</t>
        </is>
      </c>
      <c r="B18" s="28">
        <f>'03_Capacity_Model'!$B$40</f>
        <v>65.4545454545455</v>
      </c>
      <c r="C18" s="9" t="inlineStr">
        <is>
          <t>h</t>
        </is>
      </c>
      <c r="D18" s="9" t="inlineStr">
        <is>
          <t>03</t>
        </is>
      </c>
    </row>
    <row r="19">
      <c r="A19" s="9" t="inlineStr">
        <is>
          <t>ob_int</t>
        </is>
      </c>
      <c r="B19" s="28">
        <f>'03_Capacity_Model'!$B$51</f>
        <v>67.4716981132076</v>
      </c>
      <c r="C19" s="9" t="inlineStr">
        <is>
          <t>h</t>
        </is>
      </c>
      <c r="D19" s="9" t="inlineStr">
        <is>
          <t>03</t>
        </is>
      </c>
    </row>
    <row r="20">
      <c r="A20" s="9" t="inlineStr">
        <is>
          <t>ob_lo</t>
        </is>
      </c>
      <c r="B20" s="28">
        <f>'03_Capacity_Model'!$B$52</f>
        <v>67.0188679245283</v>
      </c>
      <c r="C20" s="9" t="inlineStr">
        <is>
          <t>h</t>
        </is>
      </c>
      <c r="D20" s="9" t="inlineStr">
        <is>
          <t>03</t>
        </is>
      </c>
    </row>
    <row r="21">
      <c r="A21" s="9" t="inlineStr">
        <is>
          <t>ob_hi</t>
        </is>
      </c>
      <c r="B21" s="28">
        <f>'03_Capacity_Model'!$B$53</f>
        <v>67.9245283018868</v>
      </c>
      <c r="C21" s="9" t="inlineStr">
        <is>
          <t>h</t>
        </is>
      </c>
      <c r="D21" s="9" t="inlineStr">
        <is>
          <t>03</t>
        </is>
      </c>
    </row>
    <row r="22">
      <c r="A22" s="9" t="inlineStr">
        <is>
          <t>ob_med</t>
        </is>
      </c>
      <c r="B22" s="16">
        <f>'03_Capacity_Model'!$B$54</f>
        <v>72</v>
      </c>
      <c r="C22" s="9" t="inlineStr">
        <is>
          <t>h</t>
        </is>
      </c>
      <c r="D22" s="9" t="inlineStr">
        <is>
          <t>03</t>
        </is>
      </c>
    </row>
    <row r="23">
      <c r="A23" s="9" t="inlineStr">
        <is>
          <t>ob_n</t>
        </is>
      </c>
      <c r="B23" s="19">
        <f>'03_Capacity_Model'!$B$50</f>
        <v>53</v>
      </c>
      <c r="C23" s="9" t="inlineStr"/>
      <c r="D23" s="9" t="inlineStr">
        <is>
          <t>03</t>
        </is>
      </c>
    </row>
    <row r="24">
      <c r="A24" s="9" t="inlineStr">
        <is>
          <t>ob_days</t>
        </is>
      </c>
      <c r="B24" s="19">
        <f>'03_Capacity_Model'!$B$49</f>
        <v>149</v>
      </c>
      <c r="C24" s="9" t="inlineStr">
        <is>
          <t>일</t>
        </is>
      </c>
      <c r="D24" s="9" t="inlineStr">
        <is>
          <t>03</t>
        </is>
      </c>
    </row>
    <row r="25">
      <c r="A25" s="9" t="inlineStr">
        <is>
          <t>ob_n_dates</t>
        </is>
      </c>
      <c r="B25" s="19">
        <f>'03_Capacity_Model'!$B$48</f>
        <v>54</v>
      </c>
      <c r="C25" s="9" t="inlineStr"/>
      <c r="D25" s="9" t="inlineStr">
        <is>
          <t>03</t>
        </is>
      </c>
    </row>
    <row r="26">
      <c r="A26" s="9" t="inlineStr">
        <is>
          <t>ob_vs47</t>
        </is>
      </c>
      <c r="B26" s="28">
        <f>'03_Capacity_Model'!$B$57</f>
        <v>20.4716981132076</v>
      </c>
      <c r="C26" s="9" t="inlineStr">
        <is>
          <t>h</t>
        </is>
      </c>
      <c r="D26" s="9" t="inlineStr">
        <is>
          <t>03</t>
        </is>
      </c>
    </row>
    <row r="27">
      <c r="A27" s="9" t="inlineStr">
        <is>
          <t>ob_vs45</t>
        </is>
      </c>
      <c r="B27" s="28">
        <f>'03_Capacity_Model'!$B$56</f>
        <v>22.4716981132076</v>
      </c>
      <c r="C27" s="9" t="inlineStr">
        <is>
          <t>h</t>
        </is>
      </c>
      <c r="D27" s="9" t="inlineStr">
        <is>
          <t>03</t>
        </is>
      </c>
    </row>
    <row r="28">
      <c r="A28" s="9" t="inlineStr">
        <is>
          <t>ob_b30</t>
        </is>
      </c>
      <c r="B28" s="28">
        <f>'03_Capacity_Model'!$B$58</f>
        <v>10.6711409395973</v>
      </c>
      <c r="C28" s="9" t="inlineStr">
        <is>
          <t>Batch</t>
        </is>
      </c>
      <c r="D28" s="9" t="inlineStr">
        <is>
          <t>03</t>
        </is>
      </c>
    </row>
    <row r="29">
      <c r="A29" s="9" t="inlineStr">
        <is>
          <t>ob_b31</t>
        </is>
      </c>
      <c r="B29" s="28">
        <f>'03_Capacity_Model'!$B$59</f>
        <v>11.0268456375839</v>
      </c>
      <c r="C29" s="9" t="inlineStr">
        <is>
          <t>Batch</t>
        </is>
      </c>
      <c r="D29" s="9" t="inlineStr">
        <is>
          <t>03</t>
        </is>
      </c>
    </row>
    <row r="30">
      <c r="A30" s="9" t="inlineStr">
        <is>
          <t>ob_kgm</t>
        </is>
      </c>
      <c r="B30" s="22">
        <f>'03_Capacity_Model'!$B$60</f>
        <v>2027.51677852349</v>
      </c>
      <c r="C30" s="9" t="inlineStr">
        <is>
          <t>kg</t>
        </is>
      </c>
      <c r="D30" s="9" t="inlineStr">
        <is>
          <t>03</t>
        </is>
      </c>
    </row>
    <row r="31">
      <c r="A31" s="9" t="inlineStr">
        <is>
          <t>ob_kgy</t>
        </is>
      </c>
      <c r="B31" s="22">
        <f>'03_Capacity_Model'!$B$62</f>
        <v>24510</v>
      </c>
      <c r="C31" s="9" t="inlineStr">
        <is>
          <t>kg</t>
        </is>
      </c>
      <c r="D31" s="9" t="inlineStr">
        <is>
          <t>03</t>
        </is>
      </c>
    </row>
    <row r="32">
      <c r="A32" s="9" t="inlineStr">
        <is>
          <t>ob_share3</t>
        </is>
      </c>
      <c r="B32" s="49">
        <f>'03_Capacity_Model'!$B$55</f>
        <v>0.735849056603774</v>
      </c>
      <c r="C32" s="9" t="inlineStr">
        <is>
          <t>%</t>
        </is>
      </c>
      <c r="D32" s="9" t="inlineStr">
        <is>
          <t>03</t>
        </is>
      </c>
    </row>
    <row r="33">
      <c r="A33" s="9" t="inlineStr">
        <is>
          <t>ob_dense</t>
        </is>
      </c>
      <c r="B33" s="19">
        <f>'03_Capacity_Model'!$B$64</f>
        <v>0</v>
      </c>
      <c r="C33" s="9" t="inlineStr"/>
      <c r="D33" s="9" t="inlineStr">
        <is>
          <t>02</t>
        </is>
      </c>
    </row>
    <row r="34">
      <c r="A34" s="9" t="inlineStr">
        <is>
          <t>chk_diff</t>
        </is>
      </c>
      <c r="B34" s="19">
        <f>'02_Batch_Raw'!$E$113</f>
        <v>0</v>
      </c>
      <c r="C34" s="9" t="inlineStr">
        <is>
          <t>건</t>
        </is>
      </c>
      <c r="D34" s="9" t="inlineStr">
        <is>
          <t>02</t>
        </is>
      </c>
    </row>
    <row r="35">
      <c r="A35" s="9" t="inlineStr">
        <is>
          <t>cp_b</t>
        </is>
      </c>
      <c r="B35" s="61">
        <f>'03_Capacity_Model'!$B$68</f>
        <v>137.894736842105</v>
      </c>
      <c r="C35" s="9" t="inlineStr">
        <is>
          <t>Batch</t>
        </is>
      </c>
      <c r="D35" s="9" t="inlineStr">
        <is>
          <t>03</t>
        </is>
      </c>
    </row>
    <row r="36">
      <c r="A36" s="9" t="inlineStr">
        <is>
          <t>cp_kground</t>
        </is>
      </c>
      <c r="B36" s="22">
        <f>'03_Capacity_Model'!$B$70</f>
        <v>26220</v>
      </c>
      <c r="C36" s="9" t="inlineStr">
        <is>
          <t>kg</t>
        </is>
      </c>
      <c r="D36" s="9" t="inlineStr">
        <is>
          <t>03</t>
        </is>
      </c>
    </row>
    <row r="37">
      <c r="A37" s="9" t="inlineStr">
        <is>
          <t>cp_int</t>
        </is>
      </c>
      <c r="B37" s="28">
        <f>'03_Capacity_Model'!$B$72</f>
        <v>63.5267175572519</v>
      </c>
      <c r="C37" s="9" t="inlineStr">
        <is>
          <t>h</t>
        </is>
      </c>
      <c r="D37" s="9" t="inlineStr">
        <is>
          <t>03</t>
        </is>
      </c>
    </row>
    <row r="38">
      <c r="A38" s="9" t="inlineStr">
        <is>
          <t>cp_bm</t>
        </is>
      </c>
      <c r="B38" s="28">
        <f>'03_Capacity_Model'!$B$71</f>
        <v>11.4912280701754</v>
      </c>
      <c r="C38" s="9" t="inlineStr">
        <is>
          <t>Batch</t>
        </is>
      </c>
      <c r="D38" s="9" t="inlineStr">
        <is>
          <t>03</t>
        </is>
      </c>
    </row>
    <row r="39">
      <c r="A39" s="9" t="inlineStr">
        <is>
          <t>x2_gap</t>
        </is>
      </c>
      <c r="B39" s="28">
        <f>'03_Capacity_Model'!$B$84</f>
        <v>5.2</v>
      </c>
      <c r="C39" s="9" t="inlineStr">
        <is>
          <t>t</t>
        </is>
      </c>
      <c r="D39" s="9" t="inlineStr">
        <is>
          <t>03</t>
        </is>
      </c>
    </row>
    <row r="40">
      <c r="A40" s="9" t="inlineStr">
        <is>
          <t>rf_int_each</t>
        </is>
      </c>
      <c r="B40" s="28">
        <f>'03_Capacity_Model'!$B$90</f>
        <v>66.3174823958967</v>
      </c>
      <c r="C40" s="9" t="inlineStr">
        <is>
          <t>h</t>
        </is>
      </c>
      <c r="D40" s="9" t="inlineStr">
        <is>
          <t>03</t>
        </is>
      </c>
    </row>
    <row r="41">
      <c r="A41" s="9" t="inlineStr">
        <is>
          <t>rf_int_all</t>
        </is>
      </c>
      <c r="B41" s="28">
        <f>'03_Capacity_Model'!$B$89</f>
        <v>33.1587411979484</v>
      </c>
      <c r="C41" s="9" t="inlineStr">
        <is>
          <t>h</t>
        </is>
      </c>
      <c r="D41" s="9" t="inlineStr">
        <is>
          <t>03</t>
        </is>
      </c>
    </row>
    <row r="42">
      <c r="A42" s="9" t="inlineStr">
        <is>
          <t>rf_int_diff</t>
        </is>
      </c>
      <c r="B42" s="28">
        <f>'03_Capacity_Model'!$B$94</f>
        <v>2.79076483864481</v>
      </c>
      <c r="C42" s="9" t="inlineStr">
        <is>
          <t>h</t>
        </is>
      </c>
      <c r="D42" s="9" t="inlineStr">
        <is>
          <t>03</t>
        </is>
      </c>
    </row>
    <row r="43">
      <c r="A43" s="9" t="inlineStr">
        <is>
          <t>off</t>
        </is>
      </c>
      <c r="B43" s="16">
        <f>'03_Capacity_Model'!$B$95</f>
        <v>30</v>
      </c>
      <c r="C43" s="9" t="inlineStr">
        <is>
          <t>h</t>
        </is>
      </c>
      <c r="D43" s="9" t="inlineStr">
        <is>
          <t>03</t>
        </is>
      </c>
    </row>
    <row r="44">
      <c r="A44" s="9" t="inlineStr">
        <is>
          <t>g_int</t>
        </is>
      </c>
      <c r="B44" s="16">
        <f>'03_Capacity_Model'!$B$96</f>
        <v>66.3</v>
      </c>
      <c r="C44" s="9" t="inlineStr">
        <is>
          <t>h</t>
        </is>
      </c>
      <c r="D44" s="9" t="inlineStr">
        <is>
          <t>03</t>
        </is>
      </c>
    </row>
    <row r="45">
      <c r="A45" s="9" t="inlineStr">
        <is>
          <t>fill_gap_min</t>
        </is>
      </c>
      <c r="B45" s="16">
        <f>'03_Capacity_Model'!$B$114</f>
        <v>30</v>
      </c>
      <c r="C45" s="9" t="inlineStr">
        <is>
          <t>h</t>
        </is>
      </c>
      <c r="D45" s="9" t="inlineStr">
        <is>
          <t>03</t>
        </is>
      </c>
    </row>
    <row r="46">
      <c r="A46" s="9" t="inlineStr">
        <is>
          <t>tk1_asis</t>
        </is>
      </c>
      <c r="B46" s="16">
        <f>'03_Capacity_Model'!$E$130</f>
        <v>11.4716981132076</v>
      </c>
      <c r="C46" s="9" t="inlineStr">
        <is>
          <t>h</t>
        </is>
      </c>
      <c r="D46" s="9" t="inlineStr">
        <is>
          <t>03</t>
        </is>
      </c>
    </row>
    <row r="47">
      <c r="A47" s="9" t="inlineStr">
        <is>
          <t>tk1_tobe</t>
        </is>
      </c>
      <c r="B47" s="16">
        <f>'03_Capacity_Model'!$F$130</f>
        <v>-22.8412588020516</v>
      </c>
      <c r="C47" s="9" t="inlineStr">
        <is>
          <t>h</t>
        </is>
      </c>
      <c r="D47" s="9" t="inlineStr">
        <is>
          <t>03</t>
        </is>
      </c>
    </row>
    <row r="48">
      <c r="A48" s="9" t="inlineStr">
        <is>
          <t>tk2_tobe</t>
        </is>
      </c>
      <c r="B48" s="16">
        <f>'03_Capacity_Model'!$F$131</f>
        <v>4.15874119794836</v>
      </c>
      <c r="C48" s="9" t="inlineStr">
        <is>
          <t>h</t>
        </is>
      </c>
      <c r="D48" s="9" t="inlineStr">
        <is>
          <t>03</t>
        </is>
      </c>
    </row>
    <row r="49">
      <c r="A49" s="9" t="inlineStr">
        <is>
          <t>tk1_occ</t>
        </is>
      </c>
      <c r="B49" s="16">
        <f>'03_Capacity_Model'!$D$130</f>
        <v>56</v>
      </c>
      <c r="C49" s="9" t="inlineStr">
        <is>
          <t>h</t>
        </is>
      </c>
      <c r="D49" s="9" t="inlineStr">
        <is>
          <t>03</t>
        </is>
      </c>
    </row>
    <row r="50">
      <c r="A50" s="9" t="inlineStr">
        <is>
          <t>gb27</t>
        </is>
      </c>
      <c r="B50" s="16">
        <f>'03_Capacity_Model'!$B$117</f>
        <v>2972</v>
      </c>
      <c r="C50" s="9" t="inlineStr">
        <is>
          <t>h</t>
        </is>
      </c>
      <c r="D50" s="9" t="inlineStr">
        <is>
          <t>03</t>
        </is>
      </c>
    </row>
    <row r="51">
      <c r="A51" s="9" t="inlineStr">
        <is>
          <t>gb28</t>
        </is>
      </c>
      <c r="B51" s="16">
        <f>'03_Capacity_Model'!$B$118</f>
        <v>3208</v>
      </c>
      <c r="C51" s="9" t="inlineStr">
        <is>
          <t>h</t>
        </is>
      </c>
      <c r="D51" s="9" t="inlineStr">
        <is>
          <t>03</t>
        </is>
      </c>
    </row>
    <row r="52">
      <c r="A52" s="9" t="inlineStr">
        <is>
          <t>gbmax</t>
        </is>
      </c>
      <c r="B52" s="16">
        <f>'03_Capacity_Model'!$B$119</f>
        <v>267.333333333333</v>
      </c>
      <c r="C52" s="9" t="inlineStr">
        <is>
          <t>h</t>
        </is>
      </c>
      <c r="D52" s="9" t="inlineStr">
        <is>
          <t>03</t>
        </is>
      </c>
    </row>
    <row r="53">
      <c r="A53" s="9" t="inlineStr">
        <is>
          <t>gb_ld1</t>
        </is>
      </c>
      <c r="B53" s="49">
        <f>'03_Capacity_Model'!$E$124</f>
        <v>1.51893939393939</v>
      </c>
      <c r="C53" s="9" t="inlineStr">
        <is>
          <t>%</t>
        </is>
      </c>
      <c r="D53" s="9" t="inlineStr">
        <is>
          <t>03</t>
        </is>
      </c>
    </row>
    <row r="54">
      <c r="A54" s="9" t="inlineStr">
        <is>
          <t>gb_ld2</t>
        </is>
      </c>
      <c r="B54" s="49">
        <f>'03_Capacity_Model'!$E$125</f>
        <v>0.759469696969697</v>
      </c>
      <c r="C54" s="9" t="inlineStr">
        <is>
          <t>%</t>
        </is>
      </c>
      <c r="D54" s="9" t="inlineStr">
        <is>
          <t>03</t>
        </is>
      </c>
    </row>
    <row r="55">
      <c r="A55" s="9" t="inlineStr">
        <is>
          <t>c200_27</t>
        </is>
      </c>
      <c r="B55" s="19">
        <f>'03_Capacity_Model'!$B$120</f>
        <v>96</v>
      </c>
      <c r="C55" s="9" t="inlineStr">
        <is>
          <t>용기</t>
        </is>
      </c>
      <c r="D55" s="9" t="inlineStr">
        <is>
          <t>03</t>
        </is>
      </c>
    </row>
    <row r="56">
      <c r="A56" s="9" t="inlineStr">
        <is>
          <t>c200_28</t>
        </is>
      </c>
      <c r="B56" s="19">
        <f>'03_Capacity_Model'!$B$121</f>
        <v>96</v>
      </c>
      <c r="C56" s="9" t="inlineStr">
        <is>
          <t>용기</t>
        </is>
      </c>
      <c r="D56" s="9" t="inlineStr">
        <is>
          <t>03</t>
        </is>
      </c>
    </row>
    <row r="57">
      <c r="A57" s="9" t="inlineStr">
        <is>
          <t>sh26</t>
        </is>
      </c>
      <c r="B57" s="28">
        <f>'01_Inputs'!$O$126/1000</f>
        <v>19.22</v>
      </c>
      <c r="C57" s="9" t="inlineStr">
        <is>
          <t>t</t>
        </is>
      </c>
      <c r="D57" s="9" t="inlineStr">
        <is>
          <t>01</t>
        </is>
      </c>
    </row>
    <row r="58">
      <c r="A58" s="9" t="inlineStr">
        <is>
          <t>sh27</t>
        </is>
      </c>
      <c r="B58" s="28">
        <f>'01_Inputs'!$O$127/1000</f>
        <v>43.4</v>
      </c>
      <c r="C58" s="9" t="inlineStr">
        <is>
          <t>t</t>
        </is>
      </c>
      <c r="D58" s="9" t="inlineStr">
        <is>
          <t>01</t>
        </is>
      </c>
    </row>
    <row r="59">
      <c r="A59" s="9" t="inlineStr">
        <is>
          <t>sh28</t>
        </is>
      </c>
      <c r="B59" s="28">
        <f>'01_Inputs'!$O$128/1000</f>
        <v>45.76</v>
      </c>
      <c r="C59" s="9" t="inlineStr">
        <is>
          <t>t</t>
        </is>
      </c>
      <c r="D59" s="9" t="inlineStr">
        <is>
          <t>01</t>
        </is>
      </c>
    </row>
    <row r="60">
      <c r="A60" s="9" t="inlineStr">
        <is>
          <t>sh27h1</t>
        </is>
      </c>
      <c r="B60" s="28">
        <f>SUM('01_Inputs'!C127:H127)/1000</f>
        <v>18.84</v>
      </c>
      <c r="C60" s="9" t="inlineStr">
        <is>
          <t>t</t>
        </is>
      </c>
      <c r="D60" s="9" t="inlineStr">
        <is>
          <t>01</t>
        </is>
      </c>
    </row>
    <row r="61">
      <c r="A61" s="9" t="inlineStr">
        <is>
          <t>sh27h2</t>
        </is>
      </c>
      <c r="B61" s="28">
        <f>SUM('01_Inputs'!I127:N127)/1000</f>
        <v>24.56</v>
      </c>
      <c r="C61" s="9" t="inlineStr">
        <is>
          <t>t</t>
        </is>
      </c>
      <c r="D61" s="9" t="inlineStr">
        <is>
          <t>01</t>
        </is>
      </c>
    </row>
    <row r="62">
      <c r="A62" s="9" t="inlineStr">
        <is>
          <t>d26_now</t>
        </is>
      </c>
      <c r="B62" s="28">
        <f>'05_Reflux_Scenarios'!$D$23</f>
        <v>6.98</v>
      </c>
      <c r="C62" s="9" t="inlineStr">
        <is>
          <t>t</t>
        </is>
      </c>
      <c r="D62" s="9" t="inlineStr">
        <is>
          <t>05</t>
        </is>
      </c>
    </row>
    <row r="63">
      <c r="A63" s="9" t="inlineStr">
        <is>
          <t>d27_now</t>
        </is>
      </c>
      <c r="B63" s="28">
        <f>'05_Reflux_Scenarios'!$D$24</f>
        <v>-17.2</v>
      </c>
      <c r="C63" s="9" t="inlineStr">
        <is>
          <t>t</t>
        </is>
      </c>
      <c r="D63" s="9" t="inlineStr">
        <is>
          <t>05</t>
        </is>
      </c>
    </row>
    <row r="64">
      <c r="A64" s="9" t="inlineStr">
        <is>
          <t>d27_rf</t>
        </is>
      </c>
      <c r="B64" s="28">
        <f>'05_Reflux_Scenarios'!$D$28</f>
        <v>3.8</v>
      </c>
      <c r="C64" s="9" t="inlineStr">
        <is>
          <t>t</t>
        </is>
      </c>
      <c r="D64" s="9" t="inlineStr">
        <is>
          <t>05</t>
        </is>
      </c>
    </row>
    <row r="65">
      <c r="A65" s="9" t="inlineStr">
        <is>
          <t>d27_h1</t>
        </is>
      </c>
      <c r="B65" s="28">
        <f>'05_Reflux_Scenarios'!$D$26</f>
        <v>-1.76218181818181</v>
      </c>
      <c r="C65" s="9" t="inlineStr">
        <is>
          <t>t</t>
        </is>
      </c>
      <c r="D65" s="9" t="inlineStr">
        <is>
          <t>05</t>
        </is>
      </c>
    </row>
    <row r="66">
      <c r="A66" s="9" t="inlineStr">
        <is>
          <t>d27_h2</t>
        </is>
      </c>
      <c r="B66" s="28">
        <f>'05_Reflux_Scenarios'!$D$27</f>
        <v>0.537454545454551</v>
      </c>
      <c r="C66" s="9" t="inlineStr">
        <is>
          <t>t</t>
        </is>
      </c>
      <c r="D66" s="9" t="inlineStr">
        <is>
          <t>05</t>
        </is>
      </c>
    </row>
    <row r="67">
      <c r="A67" s="9" t="inlineStr">
        <is>
          <t>d28_47</t>
        </is>
      </c>
      <c r="B67" s="28">
        <f>'05_Reflux_Scenarios'!$D$30</f>
        <v>1.44</v>
      </c>
      <c r="C67" s="9" t="inlineStr">
        <is>
          <t>t</t>
        </is>
      </c>
      <c r="D67" s="9" t="inlineStr">
        <is>
          <t>05</t>
        </is>
      </c>
    </row>
    <row r="68">
      <c r="A68" s="9" t="inlineStr">
        <is>
          <t>d27_plan</t>
        </is>
      </c>
      <c r="B68" s="28">
        <f>'05_Reflux_Scenarios'!$D$25</f>
        <v>-1.22472727272727</v>
      </c>
      <c r="C68" s="9" t="inlineStr">
        <is>
          <t>t</t>
        </is>
      </c>
      <c r="D68" s="9" t="inlineStr">
        <is>
          <t>05</t>
        </is>
      </c>
    </row>
    <row r="69">
      <c r="A69" s="9" t="inlineStr">
        <is>
          <t>d28_plan</t>
        </is>
      </c>
      <c r="B69" s="28">
        <f>'05_Reflux_Scenarios'!$D$29</f>
        <v>4.44000000000001</v>
      </c>
      <c r="C69" s="9" t="inlineStr">
        <is>
          <t>t</t>
        </is>
      </c>
      <c r="D69" s="9" t="inlineStr">
        <is>
          <t>05</t>
        </is>
      </c>
    </row>
    <row r="70">
      <c r="A70" s="9" t="inlineStr">
        <is>
          <t>capa_m</t>
        </is>
      </c>
      <c r="B70" s="31">
        <f>'01_Inputs'!$B$71</f>
        <v>4182.90909090909</v>
      </c>
      <c r="C70" s="9" t="inlineStr">
        <is>
          <t>kg</t>
        </is>
      </c>
      <c r="D70" s="9" t="inlineStr">
        <is>
          <t>01</t>
        </is>
      </c>
    </row>
    <row r="71">
      <c r="A71" s="9" t="inlineStr">
        <is>
          <t>capa_m105</t>
        </is>
      </c>
      <c r="B71" s="31">
        <f>'01_Inputs'!$B$72</f>
        <v>4455.63636363636</v>
      </c>
      <c r="C71" s="9" t="inlineStr">
        <is>
          <t>kg</t>
        </is>
      </c>
      <c r="D71" s="9" t="inlineStr">
        <is>
          <t>01</t>
        </is>
      </c>
    </row>
    <row r="72">
      <c r="A72" s="9" t="inlineStr">
        <is>
          <t>maint_kg</t>
        </is>
      </c>
      <c r="B72" s="22">
        <f>'01_Inputs'!$B$70</f>
        <v>1188</v>
      </c>
      <c r="C72" s="9" t="inlineStr">
        <is>
          <t>kg</t>
        </is>
      </c>
      <c r="D72" s="9" t="inlineStr">
        <is>
          <t>01</t>
        </is>
      </c>
    </row>
    <row r="73">
      <c r="A73" s="9" t="inlineStr">
        <is>
          <t>rf_bm</t>
        </is>
      </c>
      <c r="B73" s="28">
        <f>'03_Capacity_Model'!$B$88</f>
        <v>22.0153110047847</v>
      </c>
      <c r="C73" s="9" t="inlineStr">
        <is>
          <t>Batch</t>
        </is>
      </c>
      <c r="D73" s="9" t="inlineStr">
        <is>
          <t>03</t>
        </is>
      </c>
    </row>
    <row r="74">
      <c r="A74" s="9" t="inlineStr">
        <is>
          <t>rf_bm105</t>
        </is>
      </c>
      <c r="B74" s="28">
        <f>'03_Capacity_Model'!$B$92</f>
        <v>23.4507177033493</v>
      </c>
      <c r="C74" s="9" t="inlineStr">
        <is>
          <t>Batch</t>
        </is>
      </c>
      <c r="D74" s="9" t="inlineStr">
        <is>
          <t>03</t>
        </is>
      </c>
    </row>
    <row r="75">
      <c r="A75" s="9" t="inlineStr">
        <is>
          <t>rf_int_105</t>
        </is>
      </c>
      <c r="B75" s="28">
        <f>'03_Capacity_Model'!$B$93</f>
        <v>62.2582224761283</v>
      </c>
      <c r="C75" s="9" t="inlineStr">
        <is>
          <t>h</t>
        </is>
      </c>
      <c r="D75" s="9" t="inlineStr">
        <is>
          <t>03</t>
        </is>
      </c>
    </row>
    <row r="76">
      <c r="A76" s="9" t="inlineStr">
        <is>
          <t>cap27h2</t>
        </is>
      </c>
      <c r="B76" s="28">
        <f>'05_Reflux_Scenarios'!$C$27</f>
        <v>25.0974545454545</v>
      </c>
      <c r="C76" s="9" t="inlineStr">
        <is>
          <t>t</t>
        </is>
      </c>
      <c r="D76" s="9" t="inlineStr">
        <is>
          <t>05</t>
        </is>
      </c>
    </row>
    <row r="77">
      <c r="A77" s="9" t="inlineStr">
        <is>
          <t>cap27h1</t>
        </is>
      </c>
      <c r="B77" s="28">
        <f>'05_Reflux_Scenarios'!$C$26</f>
        <v>17.0778181818182</v>
      </c>
      <c r="C77" s="9" t="inlineStr">
        <is>
          <t>t</t>
        </is>
      </c>
      <c r="D77" s="9" t="inlineStr">
        <is>
          <t>05</t>
        </is>
      </c>
    </row>
    <row r="78">
      <c r="A78" s="9" t="inlineStr">
        <is>
          <t>p26</t>
        </is>
      </c>
      <c r="B78" s="22">
        <f>'04_Monthly_2026_2028'!$S$42</f>
        <v>24510</v>
      </c>
      <c r="C78" s="9" t="inlineStr">
        <is>
          <t>kg</t>
        </is>
      </c>
      <c r="D78" s="9" t="inlineStr">
        <is>
          <t>04</t>
        </is>
      </c>
    </row>
    <row r="79">
      <c r="A79" s="9" t="inlineStr">
        <is>
          <t>pb26</t>
        </is>
      </c>
      <c r="B79" s="19">
        <f>'04_Monthly_2026_2028'!$O$42</f>
        <v>129</v>
      </c>
      <c r="C79" s="9" t="inlineStr">
        <is>
          <t>Batch</t>
        </is>
      </c>
      <c r="D79" s="9" t="inlineStr">
        <is>
          <t>04</t>
        </is>
      </c>
    </row>
    <row r="80">
      <c r="A80" s="9" t="inlineStr">
        <is>
          <t>p27</t>
        </is>
      </c>
      <c r="B80" s="20">
        <f>'04_Monthly_2026_2028'!$S$43</f>
        <v>42175.2727272727</v>
      </c>
      <c r="C80" s="9" t="inlineStr">
        <is>
          <t>kg</t>
        </is>
      </c>
      <c r="D80" s="9" t="inlineStr">
        <is>
          <t>04</t>
        </is>
      </c>
    </row>
    <row r="81">
      <c r="A81" s="9" t="inlineStr">
        <is>
          <t>p28</t>
        </is>
      </c>
      <c r="B81" s="20">
        <f>'04_Monthly_2026_2028'!$S$44</f>
        <v>50200</v>
      </c>
      <c r="C81" s="9" t="inlineStr">
        <is>
          <t>kg</t>
        </is>
      </c>
      <c r="D81" s="9" t="inlineStr">
        <is>
          <t>04</t>
        </is>
      </c>
    </row>
    <row r="82">
      <c r="A82" s="9" t="inlineStr">
        <is>
          <t>p27_1</t>
        </is>
      </c>
      <c r="B82" s="22">
        <f>'04_Monthly_2026_2028'!$S$18</f>
        <v>2178</v>
      </c>
      <c r="C82" s="9" t="inlineStr">
        <is>
          <t>kg</t>
        </is>
      </c>
      <c r="D82" s="9" t="inlineStr">
        <is>
          <t>04</t>
        </is>
      </c>
    </row>
    <row r="83">
      <c r="A83" s="9" t="inlineStr">
        <is>
          <t>pb27_1</t>
        </is>
      </c>
      <c r="B83" s="19">
        <f>'04_Monthly_2026_2028'!$O$18</f>
        <v>11.4631578947368</v>
      </c>
      <c r="C83" s="9" t="inlineStr">
        <is>
          <t>Batch</t>
        </is>
      </c>
      <c r="D83" s="9" t="inlineStr">
        <is>
          <t>04</t>
        </is>
      </c>
    </row>
    <row r="84">
      <c r="A84" s="9" t="inlineStr">
        <is>
          <t>basis_int</t>
        </is>
      </c>
      <c r="B84" s="28">
        <f>'03_Capacity_Model'!$B$80</f>
        <v>67.4716981132076</v>
      </c>
      <c r="C84" s="9" t="inlineStr">
        <is>
          <t>h</t>
        </is>
      </c>
      <c r="D84" s="9" t="inlineStr">
        <is>
          <t>03</t>
        </is>
      </c>
    </row>
    <row r="85">
      <c r="A85" s="9" t="inlineStr">
        <is>
          <t>nb27</t>
        </is>
      </c>
      <c r="B85" s="59">
        <f>'04_Monthly_2026_2028'!$Z$43</f>
        <v>228.421052631579</v>
      </c>
      <c r="C85" s="9" t="inlineStr">
        <is>
          <t>Batch</t>
        </is>
      </c>
      <c r="D85" s="9" t="inlineStr">
        <is>
          <t>04</t>
        </is>
      </c>
    </row>
    <row r="86">
      <c r="A86" s="9" t="inlineStr">
        <is>
          <t>nb28</t>
        </is>
      </c>
      <c r="B86" s="59">
        <f>'04_Monthly_2026_2028'!$Z$44</f>
        <v>240.842105263158</v>
      </c>
      <c r="C86" s="9" t="inlineStr">
        <is>
          <t>Batch</t>
        </is>
      </c>
      <c r="D86" s="9" t="inlineStr">
        <is>
          <t>04</t>
        </is>
      </c>
    </row>
    <row r="87">
      <c r="A87" s="9" t="inlineStr">
        <is>
          <t>ez27</t>
        </is>
      </c>
      <c r="B87" s="22">
        <f>'04_Monthly_2026_2028'!$W$43</f>
        <v>10080</v>
      </c>
      <c r="C87" s="9" t="inlineStr">
        <is>
          <t>kg</t>
        </is>
      </c>
      <c r="D87" s="9" t="inlineStr">
        <is>
          <t>04</t>
        </is>
      </c>
    </row>
    <row r="88">
      <c r="A88" s="9" t="inlineStr">
        <is>
          <t>hs27</t>
        </is>
      </c>
      <c r="B88" s="22">
        <f>'04_Monthly_2026_2028'!$X$43</f>
        <v>3600</v>
      </c>
      <c r="C88" s="9" t="inlineStr">
        <is>
          <t>kg</t>
        </is>
      </c>
      <c r="D88" s="9" t="inlineStr">
        <is>
          <t>04</t>
        </is>
      </c>
    </row>
    <row r="89">
      <c r="A89" s="9" t="inlineStr">
        <is>
          <t>cx27</t>
        </is>
      </c>
      <c r="B89" s="22">
        <f>'04_Monthly_2026_2028'!$V$43</f>
        <v>7000</v>
      </c>
      <c r="C89" s="9" t="inlineStr">
        <is>
          <t>kg</t>
        </is>
      </c>
      <c r="D89" s="9" t="inlineStr">
        <is>
          <t>04</t>
        </is>
      </c>
    </row>
    <row r="90">
      <c r="A90" s="9" t="inlineStr">
        <is>
          <t>ez28</t>
        </is>
      </c>
      <c r="B90" s="22">
        <f>'04_Monthly_2026_2028'!$W$44</f>
        <v>10080</v>
      </c>
      <c r="C90" s="9" t="inlineStr">
        <is>
          <t>kg</t>
        </is>
      </c>
      <c r="D90" s="9" t="inlineStr">
        <is>
          <t>04</t>
        </is>
      </c>
    </row>
    <row r="91">
      <c r="A91" s="9" t="inlineStr">
        <is>
          <t>cx28</t>
        </is>
      </c>
      <c r="B91" s="22">
        <f>'04_Monthly_2026_2028'!$V$44</f>
        <v>9360</v>
      </c>
      <c r="C91" s="9" t="inlineStr">
        <is>
          <t>kg</t>
        </is>
      </c>
      <c r="D91" s="9" t="inlineStr">
        <is>
          <t>04</t>
        </is>
      </c>
    </row>
    <row r="92">
      <c r="A92" s="9" t="inlineStr">
        <is>
          <t>hs28</t>
        </is>
      </c>
      <c r="B92" s="22">
        <f>'04_Monthly_2026_2028'!$X$44</f>
        <v>3600</v>
      </c>
      <c r="C92" s="9" t="inlineStr">
        <is>
          <t>kg</t>
        </is>
      </c>
      <c r="D92" s="9" t="inlineStr">
        <is>
          <t>04</t>
        </is>
      </c>
    </row>
    <row r="93">
      <c r="A93" s="9" t="inlineStr">
        <is>
          <t>ak27</t>
        </is>
      </c>
      <c r="B93" s="16">
        <f>'04_Monthly_2026_2028'!$AK$43</f>
        <v>768</v>
      </c>
      <c r="C93" s="9" t="inlineStr">
        <is>
          <t>h</t>
        </is>
      </c>
      <c r="D93" s="9" t="inlineStr">
        <is>
          <t>04</t>
        </is>
      </c>
    </row>
    <row r="94">
      <c r="A94" s="9" t="inlineStr">
        <is>
          <t>ak28</t>
        </is>
      </c>
      <c r="B94" s="16">
        <f>'04_Monthly_2026_2028'!$AK$44</f>
        <v>768</v>
      </c>
      <c r="C94" s="9" t="inlineStr">
        <is>
          <t>h</t>
        </is>
      </c>
      <c r="D94" s="9" t="inlineStr">
        <is>
          <t>04</t>
        </is>
      </c>
    </row>
    <row r="95">
      <c r="A95" s="9" t="inlineStr">
        <is>
          <t>ah27</t>
        </is>
      </c>
      <c r="B95" s="16" t="str">
        <f>'04_Monthly_2026_2028'!$AH$43</f>
        <v>부분 192 h + 미확인</v>
      </c>
      <c r="C95" s="9" t="inlineStr">
        <is>
          <t>h</t>
        </is>
      </c>
      <c r="D95" s="9" t="inlineStr">
        <is>
          <t>04</t>
        </is>
      </c>
    </row>
    <row r="96">
      <c r="A96" s="9" t="inlineStr">
        <is>
          <t>al27</t>
        </is>
      </c>
      <c r="B96" s="16">
        <f>'04_Monthly_2026_2028'!$AL$43</f>
        <v>192</v>
      </c>
      <c r="C96" s="9" t="inlineStr">
        <is>
          <t>h</t>
        </is>
      </c>
      <c r="D96" s="9" t="inlineStr">
        <is>
          <t>04</t>
        </is>
      </c>
    </row>
    <row r="97">
      <c r="A97" s="9" t="inlineStr">
        <is>
          <t>ac27</t>
        </is>
      </c>
      <c r="B97" s="16">
        <f>'04_Monthly_2026_2028'!$AC$43</f>
        <v>330.222222222222</v>
      </c>
      <c r="C97" s="9" t="inlineStr">
        <is>
          <t>h</t>
        </is>
      </c>
      <c r="D97" s="9" t="inlineStr">
        <is>
          <t>04</t>
        </is>
      </c>
    </row>
    <row r="98">
      <c r="A98" s="9" t="inlineStr">
        <is>
          <t>al28</t>
        </is>
      </c>
      <c r="B98" s="16">
        <f>'04_Monthly_2026_2028'!$AL$44</f>
        <v>192</v>
      </c>
      <c r="C98" s="9" t="inlineStr">
        <is>
          <t>h</t>
        </is>
      </c>
      <c r="D98" s="9" t="inlineStr">
        <is>
          <t>04</t>
        </is>
      </c>
    </row>
    <row r="99">
      <c r="A99" s="9" t="inlineStr">
        <is>
          <t>ac28</t>
        </is>
      </c>
      <c r="B99" s="16">
        <f>'04_Monthly_2026_2028'!$AC$44</f>
        <v>356.444444444444</v>
      </c>
      <c r="C99" s="9" t="inlineStr">
        <is>
          <t>h</t>
        </is>
      </c>
      <c r="D99" s="9" t="inlineStr">
        <is>
          <t>04</t>
        </is>
      </c>
    </row>
    <row r="100">
      <c r="A100" s="9" t="inlineStr">
        <is>
          <t>plan27</t>
        </is>
      </c>
      <c r="B100" s="62">
        <f>'05_Reflux_Scenarios'!$B$44</f>
        <v>42175.2727272727</v>
      </c>
      <c r="C100" s="9" t="inlineStr"/>
      <c r="D100" s="9" t="inlineStr">
        <is>
          <t>05</t>
        </is>
      </c>
    </row>
    <row r="101">
      <c r="A101" s="9" t="inlineStr">
        <is>
          <t>plan27_fix</t>
        </is>
      </c>
      <c r="B101" s="62">
        <f>'05_Reflux_Scenarios'!$B$45</f>
        <v>8712</v>
      </c>
      <c r="C101" s="9" t="inlineStr"/>
      <c r="D101" s="9" t="inlineStr">
        <is>
          <t>05</t>
        </is>
      </c>
    </row>
    <row r="102">
      <c r="A102" s="9" t="inlineStr">
        <is>
          <t>plan27_rf</t>
        </is>
      </c>
      <c r="B102" s="62">
        <f>'05_Reflux_Scenarios'!$B$46</f>
        <v>33463.2727272727</v>
      </c>
      <c r="C102" s="9" t="inlineStr"/>
      <c r="D102" s="9" t="inlineStr">
        <is>
          <t>05</t>
        </is>
      </c>
    </row>
    <row r="103">
      <c r="A103" s="9" t="inlineStr">
        <is>
          <t>n_rf27</t>
        </is>
      </c>
      <c r="B103" s="62">
        <f>'05_Reflux_Scenarios'!$B$47</f>
        <v>8</v>
      </c>
      <c r="C103" s="9" t="inlineStr"/>
      <c r="D103" s="9" t="inlineStr">
        <is>
          <t>05</t>
        </is>
      </c>
    </row>
    <row r="104">
      <c r="A104" s="9" t="inlineStr">
        <is>
          <t>d27</t>
        </is>
      </c>
      <c r="B104" s="62">
        <f>'05_Reflux_Scenarios'!$B$48</f>
        <v>-1224.72727272727</v>
      </c>
      <c r="C104" s="9" t="inlineStr"/>
      <c r="D104" s="9" t="inlineStr">
        <is>
          <t>05</t>
        </is>
      </c>
    </row>
    <row r="105">
      <c r="A105" s="9" t="inlineStr">
        <is>
          <t>plan28</t>
        </is>
      </c>
      <c r="B105" s="62">
        <f>'05_Reflux_Scenarios'!$B$49</f>
        <v>50200</v>
      </c>
      <c r="C105" s="9" t="inlineStr"/>
      <c r="D105" s="9" t="inlineStr">
        <is>
          <t>05</t>
        </is>
      </c>
    </row>
    <row r="106">
      <c r="A106" s="9" t="inlineStr">
        <is>
          <t>d28</t>
        </is>
      </c>
      <c r="B106" s="62">
        <f>'05_Reflux_Scenarios'!$B$50</f>
        <v>4440.00000000001</v>
      </c>
      <c r="C106" s="9" t="inlineStr"/>
      <c r="D106" s="9" t="inlineStr">
        <is>
          <t>05</t>
        </is>
      </c>
    </row>
    <row r="107">
      <c r="A107" s="9" t="inlineStr">
        <is>
          <t>inv_need</t>
        </is>
      </c>
      <c r="B107" s="62">
        <f>'05_Reflux_Scenarios'!$B$51</f>
        <v>3461.33333333333</v>
      </c>
      <c r="C107" s="9" t="inlineStr"/>
      <c r="D107" s="9" t="inlineStr">
        <is>
          <t>05</t>
        </is>
      </c>
    </row>
    <row r="108">
      <c r="A108" s="9" t="inlineStr">
        <is>
          <t>inv_low</t>
        </is>
      </c>
      <c r="B108" s="63">
        <f>'05_Reflux_Scenarios'!$B$52</f>
        <v>46478.0</v>
      </c>
      <c r="C108" s="9" t="inlineStr"/>
      <c r="D108" s="9" t="inlineStr">
        <is>
          <t>05</t>
        </is>
      </c>
    </row>
    <row r="109">
      <c r="A109" s="9" t="inlineStr">
        <is>
          <t>low28</t>
        </is>
      </c>
      <c r="B109" s="62">
        <f>'05_Reflux_Scenarios'!$B$53</f>
        <v>-1923.15151515151</v>
      </c>
      <c r="C109" s="9" t="inlineStr"/>
      <c r="D109" s="9" t="inlineStr">
        <is>
          <t>05</t>
        </is>
      </c>
    </row>
    <row r="110">
      <c r="A110" s="9" t="inlineStr">
        <is>
          <t>low28_t</t>
        </is>
      </c>
      <c r="B110" s="63">
        <f>'05_Reflux_Scenarios'!$B$54</f>
        <v>46844.0</v>
      </c>
      <c r="C110" s="9" t="inlineStr"/>
      <c r="D110" s="9" t="inlineStr">
        <is>
          <t>05</t>
        </is>
      </c>
    </row>
    <row r="111">
      <c r="A111" s="9" t="inlineStr">
        <is>
          <t>end27</t>
        </is>
      </c>
      <c r="B111" s="62">
        <f>'05_Reflux_Scenarios'!$B$55</f>
        <v>-1224.72727272727</v>
      </c>
      <c r="C111" s="9" t="inlineStr"/>
      <c r="D111" s="9" t="inlineStr">
        <is>
          <t>05</t>
        </is>
      </c>
    </row>
    <row r="112">
      <c r="A112" s="9" t="inlineStr">
        <is>
          <t>end28</t>
        </is>
      </c>
      <c r="B112" s="62">
        <f>'05_Reflux_Scenarios'!$B$56</f>
        <v>3215.27272727274</v>
      </c>
      <c r="C112" s="9" t="inlineStr"/>
      <c r="D112" s="9" t="inlineStr">
        <is>
          <t>05</t>
        </is>
      </c>
    </row>
    <row r="113">
      <c r="A113" s="9" t="inlineStr">
        <is>
          <t>b_mar</t>
        </is>
      </c>
      <c r="B113" s="62">
        <f>'05_Reflux_Scenarios'!$B$57</f>
        <v>16.6736842105263</v>
      </c>
      <c r="C113" s="9" t="inlineStr"/>
      <c r="D113" s="9" t="inlineStr">
        <is>
          <t>05</t>
        </is>
      </c>
    </row>
    <row r="114">
      <c r="A114" s="9" t="inlineStr">
        <is>
          <t>b_rf</t>
        </is>
      </c>
      <c r="B114" s="62">
        <f>'05_Reflux_Scenarios'!$B$58</f>
        <v>22.0153110047847</v>
      </c>
      <c r="C114" s="9" t="inlineStr"/>
      <c r="D114" s="9" t="inlineStr">
        <is>
          <t>05</t>
        </is>
      </c>
    </row>
    <row r="115">
      <c r="A115" s="9" t="inlineStr">
        <is>
          <t>b_105</t>
        </is>
      </c>
      <c r="B115" s="62">
        <f>'05_Reflux_Scenarios'!$B$59</f>
        <v>23.4507177033493</v>
      </c>
      <c r="C115" s="9" t="inlineStr"/>
      <c r="D115" s="9" t="inlineStr">
        <is>
          <t>05</t>
        </is>
      </c>
    </row>
    <row r="117">
      <c r="A117" s="35" t="inlineStr">
        <is>
          <t>2. 생산능력 비교 (03 시트 7절)</t>
        </is>
      </c>
    </row>
    <row r="118" ht="30" customHeight="1">
      <c r="A118" s="11" t="inlineStr">
        <is>
          <t>구분</t>
        </is>
      </c>
      <c r="B118" s="11" t="inlineStr">
        <is>
          <t>간격 (h)</t>
        </is>
      </c>
      <c r="C118" s="11" t="inlineStr">
        <is>
          <t>월 Batch</t>
        </is>
      </c>
      <c r="D118" s="11" t="inlineStr">
        <is>
          <t>월 생산 kg</t>
        </is>
      </c>
      <c r="E118" s="11" t="inlineStr">
        <is>
          <t>연 환산 t</t>
        </is>
      </c>
      <c r="F118" s="11" t="inlineStr">
        <is>
          <t>26.2 대비</t>
        </is>
      </c>
    </row>
    <row r="119">
      <c r="A119" s="20" t="str">
        <f>'03_Capacity_Model'!A76</f>
        <v>① 이론 (정제 45 h만)</v>
      </c>
      <c r="B119" s="28">
        <f>'03_Capacity_Model'!B76</f>
        <v>45</v>
      </c>
      <c r="C119" s="28">
        <f>'03_Capacity_Model'!C76</f>
        <v>16</v>
      </c>
      <c r="D119" s="22">
        <f>'03_Capacity_Model'!D76</f>
        <v>3040</v>
      </c>
      <c r="E119" s="28">
        <f>'03_Capacity_Model'!E76</f>
        <v>36.48</v>
      </c>
      <c r="F119" s="28">
        <f>'03_Capacity_Model'!F76</f>
        <v>10.28</v>
      </c>
    </row>
    <row r="120">
      <c r="A120" s="20" t="str">
        <f>'03_Capacity_Model'!A77</f>
        <v>② 과거 월 최대 11 Batch</v>
      </c>
      <c r="B120" s="28">
        <f>'03_Capacity_Model'!B77</f>
        <v>65.4545454545455</v>
      </c>
      <c r="C120" s="28">
        <f>'03_Capacity_Model'!C77</f>
        <v>11</v>
      </c>
      <c r="D120" s="22">
        <f>'03_Capacity_Model'!D77</f>
        <v>2090</v>
      </c>
      <c r="E120" s="28">
        <f>'03_Capacity_Model'!E77</f>
        <v>25.08</v>
      </c>
      <c r="F120" s="28">
        <f>'03_Capacity_Model'!F77</f>
        <v>-1.12</v>
      </c>
    </row>
    <row r="121">
      <c r="A121" s="20" t="str">
        <f>'03_Capacity_Model'!A78</f>
        <v>③ 과거 일정 관측 추정</v>
      </c>
      <c r="B121" s="28">
        <f>'03_Capacity_Model'!B78</f>
        <v>67.4716981132076</v>
      </c>
      <c r="C121" s="28">
        <f>'03_Capacity_Model'!C78</f>
        <v>10.6711409395973</v>
      </c>
      <c r="D121" s="22">
        <f>'03_Capacity_Model'!D78</f>
        <v>2027.51677852349</v>
      </c>
      <c r="E121" s="28">
        <f>'03_Capacity_Model'!E78</f>
        <v>24.51</v>
      </c>
      <c r="F121" s="28">
        <f>'03_Capacity_Model'!F78</f>
        <v>-1.69</v>
      </c>
    </row>
    <row r="122">
      <c r="A122" s="20" t="str">
        <f>'03_Capacity_Model'!A79</f>
        <v>현재 Capa. 26.2톤 환산</v>
      </c>
      <c r="B122" s="28">
        <f>'03_Capacity_Model'!B79</f>
        <v>63.5267175572519</v>
      </c>
      <c r="C122" s="28">
        <f>'03_Capacity_Model'!C79</f>
        <v>11.3338139870224</v>
      </c>
      <c r="D122" s="22">
        <f>'03_Capacity_Model'!D79</f>
        <v>2153.42465753425</v>
      </c>
      <c r="E122" s="28">
        <f>'03_Capacity_Model'!E79</f>
        <v>26.2</v>
      </c>
      <c r="F122" s="28">
        <f>'03_Capacity_Model'!F79</f>
        <v>0</v>
      </c>
    </row>
    <row r="129">
      <c r="A129" s="35" t="inlineStr">
        <is>
          <t>3. 36개월 출하 · 참고 Capa. · 생산 가능량 (kg)</t>
        </is>
      </c>
    </row>
    <row r="130" ht="30" customHeight="1">
      <c r="A130" s="11" t="inlineStr">
        <is>
          <t>연월</t>
        </is>
      </c>
      <c r="B130" s="11" t="inlineStr">
        <is>
          <t>운전 조건</t>
        </is>
      </c>
      <c r="C130" s="11" t="inlineStr">
        <is>
          <t>하이닉스</t>
        </is>
      </c>
      <c r="D130" s="11" t="inlineStr">
        <is>
          <t>CXMT</t>
        </is>
      </c>
      <c r="E130" s="11" t="inlineStr">
        <is>
          <t>이지켐</t>
        </is>
      </c>
      <c r="F130" s="11" t="inlineStr">
        <is>
          <t>한솔</t>
        </is>
      </c>
      <c r="G130" s="11" t="inlineStr">
        <is>
          <t>출하 합계</t>
        </is>
      </c>
      <c r="H130" s="11" t="inlineStr">
        <is>
          <t>Capa. 기준 월</t>
        </is>
      </c>
      <c r="I130" s="11" t="inlineStr">
        <is>
          <t>Capa. 기준−출하</t>
        </is>
      </c>
      <c r="J130" s="11" t="inlineStr">
        <is>
          <t>생산 가능 Batch</t>
        </is>
      </c>
      <c r="K130" s="11" t="inlineStr">
        <is>
          <t>양품 생산 가능량</t>
        </is>
      </c>
      <c r="L130" s="11" t="inlineStr">
        <is>
          <t>5 Gal 충진 h</t>
        </is>
      </c>
      <c r="M130" s="11" t="inlineStr">
        <is>
          <t>200 L 용기</t>
        </is>
      </c>
      <c r="N130" s="11" t="inlineStr">
        <is>
          <t>계산 상태</t>
        </is>
      </c>
    </row>
    <row r="131">
      <c r="A131" s="63">
        <f>'04_Monthly_2026_2028'!A6</f>
        <v>46023.0</v>
      </c>
      <c r="B131" s="20" t="str">
        <f>'04_Monthly_2026_2028'!D6</f>
        <v>현재 (1대)</v>
      </c>
      <c r="C131" s="31">
        <f>'04_Monthly_2026_2028'!U6</f>
        <v>1600</v>
      </c>
      <c r="D131" s="31" t="str">
        <f>'04_Monthly_2026_2028'!V6</f>
        <v>미제시</v>
      </c>
      <c r="E131" s="31">
        <f>'04_Monthly_2026_2028'!W6</f>
        <v>0</v>
      </c>
      <c r="F131" s="31" t="str">
        <f>'04_Monthly_2026_2028'!X6</f>
        <v>미제시</v>
      </c>
      <c r="G131" s="31">
        <f>'04_Monthly_2026_2028'!Y6</f>
        <v>1600</v>
      </c>
      <c r="H131" s="31">
        <f>'04_Monthly_2026_2028'!T6</f>
        <v>2183.33333333333</v>
      </c>
      <c r="I131" s="31">
        <f>'04_Monthly_2026_2028'!AO6</f>
        <v>583.333333333334</v>
      </c>
      <c r="J131" s="19">
        <f>'04_Monthly_2026_2028'!O6</f>
        <v>11</v>
      </c>
      <c r="K131" s="22">
        <f>'04_Monthly_2026_2028'!S6</f>
        <v>2090</v>
      </c>
      <c r="L131" s="16">
        <f>'04_Monthly_2026_2028'!AB6</f>
        <v>160</v>
      </c>
      <c r="M131" s="59">
        <f>'04_Monthly_2026_2028'!AD6+'04_Monthly_2026_2028'!AE6</f>
        <v>0</v>
      </c>
      <c r="N131" s="20" t="str">
        <f>'04_Monthly_2026_2028'!BD6</f>
        <v>부분 (재고 입력 필요)</v>
      </c>
    </row>
    <row r="132">
      <c r="A132" s="63">
        <f>'04_Monthly_2026_2028'!A7</f>
        <v>46054.0</v>
      </c>
      <c r="B132" s="20" t="str">
        <f>'04_Monthly_2026_2028'!D7</f>
        <v>현재 (1대)</v>
      </c>
      <c r="C132" s="31">
        <f>'04_Monthly_2026_2028'!U7</f>
        <v>1420</v>
      </c>
      <c r="D132" s="31" t="str">
        <f>'04_Monthly_2026_2028'!V7</f>
        <v>미제시</v>
      </c>
      <c r="E132" s="31">
        <f>'04_Monthly_2026_2028'!W7</f>
        <v>0</v>
      </c>
      <c r="F132" s="31" t="str">
        <f>'04_Monthly_2026_2028'!X7</f>
        <v>미제시</v>
      </c>
      <c r="G132" s="31">
        <f>'04_Monthly_2026_2028'!Y7</f>
        <v>1420</v>
      </c>
      <c r="H132" s="31">
        <f>'04_Monthly_2026_2028'!T7</f>
        <v>2183.33333333333</v>
      </c>
      <c r="I132" s="31">
        <f>'04_Monthly_2026_2028'!AO7</f>
        <v>763.333333333334</v>
      </c>
      <c r="J132" s="19">
        <f>'04_Monthly_2026_2028'!O7</f>
        <v>9</v>
      </c>
      <c r="K132" s="22">
        <f>'04_Monthly_2026_2028'!S7</f>
        <v>1710</v>
      </c>
      <c r="L132" s="16">
        <f>'04_Monthly_2026_2028'!AB7</f>
        <v>142</v>
      </c>
      <c r="M132" s="59">
        <f>'04_Monthly_2026_2028'!AD7+'04_Monthly_2026_2028'!AE7</f>
        <v>0</v>
      </c>
      <c r="N132" s="20" t="str">
        <f>'04_Monthly_2026_2028'!BD7</f>
        <v>부분 (재고 입력 필요)</v>
      </c>
    </row>
    <row r="133">
      <c r="A133" s="63">
        <f>'04_Monthly_2026_2028'!A8</f>
        <v>46082.0</v>
      </c>
      <c r="B133" s="20" t="str">
        <f>'04_Monthly_2026_2028'!D8</f>
        <v>현재 (1대)</v>
      </c>
      <c r="C133" s="31">
        <f>'04_Monthly_2026_2028'!U8</f>
        <v>1440</v>
      </c>
      <c r="D133" s="31" t="str">
        <f>'04_Monthly_2026_2028'!V8</f>
        <v>미제시</v>
      </c>
      <c r="E133" s="31">
        <f>'04_Monthly_2026_2028'!W8</f>
        <v>0</v>
      </c>
      <c r="F133" s="31" t="str">
        <f>'04_Monthly_2026_2028'!X8</f>
        <v>미제시</v>
      </c>
      <c r="G133" s="31">
        <f>'04_Monthly_2026_2028'!Y8</f>
        <v>1440</v>
      </c>
      <c r="H133" s="31">
        <f>'04_Monthly_2026_2028'!T8</f>
        <v>2183.33333333333</v>
      </c>
      <c r="I133" s="31">
        <f>'04_Monthly_2026_2028'!AO8</f>
        <v>743.333333333334</v>
      </c>
      <c r="J133" s="19">
        <f>'04_Monthly_2026_2028'!O8</f>
        <v>12</v>
      </c>
      <c r="K133" s="22">
        <f>'04_Monthly_2026_2028'!S8</f>
        <v>2280</v>
      </c>
      <c r="L133" s="16">
        <f>'04_Monthly_2026_2028'!AB8</f>
        <v>144</v>
      </c>
      <c r="M133" s="59">
        <f>'04_Monthly_2026_2028'!AD8+'04_Monthly_2026_2028'!AE8</f>
        <v>0</v>
      </c>
      <c r="N133" s="20" t="str">
        <f>'04_Monthly_2026_2028'!BD8</f>
        <v>부분 (재고 입력 필요)</v>
      </c>
    </row>
    <row r="134">
      <c r="A134" s="63">
        <f>'04_Monthly_2026_2028'!A9</f>
        <v>46113.0</v>
      </c>
      <c r="B134" s="20" t="str">
        <f>'04_Monthly_2026_2028'!D9</f>
        <v>현재 (1대)</v>
      </c>
      <c r="C134" s="31">
        <f>'04_Monthly_2026_2028'!U9</f>
        <v>1580</v>
      </c>
      <c r="D134" s="31" t="str">
        <f>'04_Monthly_2026_2028'!V9</f>
        <v>미제시</v>
      </c>
      <c r="E134" s="31">
        <f>'04_Monthly_2026_2028'!W9</f>
        <v>0</v>
      </c>
      <c r="F134" s="31" t="str">
        <f>'04_Monthly_2026_2028'!X9</f>
        <v>미제시</v>
      </c>
      <c r="G134" s="31">
        <f>'04_Monthly_2026_2028'!Y9</f>
        <v>1580</v>
      </c>
      <c r="H134" s="31">
        <f>'04_Monthly_2026_2028'!T9</f>
        <v>2183.33333333333</v>
      </c>
      <c r="I134" s="31">
        <f>'04_Monthly_2026_2028'!AO9</f>
        <v>603.333333333334</v>
      </c>
      <c r="J134" s="19">
        <f>'04_Monthly_2026_2028'!O9</f>
        <v>10</v>
      </c>
      <c r="K134" s="22">
        <f>'04_Monthly_2026_2028'!S9</f>
        <v>1900</v>
      </c>
      <c r="L134" s="16">
        <f>'04_Monthly_2026_2028'!AB9</f>
        <v>158</v>
      </c>
      <c r="M134" s="59">
        <f>'04_Monthly_2026_2028'!AD9+'04_Monthly_2026_2028'!AE9</f>
        <v>0</v>
      </c>
      <c r="N134" s="20" t="str">
        <f>'04_Monthly_2026_2028'!BD9</f>
        <v>부분 (재고 입력 필요)</v>
      </c>
    </row>
    <row r="135">
      <c r="A135" s="63">
        <f>'04_Monthly_2026_2028'!A10</f>
        <v>46143.0</v>
      </c>
      <c r="B135" s="20" t="str">
        <f>'04_Monthly_2026_2028'!D10</f>
        <v>현재 (1대)</v>
      </c>
      <c r="C135" s="31">
        <f>'04_Monthly_2026_2028'!U10</f>
        <v>1200</v>
      </c>
      <c r="D135" s="31" t="str">
        <f>'04_Monthly_2026_2028'!V10</f>
        <v>미제시</v>
      </c>
      <c r="E135" s="31">
        <f>'04_Monthly_2026_2028'!W10</f>
        <v>0</v>
      </c>
      <c r="F135" s="31" t="str">
        <f>'04_Monthly_2026_2028'!X10</f>
        <v>미제시</v>
      </c>
      <c r="G135" s="31">
        <f>'04_Monthly_2026_2028'!Y10</f>
        <v>1200</v>
      </c>
      <c r="H135" s="31">
        <f>'04_Monthly_2026_2028'!T10</f>
        <v>2183.33333333333</v>
      </c>
      <c r="I135" s="31">
        <f>'04_Monthly_2026_2028'!AO10</f>
        <v>983.333333333334</v>
      </c>
      <c r="J135" s="19">
        <f>'04_Monthly_2026_2028'!O10</f>
        <v>11</v>
      </c>
      <c r="K135" s="22">
        <f>'04_Monthly_2026_2028'!S10</f>
        <v>2090</v>
      </c>
      <c r="L135" s="16">
        <f>'04_Monthly_2026_2028'!AB10</f>
        <v>120</v>
      </c>
      <c r="M135" s="59">
        <f>'04_Monthly_2026_2028'!AD10+'04_Monthly_2026_2028'!AE10</f>
        <v>0</v>
      </c>
      <c r="N135" s="20" t="str">
        <f>'04_Monthly_2026_2028'!BD10</f>
        <v>부분 (재고 입력 필요)</v>
      </c>
    </row>
    <row r="136">
      <c r="A136" s="63">
        <f>'04_Monthly_2026_2028'!A11</f>
        <v>46174.0</v>
      </c>
      <c r="B136" s="20" t="str">
        <f>'04_Monthly_2026_2028'!D11</f>
        <v>현재 (1대)</v>
      </c>
      <c r="C136" s="31">
        <f>'04_Monthly_2026_2028'!U11</f>
        <v>1200</v>
      </c>
      <c r="D136" s="31" t="str">
        <f>'04_Monthly_2026_2028'!V11</f>
        <v>미제시</v>
      </c>
      <c r="E136" s="31">
        <f>'04_Monthly_2026_2028'!W11</f>
        <v>0</v>
      </c>
      <c r="F136" s="31" t="str">
        <f>'04_Monthly_2026_2028'!X11</f>
        <v>미제시</v>
      </c>
      <c r="G136" s="31">
        <f>'04_Monthly_2026_2028'!Y11</f>
        <v>1200</v>
      </c>
      <c r="H136" s="31">
        <f>'04_Monthly_2026_2028'!T11</f>
        <v>2183.33333333333</v>
      </c>
      <c r="I136" s="31">
        <f>'04_Monthly_2026_2028'!AO11</f>
        <v>983.333333333334</v>
      </c>
      <c r="J136" s="19">
        <f>'04_Monthly_2026_2028'!O11</f>
        <v>11</v>
      </c>
      <c r="K136" s="22">
        <f>'04_Monthly_2026_2028'!S11</f>
        <v>2090</v>
      </c>
      <c r="L136" s="16">
        <f>'04_Monthly_2026_2028'!AB11</f>
        <v>120</v>
      </c>
      <c r="M136" s="59">
        <f>'04_Monthly_2026_2028'!AD11+'04_Monthly_2026_2028'!AE11</f>
        <v>0</v>
      </c>
      <c r="N136" s="20" t="str">
        <f>'04_Monthly_2026_2028'!BD11</f>
        <v>부분 (재고 입력 필요)</v>
      </c>
    </row>
    <row r="137">
      <c r="A137" s="63">
        <f>'04_Monthly_2026_2028'!A12</f>
        <v>46204.0</v>
      </c>
      <c r="B137" s="20" t="str">
        <f>'04_Monthly_2026_2028'!D12</f>
        <v>현재 (1대)</v>
      </c>
      <c r="C137" s="31">
        <f>'04_Monthly_2026_2028'!U12</f>
        <v>1360</v>
      </c>
      <c r="D137" s="31" t="str">
        <f>'04_Monthly_2026_2028'!V12</f>
        <v>미제시</v>
      </c>
      <c r="E137" s="31">
        <f>'04_Monthly_2026_2028'!W12</f>
        <v>0</v>
      </c>
      <c r="F137" s="31" t="str">
        <f>'04_Monthly_2026_2028'!X12</f>
        <v>미제시</v>
      </c>
      <c r="G137" s="31">
        <f>'04_Monthly_2026_2028'!Y12</f>
        <v>1360</v>
      </c>
      <c r="H137" s="31">
        <f>'04_Monthly_2026_2028'!T12</f>
        <v>2183.33333333333</v>
      </c>
      <c r="I137" s="31">
        <f>'04_Monthly_2026_2028'!AO12</f>
        <v>823.333333333334</v>
      </c>
      <c r="J137" s="19">
        <f>'04_Monthly_2026_2028'!O12</f>
        <v>11</v>
      </c>
      <c r="K137" s="22">
        <f>'04_Monthly_2026_2028'!S12</f>
        <v>2090</v>
      </c>
      <c r="L137" s="16">
        <f>'04_Monthly_2026_2028'!AB12</f>
        <v>136</v>
      </c>
      <c r="M137" s="59">
        <f>'04_Monthly_2026_2028'!AD12+'04_Monthly_2026_2028'!AE12</f>
        <v>0</v>
      </c>
      <c r="N137" s="20" t="str">
        <f>'04_Monthly_2026_2028'!BD12</f>
        <v>부분 (재고 입력 필요)</v>
      </c>
    </row>
    <row r="138">
      <c r="A138" s="63">
        <f>'04_Monthly_2026_2028'!A13</f>
        <v>46235.0</v>
      </c>
      <c r="B138" s="20" t="str">
        <f>'04_Monthly_2026_2028'!D13</f>
        <v>현재 (1대)</v>
      </c>
      <c r="C138" s="31">
        <f>'04_Monthly_2026_2028'!U13</f>
        <v>1420</v>
      </c>
      <c r="D138" s="31" t="str">
        <f>'04_Monthly_2026_2028'!V13</f>
        <v>미제시</v>
      </c>
      <c r="E138" s="31">
        <f>'04_Monthly_2026_2028'!W13</f>
        <v>0</v>
      </c>
      <c r="F138" s="31" t="str">
        <f>'04_Monthly_2026_2028'!X13</f>
        <v>미제시</v>
      </c>
      <c r="G138" s="31">
        <f>'04_Monthly_2026_2028'!Y13</f>
        <v>1420</v>
      </c>
      <c r="H138" s="31">
        <f>'04_Monthly_2026_2028'!T13</f>
        <v>2183.33333333333</v>
      </c>
      <c r="I138" s="31">
        <f>'04_Monthly_2026_2028'!AO13</f>
        <v>763.333333333334</v>
      </c>
      <c r="J138" s="19">
        <f>'04_Monthly_2026_2028'!O13</f>
        <v>11</v>
      </c>
      <c r="K138" s="22">
        <f>'04_Monthly_2026_2028'!S13</f>
        <v>2090</v>
      </c>
      <c r="L138" s="16">
        <f>'04_Monthly_2026_2028'!AB13</f>
        <v>142</v>
      </c>
      <c r="M138" s="59">
        <f>'04_Monthly_2026_2028'!AD13+'04_Monthly_2026_2028'!AE13</f>
        <v>0</v>
      </c>
      <c r="N138" s="20" t="str">
        <f>'04_Monthly_2026_2028'!BD13</f>
        <v>부분 (재고 입력 필요)</v>
      </c>
    </row>
    <row r="139">
      <c r="A139" s="63">
        <f>'04_Monthly_2026_2028'!A14</f>
        <v>46266.0</v>
      </c>
      <c r="B139" s="20" t="str">
        <f>'04_Monthly_2026_2028'!D14</f>
        <v>현재 (1대)</v>
      </c>
      <c r="C139" s="31">
        <f>'04_Monthly_2026_2028'!U14</f>
        <v>1380</v>
      </c>
      <c r="D139" s="31" t="str">
        <f>'04_Monthly_2026_2028'!V14</f>
        <v>미제시</v>
      </c>
      <c r="E139" s="31">
        <f>'04_Monthly_2026_2028'!W14</f>
        <v>560</v>
      </c>
      <c r="F139" s="31" t="str">
        <f>'04_Monthly_2026_2028'!X14</f>
        <v>미제시</v>
      </c>
      <c r="G139" s="31">
        <f>'04_Monthly_2026_2028'!Y14</f>
        <v>1940</v>
      </c>
      <c r="H139" s="31">
        <f>'04_Monthly_2026_2028'!T14</f>
        <v>2183.33333333333</v>
      </c>
      <c r="I139" s="31">
        <f>'04_Monthly_2026_2028'!AO14</f>
        <v>243.333333333333</v>
      </c>
      <c r="J139" s="19">
        <f>'04_Monthly_2026_2028'!O14</f>
        <v>11</v>
      </c>
      <c r="K139" s="22">
        <f>'04_Monthly_2026_2028'!S14</f>
        <v>2090</v>
      </c>
      <c r="L139" s="16">
        <f>'04_Monthly_2026_2028'!AB14</f>
        <v>138</v>
      </c>
      <c r="M139" s="59">
        <f>'04_Monthly_2026_2028'!AD14+'04_Monthly_2026_2028'!AE14</f>
        <v>4</v>
      </c>
      <c r="N139" s="20" t="str">
        <f>'04_Monthly_2026_2028'!BD14</f>
        <v>부분 (재고 입력 필요)</v>
      </c>
    </row>
    <row r="140">
      <c r="A140" s="63">
        <f>'04_Monthly_2026_2028'!A15</f>
        <v>46296.0</v>
      </c>
      <c r="B140" s="20" t="str">
        <f>'04_Monthly_2026_2028'!D15</f>
        <v>현재 (1대)</v>
      </c>
      <c r="C140" s="31">
        <f>'04_Monthly_2026_2028'!U15</f>
        <v>1480</v>
      </c>
      <c r="D140" s="31" t="str">
        <f>'04_Monthly_2026_2028'!V15</f>
        <v>미제시</v>
      </c>
      <c r="E140" s="31">
        <f>'04_Monthly_2026_2028'!W15</f>
        <v>560</v>
      </c>
      <c r="F140" s="31" t="str">
        <f>'04_Monthly_2026_2028'!X15</f>
        <v>미제시</v>
      </c>
      <c r="G140" s="31">
        <f>'04_Monthly_2026_2028'!Y15</f>
        <v>2040</v>
      </c>
      <c r="H140" s="31">
        <f>'04_Monthly_2026_2028'!T15</f>
        <v>2183.33333333333</v>
      </c>
      <c r="I140" s="31">
        <f>'04_Monthly_2026_2028'!AO15</f>
        <v>143.333333333333</v>
      </c>
      <c r="J140" s="19">
        <f>'04_Monthly_2026_2028'!O15</f>
        <v>11</v>
      </c>
      <c r="K140" s="22">
        <f>'04_Monthly_2026_2028'!S15</f>
        <v>2090</v>
      </c>
      <c r="L140" s="16">
        <f>'04_Monthly_2026_2028'!AB15</f>
        <v>148</v>
      </c>
      <c r="M140" s="59">
        <f>'04_Monthly_2026_2028'!AD15+'04_Monthly_2026_2028'!AE15</f>
        <v>4</v>
      </c>
      <c r="N140" s="20" t="str">
        <f>'04_Monthly_2026_2028'!BD15</f>
        <v>부분 (재고 입력 필요)</v>
      </c>
    </row>
    <row r="141">
      <c r="A141" s="63">
        <f>'04_Monthly_2026_2028'!A16</f>
        <v>46327.0</v>
      </c>
      <c r="B141" s="20" t="str">
        <f>'04_Monthly_2026_2028'!D16</f>
        <v>현재 (1대)</v>
      </c>
      <c r="C141" s="31">
        <f>'04_Monthly_2026_2028'!U16</f>
        <v>1480</v>
      </c>
      <c r="D141" s="31" t="str">
        <f>'04_Monthly_2026_2028'!V16</f>
        <v>미제시</v>
      </c>
      <c r="E141" s="31">
        <f>'04_Monthly_2026_2028'!W16</f>
        <v>560</v>
      </c>
      <c r="F141" s="31" t="str">
        <f>'04_Monthly_2026_2028'!X16</f>
        <v>미제시</v>
      </c>
      <c r="G141" s="31">
        <f>'04_Monthly_2026_2028'!Y16</f>
        <v>2040</v>
      </c>
      <c r="H141" s="31">
        <f>'04_Monthly_2026_2028'!T16</f>
        <v>2183.33333333333</v>
      </c>
      <c r="I141" s="31">
        <f>'04_Monthly_2026_2028'!AO16</f>
        <v>143.333333333333</v>
      </c>
      <c r="J141" s="19">
        <f>'04_Monthly_2026_2028'!O16</f>
        <v>10</v>
      </c>
      <c r="K141" s="22">
        <f>'04_Monthly_2026_2028'!S16</f>
        <v>1900</v>
      </c>
      <c r="L141" s="16">
        <f>'04_Monthly_2026_2028'!AB16</f>
        <v>148</v>
      </c>
      <c r="M141" s="59">
        <f>'04_Monthly_2026_2028'!AD16+'04_Monthly_2026_2028'!AE16</f>
        <v>4</v>
      </c>
      <c r="N141" s="20" t="str">
        <f>'04_Monthly_2026_2028'!BD16</f>
        <v>부분 (재고 입력 필요)</v>
      </c>
    </row>
    <row r="142">
      <c r="A142" s="63">
        <f>'04_Monthly_2026_2028'!A17</f>
        <v>46357.0</v>
      </c>
      <c r="B142" s="20" t="str">
        <f>'04_Monthly_2026_2028'!D17</f>
        <v>현재 (1대)</v>
      </c>
      <c r="C142" s="31">
        <f>'04_Monthly_2026_2028'!U17</f>
        <v>1420</v>
      </c>
      <c r="D142" s="31" t="str">
        <f>'04_Monthly_2026_2028'!V17</f>
        <v>미제시</v>
      </c>
      <c r="E142" s="31">
        <f>'04_Monthly_2026_2028'!W17</f>
        <v>560</v>
      </c>
      <c r="F142" s="31" t="str">
        <f>'04_Monthly_2026_2028'!X17</f>
        <v>미제시</v>
      </c>
      <c r="G142" s="31">
        <f>'04_Monthly_2026_2028'!Y17</f>
        <v>1980</v>
      </c>
      <c r="H142" s="31">
        <f>'04_Monthly_2026_2028'!T17</f>
        <v>2183.33333333333</v>
      </c>
      <c r="I142" s="31">
        <f>'04_Monthly_2026_2028'!AO17</f>
        <v>203.333333333333</v>
      </c>
      <c r="J142" s="19">
        <f>'04_Monthly_2026_2028'!O17</f>
        <v>11</v>
      </c>
      <c r="K142" s="22">
        <f>'04_Monthly_2026_2028'!S17</f>
        <v>2090</v>
      </c>
      <c r="L142" s="16">
        <f>'04_Monthly_2026_2028'!AB17</f>
        <v>142</v>
      </c>
      <c r="M142" s="59">
        <f>'04_Monthly_2026_2028'!AD17+'04_Monthly_2026_2028'!AE17</f>
        <v>4</v>
      </c>
      <c r="N142" s="20" t="str">
        <f>'04_Monthly_2026_2028'!BD17</f>
        <v>부분 (재고 입력 필요)</v>
      </c>
    </row>
    <row r="143">
      <c r="A143" s="63">
        <f>'04_Monthly_2026_2028'!A18</f>
        <v>46388.0</v>
      </c>
      <c r="B143" s="20" t="str">
        <f>'04_Monthly_2026_2028'!D18</f>
        <v>현재 (1대)</v>
      </c>
      <c r="C143" s="31">
        <f>'04_Monthly_2026_2028'!U18</f>
        <v>1893.33333333333</v>
      </c>
      <c r="D143" s="31">
        <f>'04_Monthly_2026_2028'!V18</f>
        <v>0</v>
      </c>
      <c r="E143" s="31">
        <f>'04_Monthly_2026_2028'!W18</f>
        <v>560</v>
      </c>
      <c r="F143" s="31">
        <f>'04_Monthly_2026_2028'!X18</f>
        <v>300</v>
      </c>
      <c r="G143" s="31">
        <f>'04_Monthly_2026_2028'!Y18</f>
        <v>2753.33333333333</v>
      </c>
      <c r="H143" s="31">
        <f>'04_Monthly_2026_2028'!T18</f>
        <v>2183.33333333333</v>
      </c>
      <c r="I143" s="31">
        <f>'04_Monthly_2026_2028'!AO18</f>
        <v>-570</v>
      </c>
      <c r="J143" s="19">
        <f>'04_Monthly_2026_2028'!O18</f>
        <v>11.4631578947368</v>
      </c>
      <c r="K143" s="22">
        <f>'04_Monthly_2026_2028'!S18</f>
        <v>2178</v>
      </c>
      <c r="L143" s="16">
        <f>'04_Monthly_2026_2028'!AB18</f>
        <v>189.333333333333</v>
      </c>
      <c r="M143" s="59">
        <f>'04_Monthly_2026_2028'!AD18+'04_Monthly_2026_2028'!AE18</f>
        <v>6</v>
      </c>
      <c r="N143" s="20" t="str">
        <f>'04_Monthly_2026_2028'!BD18</f>
        <v>부분 (재고 입력 필요)</v>
      </c>
    </row>
    <row r="144">
      <c r="A144" s="63">
        <f>'04_Monthly_2026_2028'!A19</f>
        <v>46419.0</v>
      </c>
      <c r="B144" s="20" t="str">
        <f>'04_Monthly_2026_2028'!D19</f>
        <v>현재 (1대)</v>
      </c>
      <c r="C144" s="31">
        <f>'04_Monthly_2026_2028'!U19</f>
        <v>1893.33333333333</v>
      </c>
      <c r="D144" s="31">
        <f>'04_Monthly_2026_2028'!V19</f>
        <v>0</v>
      </c>
      <c r="E144" s="31">
        <f>'04_Monthly_2026_2028'!W19</f>
        <v>560</v>
      </c>
      <c r="F144" s="31">
        <f>'04_Monthly_2026_2028'!X19</f>
        <v>300</v>
      </c>
      <c r="G144" s="31">
        <f>'04_Monthly_2026_2028'!Y19</f>
        <v>2753.33333333333</v>
      </c>
      <c r="H144" s="31">
        <f>'04_Monthly_2026_2028'!T19</f>
        <v>2183.33333333333</v>
      </c>
      <c r="I144" s="31">
        <f>'04_Monthly_2026_2028'!AO19</f>
        <v>-570</v>
      </c>
      <c r="J144" s="19">
        <f>'04_Monthly_2026_2028'!O19</f>
        <v>11.4631578947368</v>
      </c>
      <c r="K144" s="22">
        <f>'04_Monthly_2026_2028'!S19</f>
        <v>2178</v>
      </c>
      <c r="L144" s="16">
        <f>'04_Monthly_2026_2028'!AB19</f>
        <v>189.333333333333</v>
      </c>
      <c r="M144" s="59">
        <f>'04_Monthly_2026_2028'!AD19+'04_Monthly_2026_2028'!AE19</f>
        <v>6</v>
      </c>
      <c r="N144" s="20" t="str">
        <f>'04_Monthly_2026_2028'!BD19</f>
        <v>부분 (재고 입력 필요)</v>
      </c>
    </row>
    <row r="145">
      <c r="A145" s="63">
        <f>'04_Monthly_2026_2028'!A20</f>
        <v>46447.0</v>
      </c>
      <c r="B145" s="20" t="str">
        <f>'04_Monthly_2026_2028'!D20</f>
        <v>현재 (1대)</v>
      </c>
      <c r="C145" s="31">
        <f>'04_Monthly_2026_2028'!U20</f>
        <v>1893.33333333333</v>
      </c>
      <c r="D145" s="31">
        <f>'04_Monthly_2026_2028'!V20</f>
        <v>580</v>
      </c>
      <c r="E145" s="31">
        <f>'04_Monthly_2026_2028'!W20</f>
        <v>560</v>
      </c>
      <c r="F145" s="31">
        <f>'04_Monthly_2026_2028'!X20</f>
        <v>300</v>
      </c>
      <c r="G145" s="31">
        <f>'04_Monthly_2026_2028'!Y20</f>
        <v>3333.33333333333</v>
      </c>
      <c r="H145" s="31">
        <f>'04_Monthly_2026_2028'!T20</f>
        <v>2183.33333333333</v>
      </c>
      <c r="I145" s="31">
        <f>'04_Monthly_2026_2028'!AO20</f>
        <v>-1150</v>
      </c>
      <c r="J145" s="19">
        <f>'04_Monthly_2026_2028'!O20</f>
        <v>16.6736842105263</v>
      </c>
      <c r="K145" s="22">
        <f>'04_Monthly_2026_2028'!S20</f>
        <v>3168</v>
      </c>
      <c r="L145" s="16">
        <f>'04_Monthly_2026_2028'!AB20</f>
        <v>247.333333333333</v>
      </c>
      <c r="M145" s="59">
        <f>'04_Monthly_2026_2028'!AD20+'04_Monthly_2026_2028'!AE20</f>
        <v>6</v>
      </c>
      <c r="N145" s="20" t="str">
        <f>'04_Monthly_2026_2028'!BD20</f>
        <v>부분 (재고 입력 필요)</v>
      </c>
    </row>
    <row r="146">
      <c r="A146" s="63">
        <f>'04_Monthly_2026_2028'!A21</f>
        <v>46478.0</v>
      </c>
      <c r="B146" s="20" t="str">
        <f>'04_Monthly_2026_2028'!D21</f>
        <v>대정비</v>
      </c>
      <c r="C146" s="31">
        <f>'04_Monthly_2026_2028'!U21</f>
        <v>1893.33333333333</v>
      </c>
      <c r="D146" s="31">
        <f>'04_Monthly_2026_2028'!V21</f>
        <v>580</v>
      </c>
      <c r="E146" s="31">
        <f>'04_Monthly_2026_2028'!W21</f>
        <v>560</v>
      </c>
      <c r="F146" s="31">
        <f>'04_Monthly_2026_2028'!X21</f>
        <v>300</v>
      </c>
      <c r="G146" s="31">
        <f>'04_Monthly_2026_2028'!Y21</f>
        <v>3333.33333333333</v>
      </c>
      <c r="H146" s="31">
        <f>'04_Monthly_2026_2028'!T21</f>
        <v>1188</v>
      </c>
      <c r="I146" s="31">
        <f>'04_Monthly_2026_2028'!AO21</f>
        <v>-2145.33333333333</v>
      </c>
      <c r="J146" s="19">
        <f>'04_Monthly_2026_2028'!O21</f>
        <v>6.25263157894737</v>
      </c>
      <c r="K146" s="22">
        <f>'04_Monthly_2026_2028'!S21</f>
        <v>1188</v>
      </c>
      <c r="L146" s="16">
        <f>'04_Monthly_2026_2028'!AB21</f>
        <v>247.333333333333</v>
      </c>
      <c r="M146" s="59">
        <f>'04_Monthly_2026_2028'!AD21+'04_Monthly_2026_2028'!AE21</f>
        <v>6</v>
      </c>
      <c r="N146" s="20" t="str">
        <f>'04_Monthly_2026_2028'!BD21</f>
        <v>부분 (재고 입력 필요)</v>
      </c>
    </row>
    <row r="147">
      <c r="A147" s="63">
        <f>'04_Monthly_2026_2028'!A22</f>
        <v>46508.0</v>
      </c>
      <c r="B147" s="20" t="str">
        <f>'04_Monthly_2026_2028'!D22</f>
        <v>개선 (2대)</v>
      </c>
      <c r="C147" s="31">
        <f>'04_Monthly_2026_2028'!U22</f>
        <v>1893.33333333333</v>
      </c>
      <c r="D147" s="31">
        <f>'04_Monthly_2026_2028'!V22</f>
        <v>580</v>
      </c>
      <c r="E147" s="31">
        <f>'04_Monthly_2026_2028'!W22</f>
        <v>560</v>
      </c>
      <c r="F147" s="31">
        <f>'04_Monthly_2026_2028'!X22</f>
        <v>300</v>
      </c>
      <c r="G147" s="31">
        <f>'04_Monthly_2026_2028'!Y22</f>
        <v>3333.33333333333</v>
      </c>
      <c r="H147" s="31">
        <f>'04_Monthly_2026_2028'!T22</f>
        <v>4182.90909090909</v>
      </c>
      <c r="I147" s="31">
        <f>'04_Monthly_2026_2028'!AO22</f>
        <v>849.575757575758</v>
      </c>
      <c r="J147" s="19">
        <f>'04_Monthly_2026_2028'!O22</f>
        <v>22.0153110047847</v>
      </c>
      <c r="K147" s="22">
        <f>'04_Monthly_2026_2028'!S22</f>
        <v>4182.90909090909</v>
      </c>
      <c r="L147" s="16">
        <f>'04_Monthly_2026_2028'!AB22</f>
        <v>247.333333333333</v>
      </c>
      <c r="M147" s="59">
        <f>'04_Monthly_2026_2028'!AD22+'04_Monthly_2026_2028'!AE22</f>
        <v>6</v>
      </c>
      <c r="N147" s="20" t="str">
        <f>'04_Monthly_2026_2028'!BD22</f>
        <v>부분 (재고 입력 필요)</v>
      </c>
    </row>
    <row r="148">
      <c r="A148" s="63">
        <f>'04_Monthly_2026_2028'!A23</f>
        <v>46539.0</v>
      </c>
      <c r="B148" s="20" t="str">
        <f>'04_Monthly_2026_2028'!D23</f>
        <v>개선 (2대)</v>
      </c>
      <c r="C148" s="31">
        <f>'04_Monthly_2026_2028'!U23</f>
        <v>1893.33333333333</v>
      </c>
      <c r="D148" s="31">
        <f>'04_Monthly_2026_2028'!V23</f>
        <v>580</v>
      </c>
      <c r="E148" s="31">
        <f>'04_Monthly_2026_2028'!W23</f>
        <v>560</v>
      </c>
      <c r="F148" s="31">
        <f>'04_Monthly_2026_2028'!X23</f>
        <v>300</v>
      </c>
      <c r="G148" s="31">
        <f>'04_Monthly_2026_2028'!Y23</f>
        <v>3333.33333333333</v>
      </c>
      <c r="H148" s="31">
        <f>'04_Monthly_2026_2028'!T23</f>
        <v>4182.90909090909</v>
      </c>
      <c r="I148" s="31">
        <f>'04_Monthly_2026_2028'!AO23</f>
        <v>849.575757575758</v>
      </c>
      <c r="J148" s="19">
        <f>'04_Monthly_2026_2028'!O23</f>
        <v>22.0153110047847</v>
      </c>
      <c r="K148" s="22">
        <f>'04_Monthly_2026_2028'!S23</f>
        <v>4182.90909090909</v>
      </c>
      <c r="L148" s="16">
        <f>'04_Monthly_2026_2028'!AB23</f>
        <v>247.333333333333</v>
      </c>
      <c r="M148" s="59">
        <f>'04_Monthly_2026_2028'!AD23+'04_Monthly_2026_2028'!AE23</f>
        <v>6</v>
      </c>
      <c r="N148" s="20" t="str">
        <f>'04_Monthly_2026_2028'!BD23</f>
        <v>부분 (재고 입력 필요)</v>
      </c>
    </row>
    <row r="149">
      <c r="A149" s="63">
        <f>'04_Monthly_2026_2028'!A24</f>
        <v>46569.0</v>
      </c>
      <c r="B149" s="20" t="str">
        <f>'04_Monthly_2026_2028'!D24</f>
        <v>개선 (2대)</v>
      </c>
      <c r="C149" s="31">
        <f>'04_Monthly_2026_2028'!U24</f>
        <v>1893.33333333333</v>
      </c>
      <c r="D149" s="31">
        <f>'04_Monthly_2026_2028'!V24</f>
        <v>780</v>
      </c>
      <c r="E149" s="31">
        <f>'04_Monthly_2026_2028'!W24</f>
        <v>1120</v>
      </c>
      <c r="F149" s="31">
        <f>'04_Monthly_2026_2028'!X24</f>
        <v>300</v>
      </c>
      <c r="G149" s="31">
        <f>'04_Monthly_2026_2028'!Y24</f>
        <v>4093.33333333333</v>
      </c>
      <c r="H149" s="31">
        <f>'04_Monthly_2026_2028'!T24</f>
        <v>4182.90909090909</v>
      </c>
      <c r="I149" s="31">
        <f>'04_Monthly_2026_2028'!AO24</f>
        <v>89.575757575758</v>
      </c>
      <c r="J149" s="19">
        <f>'04_Monthly_2026_2028'!O24</f>
        <v>22.0153110047847</v>
      </c>
      <c r="K149" s="22">
        <f>'04_Monthly_2026_2028'!S24</f>
        <v>4182.90909090909</v>
      </c>
      <c r="L149" s="16">
        <f>'04_Monthly_2026_2028'!AB24</f>
        <v>267.333333333333</v>
      </c>
      <c r="M149" s="59">
        <f>'04_Monthly_2026_2028'!AD24+'04_Monthly_2026_2028'!AE24</f>
        <v>10</v>
      </c>
      <c r="N149" s="20" t="str">
        <f>'04_Monthly_2026_2028'!BD24</f>
        <v>부분 (재고 입력 필요)</v>
      </c>
    </row>
    <row r="150">
      <c r="A150" s="63">
        <f>'04_Monthly_2026_2028'!A25</f>
        <v>46600.0</v>
      </c>
      <c r="B150" s="20" t="str">
        <f>'04_Monthly_2026_2028'!D25</f>
        <v>개선 (2대)</v>
      </c>
      <c r="C150" s="31">
        <f>'04_Monthly_2026_2028'!U25</f>
        <v>1893.33333333333</v>
      </c>
      <c r="D150" s="31">
        <f>'04_Monthly_2026_2028'!V25</f>
        <v>780</v>
      </c>
      <c r="E150" s="31">
        <f>'04_Monthly_2026_2028'!W25</f>
        <v>1120</v>
      </c>
      <c r="F150" s="31">
        <f>'04_Monthly_2026_2028'!X25</f>
        <v>300</v>
      </c>
      <c r="G150" s="31">
        <f>'04_Monthly_2026_2028'!Y25</f>
        <v>4093.33333333333</v>
      </c>
      <c r="H150" s="31">
        <f>'04_Monthly_2026_2028'!T25</f>
        <v>4182.90909090909</v>
      </c>
      <c r="I150" s="31">
        <f>'04_Monthly_2026_2028'!AO25</f>
        <v>89.575757575758</v>
      </c>
      <c r="J150" s="19">
        <f>'04_Monthly_2026_2028'!O25</f>
        <v>22.0153110047847</v>
      </c>
      <c r="K150" s="22">
        <f>'04_Monthly_2026_2028'!S25</f>
        <v>4182.90909090909</v>
      </c>
      <c r="L150" s="16">
        <f>'04_Monthly_2026_2028'!AB25</f>
        <v>267.333333333333</v>
      </c>
      <c r="M150" s="59">
        <f>'04_Monthly_2026_2028'!AD25+'04_Monthly_2026_2028'!AE25</f>
        <v>10</v>
      </c>
      <c r="N150" s="20" t="str">
        <f>'04_Monthly_2026_2028'!BD25</f>
        <v>부분 (재고 입력 필요)</v>
      </c>
    </row>
    <row r="151">
      <c r="A151" s="63">
        <f>'04_Monthly_2026_2028'!A26</f>
        <v>46631.0</v>
      </c>
      <c r="B151" s="20" t="str">
        <f>'04_Monthly_2026_2028'!D26</f>
        <v>개선 (2대)</v>
      </c>
      <c r="C151" s="31">
        <f>'04_Monthly_2026_2028'!U26</f>
        <v>1893.33333333333</v>
      </c>
      <c r="D151" s="31">
        <f>'04_Monthly_2026_2028'!V26</f>
        <v>780</v>
      </c>
      <c r="E151" s="31">
        <f>'04_Monthly_2026_2028'!W26</f>
        <v>1120</v>
      </c>
      <c r="F151" s="31">
        <f>'04_Monthly_2026_2028'!X26</f>
        <v>300</v>
      </c>
      <c r="G151" s="31">
        <f>'04_Monthly_2026_2028'!Y26</f>
        <v>4093.33333333333</v>
      </c>
      <c r="H151" s="31">
        <f>'04_Monthly_2026_2028'!T26</f>
        <v>4182.90909090909</v>
      </c>
      <c r="I151" s="31">
        <f>'04_Monthly_2026_2028'!AO26</f>
        <v>89.575757575758</v>
      </c>
      <c r="J151" s="19">
        <f>'04_Monthly_2026_2028'!O26</f>
        <v>22.0153110047847</v>
      </c>
      <c r="K151" s="22">
        <f>'04_Monthly_2026_2028'!S26</f>
        <v>4182.90909090909</v>
      </c>
      <c r="L151" s="16">
        <f>'04_Monthly_2026_2028'!AB26</f>
        <v>267.333333333333</v>
      </c>
      <c r="M151" s="59">
        <f>'04_Monthly_2026_2028'!AD26+'04_Monthly_2026_2028'!AE26</f>
        <v>10</v>
      </c>
      <c r="N151" s="20" t="str">
        <f>'04_Monthly_2026_2028'!BD26</f>
        <v>부분 (재고 입력 필요)</v>
      </c>
    </row>
    <row r="152">
      <c r="A152" s="63">
        <f>'04_Monthly_2026_2028'!A27</f>
        <v>46661.0</v>
      </c>
      <c r="B152" s="20" t="str">
        <f>'04_Monthly_2026_2028'!D27</f>
        <v>개선 (2대)</v>
      </c>
      <c r="C152" s="31">
        <f>'04_Monthly_2026_2028'!U27</f>
        <v>1893.33333333333</v>
      </c>
      <c r="D152" s="31">
        <f>'04_Monthly_2026_2028'!V27</f>
        <v>780</v>
      </c>
      <c r="E152" s="31">
        <f>'04_Monthly_2026_2028'!W27</f>
        <v>1120</v>
      </c>
      <c r="F152" s="31">
        <f>'04_Monthly_2026_2028'!X27</f>
        <v>300</v>
      </c>
      <c r="G152" s="31">
        <f>'04_Monthly_2026_2028'!Y27</f>
        <v>4093.33333333333</v>
      </c>
      <c r="H152" s="31">
        <f>'04_Monthly_2026_2028'!T27</f>
        <v>4182.90909090909</v>
      </c>
      <c r="I152" s="31">
        <f>'04_Monthly_2026_2028'!AO27</f>
        <v>89.575757575758</v>
      </c>
      <c r="J152" s="19">
        <f>'04_Monthly_2026_2028'!O27</f>
        <v>22.0153110047847</v>
      </c>
      <c r="K152" s="22">
        <f>'04_Monthly_2026_2028'!S27</f>
        <v>4182.90909090909</v>
      </c>
      <c r="L152" s="16">
        <f>'04_Monthly_2026_2028'!AB27</f>
        <v>267.333333333333</v>
      </c>
      <c r="M152" s="59">
        <f>'04_Monthly_2026_2028'!AD27+'04_Monthly_2026_2028'!AE27</f>
        <v>10</v>
      </c>
      <c r="N152" s="20" t="str">
        <f>'04_Monthly_2026_2028'!BD27</f>
        <v>부분 (재고 입력 필요)</v>
      </c>
    </row>
    <row r="153">
      <c r="A153" s="63">
        <f>'04_Monthly_2026_2028'!A28</f>
        <v>46692.0</v>
      </c>
      <c r="B153" s="20" t="str">
        <f>'04_Monthly_2026_2028'!D28</f>
        <v>개선 (2대)</v>
      </c>
      <c r="C153" s="31">
        <f>'04_Monthly_2026_2028'!U28</f>
        <v>1893.33333333333</v>
      </c>
      <c r="D153" s="31">
        <f>'04_Monthly_2026_2028'!V28</f>
        <v>780</v>
      </c>
      <c r="E153" s="31">
        <f>'04_Monthly_2026_2028'!W28</f>
        <v>1120</v>
      </c>
      <c r="F153" s="31">
        <f>'04_Monthly_2026_2028'!X28</f>
        <v>300</v>
      </c>
      <c r="G153" s="31">
        <f>'04_Monthly_2026_2028'!Y28</f>
        <v>4093.33333333333</v>
      </c>
      <c r="H153" s="31">
        <f>'04_Monthly_2026_2028'!T28</f>
        <v>4182.90909090909</v>
      </c>
      <c r="I153" s="31">
        <f>'04_Monthly_2026_2028'!AO28</f>
        <v>89.575757575758</v>
      </c>
      <c r="J153" s="19">
        <f>'04_Monthly_2026_2028'!O28</f>
        <v>22.0153110047847</v>
      </c>
      <c r="K153" s="22">
        <f>'04_Monthly_2026_2028'!S28</f>
        <v>4182.90909090909</v>
      </c>
      <c r="L153" s="16">
        <f>'04_Monthly_2026_2028'!AB28</f>
        <v>267.333333333333</v>
      </c>
      <c r="M153" s="59">
        <f>'04_Monthly_2026_2028'!AD28+'04_Monthly_2026_2028'!AE28</f>
        <v>10</v>
      </c>
      <c r="N153" s="20" t="str">
        <f>'04_Monthly_2026_2028'!BD28</f>
        <v>부분 (재고 입력 필요)</v>
      </c>
    </row>
    <row r="154">
      <c r="A154" s="63">
        <f>'04_Monthly_2026_2028'!A29</f>
        <v>46722.0</v>
      </c>
      <c r="B154" s="20" t="str">
        <f>'04_Monthly_2026_2028'!D29</f>
        <v>개선 (2대)</v>
      </c>
      <c r="C154" s="31">
        <f>'04_Monthly_2026_2028'!U29</f>
        <v>1893.33333333333</v>
      </c>
      <c r="D154" s="31">
        <f>'04_Monthly_2026_2028'!V29</f>
        <v>780</v>
      </c>
      <c r="E154" s="31">
        <f>'04_Monthly_2026_2028'!W29</f>
        <v>1120</v>
      </c>
      <c r="F154" s="31">
        <f>'04_Monthly_2026_2028'!X29</f>
        <v>300</v>
      </c>
      <c r="G154" s="31">
        <f>'04_Monthly_2026_2028'!Y29</f>
        <v>4093.33333333333</v>
      </c>
      <c r="H154" s="31">
        <f>'04_Monthly_2026_2028'!T29</f>
        <v>4182.90909090909</v>
      </c>
      <c r="I154" s="31">
        <f>'04_Monthly_2026_2028'!AO29</f>
        <v>89.575757575758</v>
      </c>
      <c r="J154" s="19">
        <f>'04_Monthly_2026_2028'!O29</f>
        <v>22.0153110047847</v>
      </c>
      <c r="K154" s="22">
        <f>'04_Monthly_2026_2028'!S29</f>
        <v>4182.90909090909</v>
      </c>
      <c r="L154" s="16">
        <f>'04_Monthly_2026_2028'!AB29</f>
        <v>267.333333333333</v>
      </c>
      <c r="M154" s="59">
        <f>'04_Monthly_2026_2028'!AD29+'04_Monthly_2026_2028'!AE29</f>
        <v>10</v>
      </c>
      <c r="N154" s="20" t="str">
        <f>'04_Monthly_2026_2028'!BD29</f>
        <v>부분 (재고 입력 필요)</v>
      </c>
    </row>
    <row r="155">
      <c r="A155" s="63">
        <f>'04_Monthly_2026_2028'!A30</f>
        <v>46753.0</v>
      </c>
      <c r="B155" s="20" t="str">
        <f>'04_Monthly_2026_2028'!D30</f>
        <v>개선 (2대·105℃)</v>
      </c>
      <c r="C155" s="31">
        <f>'04_Monthly_2026_2028'!U30</f>
        <v>1893.33333333333</v>
      </c>
      <c r="D155" s="31">
        <f>'04_Monthly_2026_2028'!V30</f>
        <v>780</v>
      </c>
      <c r="E155" s="31">
        <f>'04_Monthly_2026_2028'!W30</f>
        <v>840</v>
      </c>
      <c r="F155" s="31">
        <f>'04_Monthly_2026_2028'!X30</f>
        <v>300</v>
      </c>
      <c r="G155" s="31">
        <f>'04_Monthly_2026_2028'!Y30</f>
        <v>3813.33333333333</v>
      </c>
      <c r="H155" s="31">
        <f>'04_Monthly_2026_2028'!T30</f>
        <v>4455.63636363636</v>
      </c>
      <c r="I155" s="31">
        <f>'04_Monthly_2026_2028'!AO30</f>
        <v>642.303030303031</v>
      </c>
      <c r="J155" s="19">
        <f>'04_Monthly_2026_2028'!O30</f>
        <v>23.4507177033493</v>
      </c>
      <c r="K155" s="22">
        <f>'04_Monthly_2026_2028'!S30</f>
        <v>4455.63636363636</v>
      </c>
      <c r="L155" s="16">
        <f>'04_Monthly_2026_2028'!AB30</f>
        <v>267.333333333333</v>
      </c>
      <c r="M155" s="59">
        <f>'04_Monthly_2026_2028'!AD30+'04_Monthly_2026_2028'!AE30</f>
        <v>8</v>
      </c>
      <c r="N155" s="20" t="str">
        <f>'04_Monthly_2026_2028'!BD30</f>
        <v>부분 (재고 입력 필요)</v>
      </c>
    </row>
    <row r="156">
      <c r="A156" s="63">
        <f>'04_Monthly_2026_2028'!A31</f>
        <v>46784.0</v>
      </c>
      <c r="B156" s="20" t="str">
        <f>'04_Monthly_2026_2028'!D31</f>
        <v>개선 (2대·105℃)</v>
      </c>
      <c r="C156" s="31">
        <f>'04_Monthly_2026_2028'!U31</f>
        <v>1893.33333333333</v>
      </c>
      <c r="D156" s="31">
        <f>'04_Monthly_2026_2028'!V31</f>
        <v>780</v>
      </c>
      <c r="E156" s="31">
        <f>'04_Monthly_2026_2028'!W31</f>
        <v>840</v>
      </c>
      <c r="F156" s="31">
        <f>'04_Monthly_2026_2028'!X31</f>
        <v>300</v>
      </c>
      <c r="G156" s="31">
        <f>'04_Monthly_2026_2028'!Y31</f>
        <v>3813.33333333333</v>
      </c>
      <c r="H156" s="31">
        <f>'04_Monthly_2026_2028'!T31</f>
        <v>4455.63636363636</v>
      </c>
      <c r="I156" s="31">
        <f>'04_Monthly_2026_2028'!AO31</f>
        <v>642.303030303031</v>
      </c>
      <c r="J156" s="19">
        <f>'04_Monthly_2026_2028'!O31</f>
        <v>23.4507177033493</v>
      </c>
      <c r="K156" s="22">
        <f>'04_Monthly_2026_2028'!S31</f>
        <v>4455.63636363636</v>
      </c>
      <c r="L156" s="16">
        <f>'04_Monthly_2026_2028'!AB31</f>
        <v>267.333333333333</v>
      </c>
      <c r="M156" s="59">
        <f>'04_Monthly_2026_2028'!AD31+'04_Monthly_2026_2028'!AE31</f>
        <v>8</v>
      </c>
      <c r="N156" s="20" t="str">
        <f>'04_Monthly_2026_2028'!BD31</f>
        <v>부분 (재고 입력 필요)</v>
      </c>
    </row>
    <row r="157">
      <c r="A157" s="63">
        <f>'04_Monthly_2026_2028'!A32</f>
        <v>46813.0</v>
      </c>
      <c r="B157" s="20" t="str">
        <f>'04_Monthly_2026_2028'!D32</f>
        <v>개선 (2대·105℃)</v>
      </c>
      <c r="C157" s="31">
        <f>'04_Monthly_2026_2028'!U32</f>
        <v>1893.33333333333</v>
      </c>
      <c r="D157" s="31">
        <f>'04_Monthly_2026_2028'!V32</f>
        <v>780</v>
      </c>
      <c r="E157" s="31">
        <f>'04_Monthly_2026_2028'!W32</f>
        <v>840</v>
      </c>
      <c r="F157" s="31">
        <f>'04_Monthly_2026_2028'!X32</f>
        <v>300</v>
      </c>
      <c r="G157" s="31">
        <f>'04_Monthly_2026_2028'!Y32</f>
        <v>3813.33333333333</v>
      </c>
      <c r="H157" s="31">
        <f>'04_Monthly_2026_2028'!T32</f>
        <v>4455.63636363636</v>
      </c>
      <c r="I157" s="31">
        <f>'04_Monthly_2026_2028'!AO32</f>
        <v>642.303030303031</v>
      </c>
      <c r="J157" s="19">
        <f>'04_Monthly_2026_2028'!O32</f>
        <v>23.4507177033493</v>
      </c>
      <c r="K157" s="22">
        <f>'04_Monthly_2026_2028'!S32</f>
        <v>4455.63636363636</v>
      </c>
      <c r="L157" s="16">
        <f>'04_Monthly_2026_2028'!AB32</f>
        <v>267.333333333333</v>
      </c>
      <c r="M157" s="59">
        <f>'04_Monthly_2026_2028'!AD32+'04_Monthly_2026_2028'!AE32</f>
        <v>8</v>
      </c>
      <c r="N157" s="20" t="str">
        <f>'04_Monthly_2026_2028'!BD32</f>
        <v>부분 (재고 입력 필요)</v>
      </c>
    </row>
    <row r="158">
      <c r="A158" s="63">
        <f>'04_Monthly_2026_2028'!A33</f>
        <v>46844.0</v>
      </c>
      <c r="B158" s="20" t="str">
        <f>'04_Monthly_2026_2028'!D33</f>
        <v>대정비</v>
      </c>
      <c r="C158" s="31">
        <f>'04_Monthly_2026_2028'!U33</f>
        <v>1893.33333333333</v>
      </c>
      <c r="D158" s="31">
        <f>'04_Monthly_2026_2028'!V33</f>
        <v>780</v>
      </c>
      <c r="E158" s="31">
        <f>'04_Monthly_2026_2028'!W33</f>
        <v>840</v>
      </c>
      <c r="F158" s="31">
        <f>'04_Monthly_2026_2028'!X33</f>
        <v>300</v>
      </c>
      <c r="G158" s="31">
        <f>'04_Monthly_2026_2028'!Y33</f>
        <v>3813.33333333333</v>
      </c>
      <c r="H158" s="31">
        <f>'04_Monthly_2026_2028'!T33</f>
        <v>1188</v>
      </c>
      <c r="I158" s="31">
        <f>'04_Monthly_2026_2028'!AO33</f>
        <v>-2625.33333333333</v>
      </c>
      <c r="J158" s="19">
        <f>'04_Monthly_2026_2028'!O33</f>
        <v>6.25263157894737</v>
      </c>
      <c r="K158" s="22">
        <f>'04_Monthly_2026_2028'!S33</f>
        <v>1188</v>
      </c>
      <c r="L158" s="16">
        <f>'04_Monthly_2026_2028'!AB33</f>
        <v>267.333333333333</v>
      </c>
      <c r="M158" s="59">
        <f>'04_Monthly_2026_2028'!AD33+'04_Monthly_2026_2028'!AE33</f>
        <v>8</v>
      </c>
      <c r="N158" s="20" t="str">
        <f>'04_Monthly_2026_2028'!BD33</f>
        <v>부분 (재고 입력 필요)</v>
      </c>
    </row>
    <row r="159">
      <c r="A159" s="63">
        <f>'04_Monthly_2026_2028'!A34</f>
        <v>46874.0</v>
      </c>
      <c r="B159" s="20" t="str">
        <f>'04_Monthly_2026_2028'!D34</f>
        <v>개선 (2대·105℃)</v>
      </c>
      <c r="C159" s="31">
        <f>'04_Monthly_2026_2028'!U34</f>
        <v>1893.33333333333</v>
      </c>
      <c r="D159" s="31">
        <f>'04_Monthly_2026_2028'!V34</f>
        <v>780</v>
      </c>
      <c r="E159" s="31">
        <f>'04_Monthly_2026_2028'!W34</f>
        <v>840</v>
      </c>
      <c r="F159" s="31">
        <f>'04_Monthly_2026_2028'!X34</f>
        <v>300</v>
      </c>
      <c r="G159" s="31">
        <f>'04_Monthly_2026_2028'!Y34</f>
        <v>3813.33333333333</v>
      </c>
      <c r="H159" s="31">
        <f>'04_Monthly_2026_2028'!T34</f>
        <v>4455.63636363636</v>
      </c>
      <c r="I159" s="31">
        <f>'04_Monthly_2026_2028'!AO34</f>
        <v>642.303030303031</v>
      </c>
      <c r="J159" s="19">
        <f>'04_Monthly_2026_2028'!O34</f>
        <v>23.4507177033493</v>
      </c>
      <c r="K159" s="22">
        <f>'04_Monthly_2026_2028'!S34</f>
        <v>4455.63636363636</v>
      </c>
      <c r="L159" s="16">
        <f>'04_Monthly_2026_2028'!AB34</f>
        <v>267.333333333333</v>
      </c>
      <c r="M159" s="59">
        <f>'04_Monthly_2026_2028'!AD34+'04_Monthly_2026_2028'!AE34</f>
        <v>8</v>
      </c>
      <c r="N159" s="20" t="str">
        <f>'04_Monthly_2026_2028'!BD34</f>
        <v>부분 (재고 입력 필요)</v>
      </c>
    </row>
    <row r="160">
      <c r="A160" s="63">
        <f>'04_Monthly_2026_2028'!A35</f>
        <v>46905.0</v>
      </c>
      <c r="B160" s="20" t="str">
        <f>'04_Monthly_2026_2028'!D35</f>
        <v>개선 (2대·105℃)</v>
      </c>
      <c r="C160" s="31">
        <f>'04_Monthly_2026_2028'!U35</f>
        <v>1893.33333333333</v>
      </c>
      <c r="D160" s="31">
        <f>'04_Monthly_2026_2028'!V35</f>
        <v>780</v>
      </c>
      <c r="E160" s="31">
        <f>'04_Monthly_2026_2028'!W35</f>
        <v>840</v>
      </c>
      <c r="F160" s="31">
        <f>'04_Monthly_2026_2028'!X35</f>
        <v>300</v>
      </c>
      <c r="G160" s="31">
        <f>'04_Monthly_2026_2028'!Y35</f>
        <v>3813.33333333333</v>
      </c>
      <c r="H160" s="31">
        <f>'04_Monthly_2026_2028'!T35</f>
        <v>4455.63636363636</v>
      </c>
      <c r="I160" s="31">
        <f>'04_Monthly_2026_2028'!AO35</f>
        <v>642.303030303031</v>
      </c>
      <c r="J160" s="19">
        <f>'04_Monthly_2026_2028'!O35</f>
        <v>23.4507177033493</v>
      </c>
      <c r="K160" s="22">
        <f>'04_Monthly_2026_2028'!S35</f>
        <v>4455.63636363636</v>
      </c>
      <c r="L160" s="16">
        <f>'04_Monthly_2026_2028'!AB35</f>
        <v>267.333333333333</v>
      </c>
      <c r="M160" s="59">
        <f>'04_Monthly_2026_2028'!AD35+'04_Monthly_2026_2028'!AE35</f>
        <v>8</v>
      </c>
      <c r="N160" s="20" t="str">
        <f>'04_Monthly_2026_2028'!BD35</f>
        <v>부분 (재고 입력 필요)</v>
      </c>
    </row>
    <row r="161">
      <c r="A161" s="63">
        <f>'04_Monthly_2026_2028'!A36</f>
        <v>46935.0</v>
      </c>
      <c r="B161" s="20" t="str">
        <f>'04_Monthly_2026_2028'!D36</f>
        <v>개선 (2대·105℃)</v>
      </c>
      <c r="C161" s="31">
        <f>'04_Monthly_2026_2028'!U36</f>
        <v>1893.33333333333</v>
      </c>
      <c r="D161" s="31">
        <f>'04_Monthly_2026_2028'!V36</f>
        <v>780</v>
      </c>
      <c r="E161" s="31">
        <f>'04_Monthly_2026_2028'!W36</f>
        <v>840</v>
      </c>
      <c r="F161" s="31">
        <f>'04_Monthly_2026_2028'!X36</f>
        <v>300</v>
      </c>
      <c r="G161" s="31">
        <f>'04_Monthly_2026_2028'!Y36</f>
        <v>3813.33333333333</v>
      </c>
      <c r="H161" s="31">
        <f>'04_Monthly_2026_2028'!T36</f>
        <v>4455.63636363636</v>
      </c>
      <c r="I161" s="31">
        <f>'04_Monthly_2026_2028'!AO36</f>
        <v>642.303030303031</v>
      </c>
      <c r="J161" s="19">
        <f>'04_Monthly_2026_2028'!O36</f>
        <v>23.4507177033493</v>
      </c>
      <c r="K161" s="22">
        <f>'04_Monthly_2026_2028'!S36</f>
        <v>4455.63636363636</v>
      </c>
      <c r="L161" s="16">
        <f>'04_Monthly_2026_2028'!AB36</f>
        <v>267.333333333333</v>
      </c>
      <c r="M161" s="59">
        <f>'04_Monthly_2026_2028'!AD36+'04_Monthly_2026_2028'!AE36</f>
        <v>8</v>
      </c>
      <c r="N161" s="20" t="str">
        <f>'04_Monthly_2026_2028'!BD36</f>
        <v>부분 (재고 입력 필요)</v>
      </c>
    </row>
    <row r="162">
      <c r="A162" s="63">
        <f>'04_Monthly_2026_2028'!A37</f>
        <v>46966.0</v>
      </c>
      <c r="B162" s="20" t="str">
        <f>'04_Monthly_2026_2028'!D37</f>
        <v>개선 (2대·105℃)</v>
      </c>
      <c r="C162" s="31">
        <f>'04_Monthly_2026_2028'!U37</f>
        <v>1893.33333333333</v>
      </c>
      <c r="D162" s="31">
        <f>'04_Monthly_2026_2028'!V37</f>
        <v>780</v>
      </c>
      <c r="E162" s="31">
        <f>'04_Monthly_2026_2028'!W37</f>
        <v>840</v>
      </c>
      <c r="F162" s="31">
        <f>'04_Monthly_2026_2028'!X37</f>
        <v>300</v>
      </c>
      <c r="G162" s="31">
        <f>'04_Monthly_2026_2028'!Y37</f>
        <v>3813.33333333333</v>
      </c>
      <c r="H162" s="31">
        <f>'04_Monthly_2026_2028'!T37</f>
        <v>4455.63636363636</v>
      </c>
      <c r="I162" s="31">
        <f>'04_Monthly_2026_2028'!AO37</f>
        <v>642.303030303031</v>
      </c>
      <c r="J162" s="19">
        <f>'04_Monthly_2026_2028'!O37</f>
        <v>23.4507177033493</v>
      </c>
      <c r="K162" s="22">
        <f>'04_Monthly_2026_2028'!S37</f>
        <v>4455.63636363636</v>
      </c>
      <c r="L162" s="16">
        <f>'04_Monthly_2026_2028'!AB37</f>
        <v>267.333333333333</v>
      </c>
      <c r="M162" s="59">
        <f>'04_Monthly_2026_2028'!AD37+'04_Monthly_2026_2028'!AE37</f>
        <v>8</v>
      </c>
      <c r="N162" s="20" t="str">
        <f>'04_Monthly_2026_2028'!BD37</f>
        <v>부분 (재고 입력 필요)</v>
      </c>
    </row>
    <row r="163">
      <c r="A163" s="63">
        <f>'04_Monthly_2026_2028'!A38</f>
        <v>46997.0</v>
      </c>
      <c r="B163" s="20" t="str">
        <f>'04_Monthly_2026_2028'!D38</f>
        <v>개선 (2대·105℃)</v>
      </c>
      <c r="C163" s="31">
        <f>'04_Monthly_2026_2028'!U38</f>
        <v>1893.33333333333</v>
      </c>
      <c r="D163" s="31">
        <f>'04_Monthly_2026_2028'!V38</f>
        <v>780</v>
      </c>
      <c r="E163" s="31">
        <f>'04_Monthly_2026_2028'!W38</f>
        <v>840</v>
      </c>
      <c r="F163" s="31">
        <f>'04_Monthly_2026_2028'!X38</f>
        <v>300</v>
      </c>
      <c r="G163" s="31">
        <f>'04_Monthly_2026_2028'!Y38</f>
        <v>3813.33333333333</v>
      </c>
      <c r="H163" s="31">
        <f>'04_Monthly_2026_2028'!T38</f>
        <v>4455.63636363636</v>
      </c>
      <c r="I163" s="31">
        <f>'04_Monthly_2026_2028'!AO38</f>
        <v>642.303030303031</v>
      </c>
      <c r="J163" s="19">
        <f>'04_Monthly_2026_2028'!O38</f>
        <v>23.4507177033493</v>
      </c>
      <c r="K163" s="22">
        <f>'04_Monthly_2026_2028'!S38</f>
        <v>4455.63636363636</v>
      </c>
      <c r="L163" s="16">
        <f>'04_Monthly_2026_2028'!AB38</f>
        <v>267.333333333333</v>
      </c>
      <c r="M163" s="59">
        <f>'04_Monthly_2026_2028'!AD38+'04_Monthly_2026_2028'!AE38</f>
        <v>8</v>
      </c>
      <c r="N163" s="20" t="str">
        <f>'04_Monthly_2026_2028'!BD38</f>
        <v>부분 (재고 입력 필요)</v>
      </c>
    </row>
    <row r="164">
      <c r="A164" s="63">
        <f>'04_Monthly_2026_2028'!A39</f>
        <v>47027.0</v>
      </c>
      <c r="B164" s="20" t="str">
        <f>'04_Monthly_2026_2028'!D39</f>
        <v>개선 (2대·105℃)</v>
      </c>
      <c r="C164" s="31">
        <f>'04_Monthly_2026_2028'!U39</f>
        <v>1893.33333333333</v>
      </c>
      <c r="D164" s="31">
        <f>'04_Monthly_2026_2028'!V39</f>
        <v>780</v>
      </c>
      <c r="E164" s="31">
        <f>'04_Monthly_2026_2028'!W39</f>
        <v>840</v>
      </c>
      <c r="F164" s="31">
        <f>'04_Monthly_2026_2028'!X39</f>
        <v>300</v>
      </c>
      <c r="G164" s="31">
        <f>'04_Monthly_2026_2028'!Y39</f>
        <v>3813.33333333333</v>
      </c>
      <c r="H164" s="31">
        <f>'04_Monthly_2026_2028'!T39</f>
        <v>4455.63636363636</v>
      </c>
      <c r="I164" s="31">
        <f>'04_Monthly_2026_2028'!AO39</f>
        <v>642.303030303031</v>
      </c>
      <c r="J164" s="19">
        <f>'04_Monthly_2026_2028'!O39</f>
        <v>23.4507177033493</v>
      </c>
      <c r="K164" s="22">
        <f>'04_Monthly_2026_2028'!S39</f>
        <v>4455.63636363636</v>
      </c>
      <c r="L164" s="16">
        <f>'04_Monthly_2026_2028'!AB39</f>
        <v>267.333333333333</v>
      </c>
      <c r="M164" s="59">
        <f>'04_Monthly_2026_2028'!AD39+'04_Monthly_2026_2028'!AE39</f>
        <v>8</v>
      </c>
      <c r="N164" s="20" t="str">
        <f>'04_Monthly_2026_2028'!BD39</f>
        <v>부분 (재고 입력 필요)</v>
      </c>
    </row>
    <row r="165">
      <c r="A165" s="63">
        <f>'04_Monthly_2026_2028'!A40</f>
        <v>47058.0</v>
      </c>
      <c r="B165" s="20" t="str">
        <f>'04_Monthly_2026_2028'!D40</f>
        <v>개선 (2대·105℃)</v>
      </c>
      <c r="C165" s="31">
        <f>'04_Monthly_2026_2028'!U40</f>
        <v>1893.33333333333</v>
      </c>
      <c r="D165" s="31">
        <f>'04_Monthly_2026_2028'!V40</f>
        <v>780</v>
      </c>
      <c r="E165" s="31">
        <f>'04_Monthly_2026_2028'!W40</f>
        <v>840</v>
      </c>
      <c r="F165" s="31">
        <f>'04_Monthly_2026_2028'!X40</f>
        <v>300</v>
      </c>
      <c r="G165" s="31">
        <f>'04_Monthly_2026_2028'!Y40</f>
        <v>3813.33333333333</v>
      </c>
      <c r="H165" s="31">
        <f>'04_Monthly_2026_2028'!T40</f>
        <v>4455.63636363636</v>
      </c>
      <c r="I165" s="31">
        <f>'04_Monthly_2026_2028'!AO40</f>
        <v>642.303030303031</v>
      </c>
      <c r="J165" s="19">
        <f>'04_Monthly_2026_2028'!O40</f>
        <v>23.4507177033493</v>
      </c>
      <c r="K165" s="22">
        <f>'04_Monthly_2026_2028'!S40</f>
        <v>4455.63636363636</v>
      </c>
      <c r="L165" s="16">
        <f>'04_Monthly_2026_2028'!AB40</f>
        <v>267.333333333333</v>
      </c>
      <c r="M165" s="59">
        <f>'04_Monthly_2026_2028'!AD40+'04_Monthly_2026_2028'!AE40</f>
        <v>8</v>
      </c>
      <c r="N165" s="20" t="str">
        <f>'04_Monthly_2026_2028'!BD40</f>
        <v>부분 (재고 입력 필요)</v>
      </c>
    </row>
    <row r="166">
      <c r="A166" s="63">
        <f>'04_Monthly_2026_2028'!A41</f>
        <v>47088.0</v>
      </c>
      <c r="B166" s="20" t="str">
        <f>'04_Monthly_2026_2028'!D41</f>
        <v>개선 (2대·105℃)</v>
      </c>
      <c r="C166" s="31">
        <f>'04_Monthly_2026_2028'!U41</f>
        <v>1893.33333333333</v>
      </c>
      <c r="D166" s="31">
        <f>'04_Monthly_2026_2028'!V41</f>
        <v>780</v>
      </c>
      <c r="E166" s="31">
        <f>'04_Monthly_2026_2028'!W41</f>
        <v>840</v>
      </c>
      <c r="F166" s="31">
        <f>'04_Monthly_2026_2028'!X41</f>
        <v>300</v>
      </c>
      <c r="G166" s="31">
        <f>'04_Monthly_2026_2028'!Y41</f>
        <v>3813.33333333333</v>
      </c>
      <c r="H166" s="31">
        <f>'04_Monthly_2026_2028'!T41</f>
        <v>4455.63636363636</v>
      </c>
      <c r="I166" s="31">
        <f>'04_Monthly_2026_2028'!AO41</f>
        <v>642.303030303031</v>
      </c>
      <c r="J166" s="19">
        <f>'04_Monthly_2026_2028'!O41</f>
        <v>23.4507177033493</v>
      </c>
      <c r="K166" s="22">
        <f>'04_Monthly_2026_2028'!S41</f>
        <v>4455.63636363636</v>
      </c>
      <c r="L166" s="16">
        <f>'04_Monthly_2026_2028'!AB41</f>
        <v>267.333333333333</v>
      </c>
      <c r="M166" s="59">
        <f>'04_Monthly_2026_2028'!AD41+'04_Monthly_2026_2028'!AE41</f>
        <v>8</v>
      </c>
      <c r="N166" s="20" t="str">
        <f>'04_Monthly_2026_2028'!BD41</f>
        <v>부분 (재고 입력 필요)</v>
      </c>
    </row>
    <row r="168">
      <c r="A168" s="35" t="inlineStr">
        <is>
          <t>4. 과거 간격 분포 (#39~#92)</t>
        </is>
      </c>
    </row>
    <row r="169" ht="30" customHeight="1">
      <c r="A169" s="11" t="inlineStr">
        <is>
          <t>간격</t>
        </is>
      </c>
      <c r="B169" s="11" t="inlineStr">
        <is>
          <t>건수</t>
        </is>
      </c>
    </row>
    <row r="170">
      <c r="A170" s="9" t="inlineStr">
        <is>
          <t>1일</t>
        </is>
      </c>
      <c r="B170" s="19">
        <f>'02_Batch_Raw'!O111</f>
        <v>1</v>
      </c>
    </row>
    <row r="171">
      <c r="A171" s="9" t="inlineStr">
        <is>
          <t>2일</t>
        </is>
      </c>
      <c r="B171" s="19">
        <f>'02_Batch_Raw'!P111</f>
        <v>11</v>
      </c>
    </row>
    <row r="172">
      <c r="A172" s="9" t="inlineStr">
        <is>
          <t>3일</t>
        </is>
      </c>
      <c r="B172" s="19">
        <f>'02_Batch_Raw'!Q111</f>
        <v>39</v>
      </c>
    </row>
    <row r="173">
      <c r="A173" s="9" t="inlineStr">
        <is>
          <t>4일</t>
        </is>
      </c>
      <c r="B173" s="19">
        <f>'02_Batch_Raw'!R111</f>
        <v>1</v>
      </c>
    </row>
    <row r="174">
      <c r="A174" s="9" t="inlineStr">
        <is>
          <t>5일</t>
        </is>
      </c>
      <c r="B174" s="19">
        <f>'02_Batch_Raw'!S111</f>
        <v>1</v>
      </c>
    </row>
    <row r="176">
      <c r="A176" s="35" t="inlineStr">
        <is>
          <t>5. 주요 미확인 사항</t>
        </is>
      </c>
    </row>
    <row r="177" ht="30" customHeight="1">
      <c r="A177" s="11" t="inlineStr">
        <is>
          <t>확인사항</t>
        </is>
      </c>
      <c r="B177" s="11" t="inlineStr">
        <is>
          <t>담당</t>
        </is>
      </c>
      <c r="C177" s="11" t="inlineStr">
        <is>
          <t>영향</t>
        </is>
      </c>
    </row>
    <row r="178">
      <c r="A178" s="9" t="inlineStr">
        <is>
          <t>표시일자 의미 · 실제 시각 · 계획 대비 실적 · Total 46 vs 번호 54 · 색상 의미</t>
        </is>
      </c>
      <c r="B178" s="9" t="inlineStr">
        <is>
          <t>생산</t>
        </is>
      </c>
      <c r="C178" s="9" t="inlineStr">
        <is>
          <t>관측 간격 67.5 h 전제</t>
        </is>
      </c>
    </row>
    <row r="179">
      <c r="A179" s="9" t="inlineStr">
        <is>
          <t>이송 중 정제기 점유 · 세척·전환 · 대기 · 보수 시간</t>
        </is>
      </c>
      <c r="B179" s="9" t="inlineStr">
        <is>
          <t>생산</t>
        </is>
      </c>
      <c r="C179" s="9" t="inlineStr">
        <is>
          <t>점유 47~53 h, 비점유 약 20 h 구성</t>
        </is>
      </c>
    </row>
    <row r="180">
      <c r="A180" s="9" t="inlineStr">
        <is>
          <t>정제기 2 기동 시차 · 설비별 간격 · Mix·리사이클 준비 시간</t>
        </is>
      </c>
      <c r="B180" s="9" t="inlineStr">
        <is>
          <t>생산·설비</t>
        </is>
      </c>
      <c r="C180" s="9" t="inlineStr">
        <is>
          <t>월 4,182.9 kg 달성 조건 (설비별 등가 약 66 h)</t>
        </is>
      </c>
    </row>
    <row r="181">
      <c r="A181" s="9" t="inlineStr">
        <is>
          <t>2027.3 계획 3,168 kg (16.7 Batch) 1대 달성 근거 · 대정비 범위·기간 · '27.5 개선 생산 초기 안정화</t>
        </is>
      </c>
      <c r="B181" s="9" t="inlineStr">
        <is>
          <t>생산·설비</t>
        </is>
      </c>
      <c r="C181" s="9" t="inlineStr">
        <is>
          <t>2027 생산 계획 · 필요 선행재고</t>
        </is>
      </c>
    </row>
    <row r="182">
      <c r="A182" s="9" t="inlineStr">
        <is>
          <t>190 kg vs 9병 180 kg 잔량 10 kg 처리 · 200 L 후 잔량 5 Gal 충진</t>
        </is>
      </c>
      <c r="B182" s="9" t="inlineStr">
        <is>
          <t>생산·품질</t>
        </is>
      </c>
      <c r="C182" s="9" t="inlineStr">
        <is>
          <t>충진량·재고</t>
        </is>
      </c>
    </row>
    <row r="183">
      <c r="A183" s="9" t="inlineStr">
        <is>
          <t>총 투입·재순환·양품 실측 → 수율 (구두 160~220 kg 범위)</t>
        </is>
      </c>
      <c r="B183" s="9" t="inlineStr">
        <is>
          <t>생산</t>
        </is>
      </c>
      <c r="C183" s="9" t="inlineStr">
        <is>
          <t>Batch량 검증</t>
        </is>
      </c>
    </row>
    <row r="184">
      <c r="A184" s="9" t="inlineStr">
        <is>
          <t>고객별 합격률 · 이지켐 색도</t>
        </is>
      </c>
      <c r="B184" s="9" t="inlineStr">
        <is>
          <t>품질</t>
        </is>
      </c>
      <c r="C184" s="9" t="inlineStr">
        <is>
          <t>출하 가능 양품</t>
        </is>
      </c>
    </row>
    <row r="185">
      <c r="A185" s="9" t="inlineStr">
        <is>
          <t>한솔 수동 충진시간 · 이지켐·한솔 ARS 충진시간 ('27.7~)</t>
        </is>
      </c>
      <c r="B185" s="9" t="inlineStr">
        <is>
          <t>생산·설비</t>
        </is>
      </c>
      <c r="C185" s="9" t="inlineStr">
        <is>
          <t>200 L 작업량</t>
        </is>
      </c>
    </row>
    <row r="186">
      <c r="A186" s="9" t="inlineStr">
        <is>
          <t>글로브 박스 교대 · Tank 수·용량 · QC 근무시간</t>
        </is>
      </c>
      <c r="B186" s="9" t="inlineStr">
        <is>
          <t>생산</t>
        </is>
      </c>
      <c r="C186" s="9" t="inlineStr">
        <is>
          <t>5 Gal 267 h/월 · Tank 회전</t>
        </is>
      </c>
    </row>
    <row r="187">
      <c r="A187" s="9" t="inlineStr">
        <is>
          <t>기초재고 · 목표재고 · 고객 간 우선순위</t>
        </is>
      </c>
      <c r="B187" s="9" t="inlineStr">
        <is>
          <t>생산관리·영업</t>
        </is>
      </c>
      <c r="C187" s="9" t="inlineStr">
        <is>
          <t>월별 재고·배정</t>
        </is>
      </c>
    </row>
    <row r="188">
      <c r="A188" s="9" t="inlineStr">
        <is>
          <t>2026 CXMT·한솔 물량 · 하이닉스 실적/계획 구분 · 2028 수요 확정</t>
        </is>
      </c>
      <c r="B188" s="9" t="inlineStr">
        <is>
          <t>영업</t>
        </is>
      </c>
      <c r="C188" s="9" t="inlineStr">
        <is>
          <t>출하 합계</t>
        </is>
      </c>
    </row>
    <row r="189">
      <c r="A189" s="9" t="inlineStr">
        <is>
          <t>105℃: 열 안정성·Dimer·Unknown impurity·Yield · 고객 승인</t>
        </is>
      </c>
      <c r="B189" s="9" t="inlineStr">
        <is>
          <t>품질·기술</t>
        </is>
      </c>
      <c r="C189" s="9" t="inlineStr">
        <is>
          <t>2028 50.2톤 기준</t>
        </is>
      </c>
    </row>
  </sheetData>
  <conditionalFormatting sqref="I131:I166">
    <cfRule type="cellIs" priority="1" operator="lessThan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EB002C"/>
    <outlinePr summaryBelow="1" summaryRight="1"/>
    <pageSetUpPr fitToPage="1"/>
  </sheetPr>
  <dimension ref="A1:K18"/>
  <sheetViews>
    <sheetView showGridLines="0" zoomScale="90" workbookViewId="0">
      <selection activeCell="A1" sqref="A1"/>
    </sheetView>
  </sheetViews>
  <sheetFormatPr baseColWidth="8" defaultRowHeight="15"/>
  <cols>
    <col width="1.5" customWidth="1" min="1" max="1"/>
    <col width="22.6" customWidth="1" min="2" max="2"/>
    <col width="10.94" customWidth="1" min="3" max="3"/>
    <col width="10.94" customWidth="1" min="4" max="4"/>
    <col width="10.94" customWidth="1" min="5" max="5"/>
    <col width="10.94" customWidth="1" min="6" max="6"/>
    <col width="10.94" customWidth="1" min="7" max="7"/>
    <col width="10.94" customWidth="1" min="8" max="8"/>
    <col width="10.94" customWidth="1" min="9" max="9"/>
    <col width="10.94" customWidth="1" min="10" max="10"/>
    <col width="10.94" customWidth="1" min="11" max="11"/>
  </cols>
  <sheetData>
    <row r="1">
      <c r="A1" s="64" t="inlineStr">
        <is>
          <t>P1 | As-is 공정시간 · 현재 생산능력 (PPT 1장)</t>
        </is>
      </c>
    </row>
    <row r="2">
      <c r="A2" s="65" t="inlineStr">
        <is>
          <t>파란 글자 = 입력 칸 (여기서 고치면 다른 P 표·계산 시트가 모두 같이 바뀜) · 검정 = 자동 계산. PPT: 범위 복사 → 붙여넣기(원본 서식 유지/그림) · 계속 연동하려면 [선택하여 붙여넣기 → 연결하여 붙여넣기].</t>
        </is>
      </c>
    </row>
    <row r="4" ht="15" customHeight="1">
      <c r="B4" s="66" t="inlineStr">
        <is>
          <t>① 한 Batch 확인 공정시간 (h)</t>
        </is>
      </c>
      <c r="F4" s="67" t="inlineStr">
        <is>
          <t>단순 합계 — 달력 납기·다음 Batch 투입 간격 아님 · 5 Gal 행 = 공통 공정시간 입력</t>
        </is>
      </c>
    </row>
    <row r="5" ht="12" customHeight="1">
      <c r="B5" s="68" t="inlineStr">
        <is>
          <t>경로</t>
        </is>
      </c>
      <c r="C5" s="69" t="inlineStr">
        <is>
          <t>IQC</t>
        </is>
      </c>
      <c r="D5" s="69" t="inlineStr">
        <is>
          <t>준비·투입</t>
        </is>
      </c>
      <c r="E5" s="69" t="inlineStr">
        <is>
          <t>정제</t>
        </is>
      </c>
      <c r="F5" s="69" t="inlineStr">
        <is>
          <t>PQC+이송</t>
        </is>
      </c>
      <c r="G5" s="69" t="inlineStr">
        <is>
          <t>FQC</t>
        </is>
      </c>
      <c r="H5" s="69" t="inlineStr">
        <is>
          <t>충진 전 소계</t>
        </is>
      </c>
      <c r="I5" s="69" t="inlineStr">
        <is>
          <t>충진</t>
        </is>
      </c>
      <c r="J5" s="69" t="inlineStr">
        <is>
          <t>OQC·출하</t>
        </is>
      </c>
      <c r="K5" s="69" t="inlineStr">
        <is>
          <t>확인시간 합계</t>
        </is>
      </c>
    </row>
    <row r="6">
      <c r="B6" s="70" t="inlineStr">
        <is>
          <t>5 Gal 약 9병</t>
        </is>
      </c>
      <c r="C6" s="71" t="n">
        <v>2</v>
      </c>
      <c r="D6" s="71" t="n">
        <v>2</v>
      </c>
      <c r="E6" s="71" t="n">
        <v>45</v>
      </c>
      <c r="F6" s="71" t="n">
        <v>6</v>
      </c>
      <c r="G6" s="71" t="n">
        <v>2</v>
      </c>
      <c r="H6" s="72">
        <f>SUM(C6:G6)</f>
        <v>57</v>
      </c>
      <c r="I6" s="73">
        <f>C13*D13</f>
        <v>18</v>
      </c>
      <c r="J6" s="71" t="n">
        <v>2</v>
      </c>
      <c r="K6" s="74">
        <f>H6+I6+J6</f>
        <v>77</v>
      </c>
    </row>
    <row r="7">
      <c r="B7" s="70" t="inlineStr">
        <is>
          <t>이지켐 200 L 1용기 (수동)</t>
        </is>
      </c>
      <c r="C7" s="73">
        <f>C$6</f>
        <v>2</v>
      </c>
      <c r="D7" s="73">
        <f>D$6</f>
        <v>2</v>
      </c>
      <c r="E7" s="73">
        <f>E$6</f>
        <v>45</v>
      </c>
      <c r="F7" s="73">
        <f>F$6</f>
        <v>6</v>
      </c>
      <c r="G7" s="73">
        <f>G$6</f>
        <v>2</v>
      </c>
      <c r="H7" s="72">
        <f>SUM(C7:G7)</f>
        <v>57</v>
      </c>
      <c r="I7" s="71" t="n">
        <v>8</v>
      </c>
      <c r="J7" s="71" t="n">
        <v>2</v>
      </c>
      <c r="K7" s="74">
        <f>H7+I7+J7</f>
        <v>67</v>
      </c>
    </row>
    <row r="8">
      <c r="B8" s="70" t="inlineStr">
        <is>
          <t>한솔 200 L 1용기</t>
        </is>
      </c>
      <c r="C8" s="73">
        <f>C$6</f>
        <v>2</v>
      </c>
      <c r="D8" s="73">
        <f>D$6</f>
        <v>2</v>
      </c>
      <c r="E8" s="73">
        <f>E$6</f>
        <v>45</v>
      </c>
      <c r="F8" s="73">
        <f>F$6</f>
        <v>6</v>
      </c>
      <c r="G8" s="73">
        <f>G$6</f>
        <v>2</v>
      </c>
      <c r="H8" s="72">
        <f>SUM(C8:G8)</f>
        <v>57</v>
      </c>
      <c r="I8" s="71" t="n"/>
      <c r="J8" s="73">
        <f>J7</f>
        <v>2</v>
      </c>
      <c r="K8" s="74" t="str">
        <f>IF(ISNUMBER(I8),H8+I8+J8,TEXT(H8+J8,"0")&amp;" + 미확인")</f>
        <v>59 + 미확인</v>
      </c>
    </row>
    <row r="9">
      <c r="B9" s="75" t="inlineStr">
        <is>
          <t>※ 57 h = IQC + 준비·투입 + 정제 + PQC·이송 + FQC (중복 가산 없음) · 5 Gal 충진 = 병당 h × 병수 (아래 입력) · 한솔 수동 충진시간 미확인</t>
        </is>
      </c>
    </row>
    <row r="11" ht="15" customHeight="1">
      <c r="B11" s="66" t="inlineStr">
        <is>
          <t>충진 · 용기 · Batch 조건 (입력)</t>
        </is>
      </c>
    </row>
    <row r="12" ht="12" customHeight="1">
      <c r="B12" s="68" t="inlineStr">
        <is>
          <t>조건</t>
        </is>
      </c>
      <c r="C12" s="69" t="inlineStr">
        <is>
          <t>5 Gal h/병</t>
        </is>
      </c>
      <c r="D12" s="69" t="inlineStr">
        <is>
          <t>병/Batch</t>
        </is>
      </c>
      <c r="E12" s="69" t="inlineStr">
        <is>
          <t>kg/병</t>
        </is>
      </c>
      <c r="F12" s="69" t="inlineStr">
        <is>
          <t>이지켐 kg/용기</t>
        </is>
      </c>
      <c r="G12" s="69" t="inlineStr">
        <is>
          <t>한솔 kg/용기</t>
        </is>
      </c>
      <c r="H12" s="69" t="inlineStr">
        <is>
          <t>이지켐 ARS h</t>
        </is>
      </c>
      <c r="I12" s="69" t="inlineStr">
        <is>
          <t>한솔 ARS h</t>
        </is>
      </c>
      <c r="J12" s="69" t="inlineStr">
        <is>
          <t>kg/Batch</t>
        </is>
      </c>
      <c r="K12" s="69" t="inlineStr">
        <is>
          <t>근무 h/일</t>
        </is>
      </c>
    </row>
    <row r="13">
      <c r="B13" s="70" t="inlineStr">
        <is>
          <t>값</t>
        </is>
      </c>
      <c r="C13" s="71" t="n">
        <v>2</v>
      </c>
      <c r="D13" s="76" t="n">
        <v>9</v>
      </c>
      <c r="E13" s="76" t="n">
        <v>20</v>
      </c>
      <c r="F13" s="76" t="n">
        <v>140</v>
      </c>
      <c r="G13" s="76" t="n">
        <v>150</v>
      </c>
      <c r="H13" s="71" t="n"/>
      <c r="I13" s="71" t="n"/>
      <c r="J13" s="76" t="n">
        <v>190</v>
      </c>
      <c r="K13" s="76" t="n">
        <v>8</v>
      </c>
    </row>
    <row r="15" ht="15" customHeight="1">
      <c r="B15" s="66" t="inlineStr">
        <is>
          <t>② 정제기 1대 생산능력 비교</t>
        </is>
      </c>
      <c r="F15" s="67" t="inlineStr">
        <is>
          <t>월 720 h 기준</t>
        </is>
      </c>
    </row>
    <row r="16" ht="12" customHeight="1">
      <c r="B16" s="68" t="inlineStr">
        <is>
          <t>구분</t>
        </is>
      </c>
      <c r="C16" s="69" t="inlineStr">
        <is>
          <t>과거 최대</t>
        </is>
      </c>
      <c r="D16" s="77" t="n"/>
      <c r="E16" s="69" t="inlineStr">
        <is>
          <t>정제 + 기타</t>
        </is>
      </c>
      <c r="F16" s="77" t="n"/>
      <c r="G16" s="69" t="inlineStr">
        <is>
          <t>이론 (정제만)</t>
        </is>
      </c>
      <c r="H16" s="77" t="n"/>
      <c r="I16" s="69" t="inlineStr">
        <is>
          <t>현재 Capa.</t>
        </is>
      </c>
      <c r="J16" s="77" t="n"/>
      <c r="K16" s="77" t="n"/>
    </row>
    <row r="17">
      <c r="B17" s="70" t="inlineStr">
        <is>
          <t>Batch / 월</t>
        </is>
      </c>
      <c r="C17" s="76" t="n">
        <v>11</v>
      </c>
      <c r="D17" s="77" t="n"/>
      <c r="E17" s="78" t="str">
        <f>TEXT(C17*E6,"0")&amp;" h + "&amp;TEXT(720-C17*E6,"0")&amp;" h"</f>
        <v>495 h + 225 h</v>
      </c>
      <c r="F17" s="77" t="n"/>
      <c r="G17" s="79">
        <f>720/E6</f>
        <v>16</v>
      </c>
      <c r="H17" s="77" t="n"/>
      <c r="I17" s="80" t="n">
        <v>26.2</v>
      </c>
      <c r="J17" s="77" t="n"/>
      <c r="K17" s="77" t="n"/>
    </row>
    <row r="18">
      <c r="B18" s="70" t="inlineStr">
        <is>
          <t>kg / 월 · 산식</t>
        </is>
      </c>
      <c r="C18" s="81">
        <f>C17*J13</f>
        <v>2090</v>
      </c>
      <c r="D18" s="77" t="n"/>
      <c r="E18" s="78" t="inlineStr">
        <is>
          <t>합계 720 h</t>
        </is>
      </c>
      <c r="F18" s="77" t="n"/>
      <c r="G18" s="81">
        <f>INT(G17)*J13</f>
        <v>3040</v>
      </c>
      <c r="H18" s="77" t="n"/>
      <c r="I18" s="78" t="str">
        <f>TEXT(I17*1000/J13,"0.0")&amp;" Batch 상당 · 월 "&amp;TEXT(I17*1000/J13/12,"0.00")</f>
        <v>137.9 Batch 상당 · 월 11.49</v>
      </c>
      <c r="J18" s="77" t="n"/>
      <c r="K18" s="77" t="n"/>
    </row>
  </sheetData>
  <mergeCells count="12">
    <mergeCell ref="I16:K16"/>
    <mergeCell ref="E16:F16"/>
    <mergeCell ref="C16:D16"/>
    <mergeCell ref="G16:H16"/>
    <mergeCell ref="E18:F18"/>
    <mergeCell ref="G18:H18"/>
    <mergeCell ref="I17:K17"/>
    <mergeCell ref="I18:K18"/>
    <mergeCell ref="C18:D18"/>
    <mergeCell ref="E17:F17"/>
    <mergeCell ref="C17:D17"/>
    <mergeCell ref="G17:H17"/>
  </mergeCells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tabColor rgb="00EB002C"/>
    <outlinePr summaryBelow="1" summaryRight="1"/>
    <pageSetUpPr fitToPage="1"/>
  </sheetPr>
  <dimension ref="A1:FZ25"/>
  <sheetViews>
    <sheetView showGridLines="0" zoomScale="90" workbookViewId="0">
      <selection activeCell="A1" sqref="A1"/>
    </sheetView>
  </sheetViews>
  <sheetFormatPr baseColWidth="8" defaultRowHeight="15"/>
  <cols>
    <col width="1.5" customWidth="1" min="1" max="1"/>
    <col width="17.11" customWidth="1" min="2" max="2"/>
    <col width="0.351" customWidth="1" min="3" max="3"/>
    <col width="0.351" customWidth="1" min="4" max="4"/>
    <col width="0.351" customWidth="1" min="5" max="5"/>
    <col width="0.351" customWidth="1" min="6" max="6"/>
    <col width="0.351" customWidth="1" min="7" max="7"/>
    <col width="0.351" customWidth="1" min="8" max="8"/>
    <col width="0.351" customWidth="1" min="9" max="9"/>
    <col width="0.351" customWidth="1" min="10" max="10"/>
    <col width="0.351" customWidth="1" min="11" max="11"/>
    <col width="0.351" customWidth="1" min="12" max="12"/>
    <col width="0.351" customWidth="1" min="13" max="13"/>
    <col width="0.351" customWidth="1" min="14" max="14"/>
    <col width="0.351" customWidth="1" min="15" max="15"/>
    <col width="0.351" customWidth="1" min="16" max="16"/>
    <col width="0.351" customWidth="1" min="17" max="17"/>
    <col width="0.351" customWidth="1" min="18" max="18"/>
    <col width="0.351" customWidth="1" min="19" max="19"/>
    <col width="0.351" customWidth="1" min="20" max="20"/>
    <col width="0.351" customWidth="1" min="21" max="21"/>
    <col width="0.351" customWidth="1" min="22" max="22"/>
    <col width="0.351" customWidth="1" min="23" max="23"/>
    <col width="0.351" customWidth="1" min="24" max="24"/>
    <col width="0.351" customWidth="1" min="25" max="25"/>
    <col width="0.351" customWidth="1" min="26" max="26"/>
    <col width="0.351" customWidth="1" min="27" max="27"/>
    <col width="0.351" customWidth="1" min="28" max="28"/>
    <col width="0.351" customWidth="1" min="29" max="29"/>
    <col width="0.351" customWidth="1" min="30" max="30"/>
    <col width="0.351" customWidth="1" min="31" max="31"/>
    <col width="0.351" customWidth="1" min="32" max="32"/>
    <col width="0.351" customWidth="1" min="33" max="33"/>
    <col width="0.351" customWidth="1" min="34" max="34"/>
    <col width="0.351" customWidth="1" min="35" max="35"/>
    <col width="0.351" customWidth="1" min="36" max="36"/>
    <col width="0.351" customWidth="1" min="37" max="37"/>
    <col width="0.351" customWidth="1" min="38" max="38"/>
    <col width="0.351" customWidth="1" min="39" max="39"/>
    <col width="0.351" customWidth="1" min="40" max="40"/>
    <col width="0.351" customWidth="1" min="41" max="41"/>
    <col width="0.351" customWidth="1" min="42" max="42"/>
    <col width="0.351" customWidth="1" min="43" max="43"/>
    <col width="0.351" customWidth="1" min="44" max="44"/>
    <col width="0.351" customWidth="1" min="45" max="45"/>
    <col width="0.351" customWidth="1" min="46" max="46"/>
    <col width="0.351" customWidth="1" min="47" max="47"/>
    <col width="0.351" customWidth="1" min="48" max="48"/>
    <col width="0.351" customWidth="1" min="49" max="49"/>
    <col width="0.351" customWidth="1" min="50" max="50"/>
    <col width="0.351" customWidth="1" min="51" max="51"/>
    <col width="0.351" customWidth="1" min="52" max="52"/>
    <col width="0.351" customWidth="1" min="53" max="53"/>
    <col width="0.351" customWidth="1" min="54" max="54"/>
    <col width="0.351" customWidth="1" min="55" max="55"/>
    <col width="0.351" customWidth="1" min="56" max="56"/>
    <col width="0.351" customWidth="1" min="57" max="57"/>
    <col width="0.351" customWidth="1" min="58" max="58"/>
    <col width="0.351" customWidth="1" min="59" max="59"/>
    <col width="0.351" customWidth="1" min="60" max="60"/>
    <col width="0.351" customWidth="1" min="61" max="61"/>
    <col width="0.351" customWidth="1" min="62" max="62"/>
    <col width="0.351" customWidth="1" min="63" max="63"/>
    <col width="0.351" customWidth="1" min="64" max="64"/>
    <col width="0.351" customWidth="1" min="65" max="65"/>
    <col width="0.351" customWidth="1" min="66" max="66"/>
    <col width="0.351" customWidth="1" min="67" max="67"/>
    <col width="0.351" customWidth="1" min="68" max="68"/>
    <col width="0.351" customWidth="1" min="69" max="69"/>
    <col width="0.351" customWidth="1" min="70" max="70"/>
    <col width="0.351" customWidth="1" min="71" max="71"/>
    <col width="0.351" customWidth="1" min="72" max="72"/>
    <col width="0.351" customWidth="1" min="73" max="73"/>
    <col width="0.351" customWidth="1" min="74" max="74"/>
    <col width="0.351" customWidth="1" min="75" max="75"/>
    <col width="0.351" customWidth="1" min="76" max="76"/>
    <col width="0.351" customWidth="1" min="77" max="77"/>
    <col width="0.351" customWidth="1" min="78" max="78"/>
    <col width="0.351" customWidth="1" min="79" max="79"/>
    <col width="0.351" customWidth="1" min="80" max="80"/>
    <col width="0.351" customWidth="1" min="81" max="81"/>
    <col width="0.351" customWidth="1" min="82" max="82"/>
    <col width="0.351" customWidth="1" min="83" max="83"/>
    <col width="0.351" customWidth="1" min="84" max="84"/>
    <col width="0.351" customWidth="1" min="85" max="85"/>
    <col width="0.351" customWidth="1" min="86" max="86"/>
    <col width="0.351" customWidth="1" min="87" max="87"/>
    <col width="0.351" customWidth="1" min="88" max="88"/>
    <col width="0.351" customWidth="1" min="89" max="89"/>
    <col width="0.351" customWidth="1" min="90" max="90"/>
    <col width="0.351" customWidth="1" min="91" max="91"/>
    <col width="0.351" customWidth="1" min="92" max="92"/>
    <col width="0.351" customWidth="1" min="93" max="93"/>
    <col width="0.351" customWidth="1" min="94" max="94"/>
    <col width="0.351" customWidth="1" min="95" max="95"/>
    <col width="0.351" customWidth="1" min="96" max="96"/>
    <col width="0.351" customWidth="1" min="97" max="97"/>
    <col width="0.351" customWidth="1" min="98" max="98"/>
    <col width="0.351" customWidth="1" min="99" max="99"/>
    <col width="0.351" customWidth="1" min="100" max="100"/>
    <col width="0.351" customWidth="1" min="101" max="101"/>
    <col width="0.351" customWidth="1" min="102" max="102"/>
    <col width="0.351" customWidth="1" min="103" max="103"/>
    <col width="0.351" customWidth="1" min="104" max="104"/>
    <col width="0.351" customWidth="1" min="105" max="105"/>
    <col width="0.351" customWidth="1" min="106" max="106"/>
    <col width="0.351" customWidth="1" min="107" max="107"/>
    <col width="0.351" customWidth="1" min="108" max="108"/>
    <col width="0.351" customWidth="1" min="109" max="109"/>
    <col width="0.351" customWidth="1" min="110" max="110"/>
    <col width="0.351" customWidth="1" min="111" max="111"/>
    <col width="0.351" customWidth="1" min="112" max="112"/>
    <col width="0.351" customWidth="1" min="113" max="113"/>
    <col width="0.351" customWidth="1" min="114" max="114"/>
    <col width="0.351" customWidth="1" min="115" max="115"/>
    <col width="0.351" customWidth="1" min="116" max="116"/>
    <col width="0.351" customWidth="1" min="117" max="117"/>
    <col width="0.351" customWidth="1" min="118" max="118"/>
    <col width="0.351" customWidth="1" min="119" max="119"/>
    <col width="0.351" customWidth="1" min="120" max="120"/>
    <col width="0.351" customWidth="1" min="121" max="121"/>
    <col width="0.351" customWidth="1" min="122" max="122"/>
    <col width="0.351" customWidth="1" min="123" max="123"/>
    <col width="0.351" customWidth="1" min="124" max="124"/>
    <col width="0.351" customWidth="1" min="125" max="125"/>
    <col width="0.351" customWidth="1" min="126" max="126"/>
    <col width="0.351" customWidth="1" min="127" max="127"/>
    <col width="0.351" customWidth="1" min="128" max="128"/>
    <col width="0.351" customWidth="1" min="129" max="129"/>
    <col width="0.351" customWidth="1" min="130" max="130"/>
    <col width="0.351" customWidth="1" min="131" max="131"/>
    <col width="0.351" customWidth="1" min="132" max="132"/>
    <col width="0.351" customWidth="1" min="133" max="133"/>
    <col width="0.351" customWidth="1" min="134" max="134"/>
    <col width="0.351" customWidth="1" min="135" max="135"/>
    <col width="0.351" customWidth="1" min="136" max="136"/>
    <col width="0.351" customWidth="1" min="137" max="137"/>
    <col width="0.351" customWidth="1" min="138" max="138"/>
    <col width="0.351" customWidth="1" min="139" max="139"/>
    <col width="0.351" customWidth="1" min="140" max="140"/>
    <col width="0.351" customWidth="1" min="141" max="141"/>
    <col width="0.351" customWidth="1" min="142" max="142"/>
    <col width="0.351" customWidth="1" min="143" max="143"/>
    <col width="0.351" customWidth="1" min="144" max="144"/>
    <col width="0.351" customWidth="1" min="145" max="145"/>
    <col width="0.351" customWidth="1" min="146" max="146"/>
    <col width="0.351" customWidth="1" min="147" max="147"/>
    <col width="0.351" customWidth="1" min="148" max="148"/>
    <col width="0.351" customWidth="1" min="149" max="149"/>
    <col width="0.351" customWidth="1" min="150" max="150"/>
    <col width="0.351" customWidth="1" min="151" max="151"/>
    <col width="0.351" customWidth="1" min="152" max="152"/>
    <col width="0.351" customWidth="1" min="153" max="153"/>
    <col width="0.351" customWidth="1" min="154" max="154"/>
    <col width="0.351" customWidth="1" min="155" max="155"/>
    <col width="0.351" customWidth="1" min="156" max="156"/>
    <col width="0.351" customWidth="1" min="157" max="157"/>
    <col width="0.351" customWidth="1" min="158" max="158"/>
    <col width="0.351" customWidth="1" min="159" max="159"/>
    <col width="0.351" customWidth="1" min="160" max="160"/>
    <col width="0.351" customWidth="1" min="161" max="161"/>
    <col width="0.351" customWidth="1" min="162" max="162"/>
    <col width="0.351" customWidth="1" min="163" max="163"/>
    <col width="0.351" customWidth="1" min="164" max="164"/>
    <col width="0.351" customWidth="1" min="165" max="165"/>
    <col width="0.351" customWidth="1" min="166" max="166"/>
    <col width="0.351" customWidth="1" min="167" max="167"/>
    <col width="0.351" customWidth="1" min="168" max="168"/>
    <col width="0.351" customWidth="1" min="169" max="169"/>
    <col width="0.351" customWidth="1" min="170" max="170"/>
    <col width="0.351" customWidth="1" min="171" max="171"/>
    <col width="0.351" customWidth="1" min="172" max="172"/>
    <col width="0.351" customWidth="1" min="173" max="173"/>
    <col width="0.351" customWidth="1" min="174" max="174"/>
    <col width="0.351" customWidth="1" min="175" max="175"/>
    <col width="0.351" customWidth="1" min="176" max="176"/>
    <col width="0.351" customWidth="1" min="177" max="177"/>
    <col width="0.351" customWidth="1" min="178" max="178"/>
    <col width="0.351" customWidth="1" min="179" max="179"/>
    <col width="0.351" customWidth="1" min="180" max="180"/>
    <col width="0.351" customWidth="1" min="181" max="181"/>
    <col width="0.351" customWidth="1" min="182" max="182"/>
  </cols>
  <sheetData>
    <row r="1">
      <c r="A1" s="64" t="inlineStr">
        <is>
          <t>P2 | 운영 일정 · 정제기 2대 시간차 운전 30일 (PPT 2장)</t>
        </is>
      </c>
    </row>
    <row r="2">
      <c r="A2" s="65" t="inlineStr">
        <is>
          <t>파란 글자 = 입력 칸 (여기서 고치면 다른 P 표·계산 시트가 모두 같이 바뀜) · 검정 = 자동 계산. PPT: 범위 복사 → 붙여넣기(원본 서식 유지/그림) · 계속 연동하려면 [선택하여 붙여넣기 → 연결하여 붙여넣기].</t>
        </is>
      </c>
    </row>
    <row r="4" ht="15" customHeight="1">
      <c r="B4" s="66" t="inlineStr">
        <is>
          <t>일정 · 운전 조건 (입력)</t>
        </is>
      </c>
      <c r="BK4" s="67" t="inlineStr">
        <is>
          <t>여기 날짜·시간을 바꾸면 아래 일정표·Gantt와 P4·P5·계산 시트가 같이 바뀜</t>
        </is>
      </c>
    </row>
    <row r="5">
      <c r="B5" s="68" t="inlineStr">
        <is>
          <t>항목</t>
        </is>
      </c>
      <c r="C5" s="82" t="inlineStr">
        <is>
          <t>대정비 월 (매년)</t>
        </is>
      </c>
      <c r="D5" s="77" t="n"/>
      <c r="E5" s="77" t="n"/>
      <c r="F5" s="77" t="n"/>
      <c r="G5" s="77" t="n"/>
      <c r="H5" s="77" t="n"/>
      <c r="I5" s="77" t="n"/>
      <c r="J5" s="77" t="n"/>
      <c r="K5" s="77" t="n"/>
      <c r="L5" s="77" t="n"/>
      <c r="M5" s="77" t="n"/>
      <c r="N5" s="77" t="n"/>
      <c r="O5" s="77" t="n"/>
      <c r="P5" s="77" t="n"/>
      <c r="Q5" s="77" t="n"/>
      <c r="R5" s="77" t="n"/>
      <c r="S5" s="77" t="n"/>
      <c r="T5" s="77" t="n"/>
      <c r="U5" s="77" t="n"/>
      <c r="V5" s="77" t="n"/>
      <c r="W5" s="82" t="inlineStr">
        <is>
          <t>대정비 월 생산 kg (P4 4월)</t>
        </is>
      </c>
      <c r="X5" s="77" t="n"/>
      <c r="Y5" s="77" t="n"/>
      <c r="Z5" s="77" t="n"/>
      <c r="AA5" s="77" t="n"/>
      <c r="AB5" s="77" t="n"/>
      <c r="AC5" s="77" t="n"/>
      <c r="AD5" s="77" t="n"/>
      <c r="AE5" s="77" t="n"/>
      <c r="AF5" s="77" t="n"/>
      <c r="AG5" s="77" t="n"/>
      <c r="AH5" s="77" t="n"/>
      <c r="AI5" s="77" t="n"/>
      <c r="AJ5" s="77" t="n"/>
      <c r="AK5" s="77" t="n"/>
      <c r="AL5" s="77" t="n"/>
      <c r="AM5" s="77" t="n"/>
      <c r="AN5" s="77" t="n"/>
      <c r="AO5" s="77" t="n"/>
      <c r="AP5" s="77" t="n"/>
      <c r="AQ5" s="82" t="inlineStr">
        <is>
          <t>정제기 2대 생산 시작</t>
        </is>
      </c>
      <c r="AR5" s="77" t="n"/>
      <c r="AS5" s="77" t="n"/>
      <c r="AT5" s="77" t="n"/>
      <c r="AU5" s="77" t="n"/>
      <c r="AV5" s="77" t="n"/>
      <c r="AW5" s="77" t="n"/>
      <c r="AX5" s="77" t="n"/>
      <c r="AY5" s="77" t="n"/>
      <c r="AZ5" s="77" t="n"/>
      <c r="BA5" s="77" t="n"/>
      <c r="BB5" s="77" t="n"/>
      <c r="BC5" s="77" t="n"/>
      <c r="BD5" s="77" t="n"/>
      <c r="BE5" s="77" t="n"/>
      <c r="BF5" s="77" t="n"/>
      <c r="BG5" s="77" t="n"/>
      <c r="BH5" s="77" t="n"/>
      <c r="BI5" s="77" t="n"/>
      <c r="BJ5" s="77" t="n"/>
      <c r="BK5" s="82" t="inlineStr">
        <is>
          <t>최초 12개월 종료</t>
        </is>
      </c>
      <c r="BL5" s="77" t="n"/>
      <c r="BM5" s="77" t="n"/>
      <c r="BN5" s="77" t="n"/>
      <c r="BO5" s="77" t="n"/>
      <c r="BP5" s="77" t="n"/>
      <c r="BQ5" s="77" t="n"/>
      <c r="BR5" s="77" t="n"/>
      <c r="BS5" s="77" t="n"/>
      <c r="BT5" s="77" t="n"/>
      <c r="BU5" s="77" t="n"/>
      <c r="BV5" s="77" t="n"/>
      <c r="BW5" s="77" t="n"/>
      <c r="BX5" s="77" t="n"/>
      <c r="BY5" s="77" t="n"/>
      <c r="BZ5" s="77" t="n"/>
      <c r="CA5" s="77" t="n"/>
      <c r="CB5" s="77" t="n"/>
      <c r="CC5" s="77" t="n"/>
      <c r="CD5" s="77" t="n"/>
      <c r="CE5" s="82" t="inlineStr">
        <is>
          <t>ARS 시작 (이지켐)</t>
        </is>
      </c>
      <c r="CF5" s="77" t="n"/>
      <c r="CG5" s="77" t="n"/>
      <c r="CH5" s="77" t="n"/>
      <c r="CI5" s="77" t="n"/>
      <c r="CJ5" s="77" t="n"/>
      <c r="CK5" s="77" t="n"/>
      <c r="CL5" s="77" t="n"/>
      <c r="CM5" s="77" t="n"/>
      <c r="CN5" s="77" t="n"/>
      <c r="CO5" s="77" t="n"/>
      <c r="CP5" s="77" t="n"/>
      <c r="CQ5" s="77" t="n"/>
      <c r="CR5" s="77" t="n"/>
      <c r="CS5" s="77" t="n"/>
      <c r="CT5" s="77" t="n"/>
      <c r="CU5" s="77" t="n"/>
      <c r="CV5" s="77" t="n"/>
      <c r="CW5" s="77" t="n"/>
      <c r="CX5" s="77" t="n"/>
      <c r="CY5" s="82" t="inlineStr">
        <is>
          <t>ARS 시작 (한솔)</t>
        </is>
      </c>
      <c r="CZ5" s="77" t="n"/>
      <c r="DA5" s="77" t="n"/>
      <c r="DB5" s="77" t="n"/>
      <c r="DC5" s="77" t="n"/>
      <c r="DD5" s="77" t="n"/>
      <c r="DE5" s="77" t="n"/>
      <c r="DF5" s="77" t="n"/>
      <c r="DG5" s="77" t="n"/>
      <c r="DH5" s="77" t="n"/>
      <c r="DI5" s="77" t="n"/>
      <c r="DJ5" s="77" t="n"/>
      <c r="DK5" s="77" t="n"/>
      <c r="DL5" s="77" t="n"/>
      <c r="DM5" s="77" t="n"/>
      <c r="DN5" s="77" t="n"/>
      <c r="DO5" s="77" t="n"/>
      <c r="DP5" s="77" t="n"/>
      <c r="DQ5" s="77" t="n"/>
      <c r="DR5" s="77" t="n"/>
      <c r="DS5" s="82" t="inlineStr">
        <is>
          <t>105℃ 50.2톤 적용 시작</t>
        </is>
      </c>
      <c r="DT5" s="77" t="n"/>
      <c r="DU5" s="77" t="n"/>
      <c r="DV5" s="77" t="n"/>
      <c r="DW5" s="77" t="n"/>
      <c r="DX5" s="77" t="n"/>
      <c r="DY5" s="77" t="n"/>
      <c r="DZ5" s="77" t="n"/>
      <c r="EA5" s="77" t="n"/>
      <c r="EB5" s="77" t="n"/>
      <c r="EC5" s="77" t="n"/>
      <c r="ED5" s="77" t="n"/>
      <c r="EE5" s="77" t="n"/>
      <c r="EF5" s="77" t="n"/>
      <c r="EG5" s="77" t="n"/>
      <c r="EH5" s="77" t="n"/>
      <c r="EI5" s="77" t="n"/>
      <c r="EJ5" s="77" t="n"/>
      <c r="EK5" s="77" t="n"/>
      <c r="EL5" s="77" t="n"/>
      <c r="EM5" s="82" t="inlineStr">
        <is>
          <t>정제기 2 기동 시차 h</t>
        </is>
      </c>
      <c r="EN5" s="77" t="n"/>
      <c r="EO5" s="77" t="n"/>
      <c r="EP5" s="77" t="n"/>
      <c r="EQ5" s="77" t="n"/>
      <c r="ER5" s="77" t="n"/>
      <c r="ES5" s="77" t="n"/>
      <c r="ET5" s="77" t="n"/>
      <c r="EU5" s="77" t="n"/>
      <c r="EV5" s="77" t="n"/>
      <c r="EW5" s="77" t="n"/>
      <c r="EX5" s="77" t="n"/>
      <c r="EY5" s="77" t="n"/>
      <c r="EZ5" s="77" t="n"/>
      <c r="FA5" s="77" t="n"/>
      <c r="FB5" s="77" t="n"/>
      <c r="FC5" s="77" t="n"/>
      <c r="FD5" s="77" t="n"/>
      <c r="FE5" s="77" t="n"/>
      <c r="FF5" s="77" t="n"/>
      <c r="FG5" s="82" t="inlineStr">
        <is>
          <t>설비별 투입 간격 h</t>
        </is>
      </c>
      <c r="FH5" s="77" t="n"/>
      <c r="FI5" s="77" t="n"/>
      <c r="FJ5" s="77" t="n"/>
      <c r="FK5" s="77" t="n"/>
      <c r="FL5" s="77" t="n"/>
      <c r="FM5" s="77" t="n"/>
      <c r="FN5" s="77" t="n"/>
      <c r="FO5" s="77" t="n"/>
      <c r="FP5" s="77" t="n"/>
      <c r="FQ5" s="77" t="n"/>
      <c r="FR5" s="77" t="n"/>
      <c r="FS5" s="77" t="n"/>
      <c r="FT5" s="77" t="n"/>
      <c r="FU5" s="77" t="n"/>
      <c r="FV5" s="77" t="n"/>
      <c r="FW5" s="77" t="n"/>
      <c r="FX5" s="77" t="n"/>
      <c r="FY5" s="77" t="n"/>
      <c r="FZ5" s="77" t="n"/>
    </row>
    <row r="6">
      <c r="B6" s="70" t="inlineStr">
        <is>
          <t>값</t>
        </is>
      </c>
      <c r="C6" s="83" t="n">
        <v>4</v>
      </c>
      <c r="D6" s="77" t="n"/>
      <c r="E6" s="77" t="n"/>
      <c r="F6" s="77" t="n"/>
      <c r="G6" s="77" t="n"/>
      <c r="H6" s="77" t="n"/>
      <c r="I6" s="77" t="n"/>
      <c r="J6" s="77" t="n"/>
      <c r="K6" s="77" t="n"/>
      <c r="L6" s="77" t="n"/>
      <c r="M6" s="77" t="n"/>
      <c r="N6" s="77" t="n"/>
      <c r="O6" s="77" t="n"/>
      <c r="P6" s="77" t="n"/>
      <c r="Q6" s="77" t="n"/>
      <c r="R6" s="77" t="n"/>
      <c r="S6" s="77" t="n"/>
      <c r="T6" s="77" t="n"/>
      <c r="U6" s="77" t="n"/>
      <c r="V6" s="77" t="n"/>
      <c r="W6" s="84">
        <f>'P4_2027_월별'!$F$6</f>
        <v>1188</v>
      </c>
      <c r="X6" s="77" t="n"/>
      <c r="Y6" s="77" t="n"/>
      <c r="Z6" s="77" t="n"/>
      <c r="AA6" s="77" t="n"/>
      <c r="AB6" s="77" t="n"/>
      <c r="AC6" s="77" t="n"/>
      <c r="AD6" s="77" t="n"/>
      <c r="AE6" s="77" t="n"/>
      <c r="AF6" s="77" t="n"/>
      <c r="AG6" s="77" t="n"/>
      <c r="AH6" s="77" t="n"/>
      <c r="AI6" s="77" t="n"/>
      <c r="AJ6" s="77" t="n"/>
      <c r="AK6" s="77" t="n"/>
      <c r="AL6" s="77" t="n"/>
      <c r="AM6" s="77" t="n"/>
      <c r="AN6" s="77" t="n"/>
      <c r="AO6" s="77" t="n"/>
      <c r="AP6" s="77" t="n"/>
      <c r="AQ6" s="85" t="n">
        <v>46508</v>
      </c>
      <c r="AR6" s="77" t="n"/>
      <c r="AS6" s="77" t="n"/>
      <c r="AT6" s="77" t="n"/>
      <c r="AU6" s="77" t="n"/>
      <c r="AV6" s="77" t="n"/>
      <c r="AW6" s="77" t="n"/>
      <c r="AX6" s="77" t="n"/>
      <c r="AY6" s="77" t="n"/>
      <c r="AZ6" s="77" t="n"/>
      <c r="BA6" s="77" t="n"/>
      <c r="BB6" s="77" t="n"/>
      <c r="BC6" s="77" t="n"/>
      <c r="BD6" s="77" t="n"/>
      <c r="BE6" s="77" t="n"/>
      <c r="BF6" s="77" t="n"/>
      <c r="BG6" s="77" t="n"/>
      <c r="BH6" s="77" t="n"/>
      <c r="BI6" s="77" t="n"/>
      <c r="BJ6" s="77" t="n"/>
      <c r="BK6" s="85" t="n">
        <v>46873</v>
      </c>
      <c r="BL6" s="77" t="n"/>
      <c r="BM6" s="77" t="n"/>
      <c r="BN6" s="77" t="n"/>
      <c r="BO6" s="77" t="n"/>
      <c r="BP6" s="77" t="n"/>
      <c r="BQ6" s="77" t="n"/>
      <c r="BR6" s="77" t="n"/>
      <c r="BS6" s="77" t="n"/>
      <c r="BT6" s="77" t="n"/>
      <c r="BU6" s="77" t="n"/>
      <c r="BV6" s="77" t="n"/>
      <c r="BW6" s="77" t="n"/>
      <c r="BX6" s="77" t="n"/>
      <c r="BY6" s="77" t="n"/>
      <c r="BZ6" s="77" t="n"/>
      <c r="CA6" s="77" t="n"/>
      <c r="CB6" s="77" t="n"/>
      <c r="CC6" s="77" t="n"/>
      <c r="CD6" s="77" t="n"/>
      <c r="CE6" s="85" t="n">
        <v>46569</v>
      </c>
      <c r="CF6" s="77" t="n"/>
      <c r="CG6" s="77" t="n"/>
      <c r="CH6" s="77" t="n"/>
      <c r="CI6" s="77" t="n"/>
      <c r="CJ6" s="77" t="n"/>
      <c r="CK6" s="77" t="n"/>
      <c r="CL6" s="77" t="n"/>
      <c r="CM6" s="77" t="n"/>
      <c r="CN6" s="77" t="n"/>
      <c r="CO6" s="77" t="n"/>
      <c r="CP6" s="77" t="n"/>
      <c r="CQ6" s="77" t="n"/>
      <c r="CR6" s="77" t="n"/>
      <c r="CS6" s="77" t="n"/>
      <c r="CT6" s="77" t="n"/>
      <c r="CU6" s="77" t="n"/>
      <c r="CV6" s="77" t="n"/>
      <c r="CW6" s="77" t="n"/>
      <c r="CX6" s="77" t="n"/>
      <c r="CY6" s="85" t="n">
        <v>46569</v>
      </c>
      <c r="CZ6" s="77" t="n"/>
      <c r="DA6" s="77" t="n"/>
      <c r="DB6" s="77" t="n"/>
      <c r="DC6" s="77" t="n"/>
      <c r="DD6" s="77" t="n"/>
      <c r="DE6" s="77" t="n"/>
      <c r="DF6" s="77" t="n"/>
      <c r="DG6" s="77" t="n"/>
      <c r="DH6" s="77" t="n"/>
      <c r="DI6" s="77" t="n"/>
      <c r="DJ6" s="77" t="n"/>
      <c r="DK6" s="77" t="n"/>
      <c r="DL6" s="77" t="n"/>
      <c r="DM6" s="77" t="n"/>
      <c r="DN6" s="77" t="n"/>
      <c r="DO6" s="77" t="n"/>
      <c r="DP6" s="77" t="n"/>
      <c r="DQ6" s="77" t="n"/>
      <c r="DR6" s="77" t="n"/>
      <c r="DS6" s="85" t="n">
        <v>46753</v>
      </c>
      <c r="DT6" s="77" t="n"/>
      <c r="DU6" s="77" t="n"/>
      <c r="DV6" s="77" t="n"/>
      <c r="DW6" s="77" t="n"/>
      <c r="DX6" s="77" t="n"/>
      <c r="DY6" s="77" t="n"/>
      <c r="DZ6" s="77" t="n"/>
      <c r="EA6" s="77" t="n"/>
      <c r="EB6" s="77" t="n"/>
      <c r="EC6" s="77" t="n"/>
      <c r="ED6" s="77" t="n"/>
      <c r="EE6" s="77" t="n"/>
      <c r="EF6" s="77" t="n"/>
      <c r="EG6" s="77" t="n"/>
      <c r="EH6" s="77" t="n"/>
      <c r="EI6" s="77" t="n"/>
      <c r="EJ6" s="77" t="n"/>
      <c r="EK6" s="77" t="n"/>
      <c r="EL6" s="77" t="n"/>
      <c r="EM6" s="86" t="n">
        <v>30</v>
      </c>
      <c r="EN6" s="77" t="n"/>
      <c r="EO6" s="77" t="n"/>
      <c r="EP6" s="77" t="n"/>
      <c r="EQ6" s="77" t="n"/>
      <c r="ER6" s="77" t="n"/>
      <c r="ES6" s="77" t="n"/>
      <c r="ET6" s="77" t="n"/>
      <c r="EU6" s="77" t="n"/>
      <c r="EV6" s="77" t="n"/>
      <c r="EW6" s="77" t="n"/>
      <c r="EX6" s="77" t="n"/>
      <c r="EY6" s="77" t="n"/>
      <c r="EZ6" s="77" t="n"/>
      <c r="FA6" s="77" t="n"/>
      <c r="FB6" s="77" t="n"/>
      <c r="FC6" s="77" t="n"/>
      <c r="FD6" s="77" t="n"/>
      <c r="FE6" s="77" t="n"/>
      <c r="FF6" s="77" t="n"/>
      <c r="FG6" s="86" t="n"/>
      <c r="FH6" s="77" t="n"/>
      <c r="FI6" s="77" t="n"/>
      <c r="FJ6" s="77" t="n"/>
      <c r="FK6" s="77" t="n"/>
      <c r="FL6" s="77" t="n"/>
      <c r="FM6" s="77" t="n"/>
      <c r="FN6" s="77" t="n"/>
      <c r="FO6" s="77" t="n"/>
      <c r="FP6" s="77" t="n"/>
      <c r="FQ6" s="77" t="n"/>
      <c r="FR6" s="77" t="n"/>
      <c r="FS6" s="77" t="n"/>
      <c r="FT6" s="77" t="n"/>
      <c r="FU6" s="77" t="n"/>
      <c r="FV6" s="77" t="n"/>
      <c r="FW6" s="77" t="n"/>
      <c r="FX6" s="77" t="n"/>
      <c r="FY6" s="77" t="n"/>
      <c r="FZ6" s="77" t="n"/>
    </row>
    <row r="7">
      <c r="B7" s="75" t="inlineStr">
        <is>
          <t>※ 대정비 월 생산량 = P4 4월 생산 계획 칸 (1,188 kg) · 개선 후 월 Capa. = (연간 Capa. − 대정비 월 생산량) ÷ 11 · 2028 105℃ 50.2톤 · 설비별 투입 간격 공란 = 월 Capa. 역산 참고값 사용 · 시차는 운영 개념 설명용 가정</t>
        </is>
      </c>
    </row>
    <row r="9" ht="15" customHeight="1">
      <c r="B9" s="66" t="inlineStr">
        <is>
          <t>① 투자 · 운영 일정 (2027.1~2028.6)</t>
        </is>
      </c>
      <c r="BK9" s="67" t="inlineStr">
        <is>
          <t>생산 계획 행 = P4·P5 생산 계획 연동 (kg/월)</t>
        </is>
      </c>
    </row>
    <row r="10">
      <c r="B10" s="68" t="inlineStr">
        <is>
          <t>구분</t>
        </is>
      </c>
      <c r="C10" s="87">
        <f>DATE(2027,1,1)</f>
        <v>46388.0</v>
      </c>
      <c r="D10" s="77" t="n"/>
      <c r="E10" s="77" t="n"/>
      <c r="F10" s="77" t="n"/>
      <c r="G10" s="77" t="n"/>
      <c r="H10" s="77" t="n"/>
      <c r="I10" s="77" t="n"/>
      <c r="J10" s="77" t="n"/>
      <c r="K10" s="77" t="n"/>
      <c r="L10" s="77" t="n"/>
      <c r="M10" s="87">
        <f>DATE(2027,2,1)</f>
        <v>46419.0</v>
      </c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87">
        <f>DATE(2027,3,1)</f>
        <v>46447.0</v>
      </c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87">
        <f>DATE(2027,4,1)</f>
        <v>46478.0</v>
      </c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87">
        <f>DATE(2027,5,1)</f>
        <v>46508.0</v>
      </c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87">
        <f>DATE(2027,6,1)</f>
        <v>46539.0</v>
      </c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87">
        <f>DATE(2027,7,1)</f>
        <v>46569.0</v>
      </c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87">
        <f>DATE(2027,8,1)</f>
        <v>46600.0</v>
      </c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87">
        <f>DATE(2027,9,1)</f>
        <v>46631.0</v>
      </c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87">
        <f>DATE(2027,10,1)</f>
        <v>46661.0</v>
      </c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87">
        <f>DATE(2027,11,1)</f>
        <v>46692.0</v>
      </c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87">
        <f>DATE(2027,12,1)</f>
        <v>46722.0</v>
      </c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88">
        <f>DATE(2028,1,1)</f>
        <v>46753.0</v>
      </c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88">
        <f>DATE(2028,2,1)</f>
        <v>46784.0</v>
      </c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88">
        <f>DATE(2028,3,1)</f>
        <v>46813.0</v>
      </c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88">
        <f>DATE(2028,4,1)</f>
        <v>46844.0</v>
      </c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88">
        <f>DATE(2028,5,1)</f>
        <v>46874.0</v>
      </c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88">
        <f>DATE(2028,6,1)</f>
        <v>46905.0</v>
      </c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</row>
    <row r="11">
      <c r="B11" s="70" t="inlineStr">
        <is>
          <t>■ 현재 정제기 1대 (확정 계획)</t>
        </is>
      </c>
      <c r="C11" s="89" t="str">
        <f>IF(AND($C$10&lt;'01_Inputs'!$B$80,NOT(MONTH($C$10)='01_Inputs'!$B$69)),"1대 확정","")</f>
        <v>1대 확정</v>
      </c>
      <c r="D11" s="77" t="n"/>
      <c r="E11" s="77" t="n"/>
      <c r="F11" s="77" t="n"/>
      <c r="G11" s="77" t="n"/>
      <c r="H11" s="77" t="n"/>
      <c r="I11" s="77" t="n"/>
      <c r="J11" s="77" t="n"/>
      <c r="K11" s="77" t="n"/>
      <c r="L11" s="77" t="n"/>
      <c r="M11" s="89" t="str">
        <f>IF(AND($M$10&lt;'01_Inputs'!$B$80,NOT(MONTH($M$10)='01_Inputs'!$B$69)),"1대 확정","")</f>
        <v>1대 확정</v>
      </c>
      <c r="N11" s="77" t="n"/>
      <c r="O11" s="77" t="n"/>
      <c r="P11" s="77" t="n"/>
      <c r="Q11" s="77" t="n"/>
      <c r="R11" s="77" t="n"/>
      <c r="S11" s="77" t="n"/>
      <c r="T11" s="77" t="n"/>
      <c r="U11" s="77" t="n"/>
      <c r="V11" s="77" t="n"/>
      <c r="W11" s="89" t="str">
        <f>IF(AND($W$10&lt;'01_Inputs'!$B$80,NOT(MONTH($W$10)='01_Inputs'!$B$69)),"1대 확정","")</f>
        <v>1대 확정</v>
      </c>
      <c r="X11" s="77" t="n"/>
      <c r="Y11" s="77" t="n"/>
      <c r="Z11" s="77" t="n"/>
      <c r="AA11" s="77" t="n"/>
      <c r="AB11" s="77" t="n"/>
      <c r="AC11" s="77" t="n"/>
      <c r="AD11" s="77" t="n"/>
      <c r="AE11" s="77" t="n"/>
      <c r="AF11" s="77" t="n"/>
      <c r="AG11" s="89">
        <f>IF(AND($AG$10&lt;'01_Inputs'!$B$80,NOT(MONTH($AG$10)='01_Inputs'!$B$69)),"1대 확정","")</f>
      </c>
      <c r="AH11" s="77" t="n"/>
      <c r="AI11" s="77" t="n"/>
      <c r="AJ11" s="77" t="n"/>
      <c r="AK11" s="77" t="n"/>
      <c r="AL11" s="77" t="n"/>
      <c r="AM11" s="77" t="n"/>
      <c r="AN11" s="77" t="n"/>
      <c r="AO11" s="77" t="n"/>
      <c r="AP11" s="77" t="n"/>
      <c r="AQ11" s="89">
        <f>IF(AND($AQ$10&lt;'01_Inputs'!$B$80,NOT(MONTH($AQ$10)='01_Inputs'!$B$69)),"1대 확정","")</f>
      </c>
      <c r="AR11" s="77" t="n"/>
      <c r="AS11" s="77" t="n"/>
      <c r="AT11" s="77" t="n"/>
      <c r="AU11" s="77" t="n"/>
      <c r="AV11" s="77" t="n"/>
      <c r="AW11" s="77" t="n"/>
      <c r="AX11" s="77" t="n"/>
      <c r="AY11" s="77" t="n"/>
      <c r="AZ11" s="77" t="n"/>
      <c r="BA11" s="89">
        <f>IF(AND($BA$10&lt;'01_Inputs'!$B$80,NOT(MONTH($BA$10)='01_Inputs'!$B$69)),"1대 확정","")</f>
      </c>
      <c r="BB11" s="77" t="n"/>
      <c r="BC11" s="77" t="n"/>
      <c r="BD11" s="77" t="n"/>
      <c r="BE11" s="77" t="n"/>
      <c r="BF11" s="77" t="n"/>
      <c r="BG11" s="77" t="n"/>
      <c r="BH11" s="77" t="n"/>
      <c r="BI11" s="77" t="n"/>
      <c r="BJ11" s="77" t="n"/>
      <c r="BK11" s="89">
        <f>IF(AND($BK$10&lt;'01_Inputs'!$B$80,NOT(MONTH($BK$10)='01_Inputs'!$B$69)),"1대 확정","")</f>
      </c>
      <c r="BL11" s="77" t="n"/>
      <c r="BM11" s="77" t="n"/>
      <c r="BN11" s="77" t="n"/>
      <c r="BO11" s="77" t="n"/>
      <c r="BP11" s="77" t="n"/>
      <c r="BQ11" s="77" t="n"/>
      <c r="BR11" s="77" t="n"/>
      <c r="BS11" s="77" t="n"/>
      <c r="BT11" s="77" t="n"/>
      <c r="BU11" s="89">
        <f>IF(AND($BU$10&lt;'01_Inputs'!$B$80,NOT(MONTH($BU$10)='01_Inputs'!$B$69)),"1대 확정","")</f>
      </c>
      <c r="BV11" s="77" t="n"/>
      <c r="BW11" s="77" t="n"/>
      <c r="BX11" s="77" t="n"/>
      <c r="BY11" s="77" t="n"/>
      <c r="BZ11" s="77" t="n"/>
      <c r="CA11" s="77" t="n"/>
      <c r="CB11" s="77" t="n"/>
      <c r="CC11" s="77" t="n"/>
      <c r="CD11" s="77" t="n"/>
      <c r="CE11" s="89">
        <f>IF(AND($CE$10&lt;'01_Inputs'!$B$80,NOT(MONTH($CE$10)='01_Inputs'!$B$69)),"1대 확정","")</f>
      </c>
      <c r="CF11" s="77" t="n"/>
      <c r="CG11" s="77" t="n"/>
      <c r="CH11" s="77" t="n"/>
      <c r="CI11" s="77" t="n"/>
      <c r="CJ11" s="77" t="n"/>
      <c r="CK11" s="77" t="n"/>
      <c r="CL11" s="77" t="n"/>
      <c r="CM11" s="77" t="n"/>
      <c r="CN11" s="77" t="n"/>
      <c r="CO11" s="89">
        <f>IF(AND($CO$10&lt;'01_Inputs'!$B$80,NOT(MONTH($CO$10)='01_Inputs'!$B$69)),"1대 확정","")</f>
      </c>
      <c r="CP11" s="77" t="n"/>
      <c r="CQ11" s="77" t="n"/>
      <c r="CR11" s="77" t="n"/>
      <c r="CS11" s="77" t="n"/>
      <c r="CT11" s="77" t="n"/>
      <c r="CU11" s="77" t="n"/>
      <c r="CV11" s="77" t="n"/>
      <c r="CW11" s="77" t="n"/>
      <c r="CX11" s="77" t="n"/>
      <c r="CY11" s="89">
        <f>IF(AND($CY$10&lt;'01_Inputs'!$B$80,NOT(MONTH($CY$10)='01_Inputs'!$B$69)),"1대 확정","")</f>
      </c>
      <c r="CZ11" s="77" t="n"/>
      <c r="DA11" s="77" t="n"/>
      <c r="DB11" s="77" t="n"/>
      <c r="DC11" s="77" t="n"/>
      <c r="DD11" s="77" t="n"/>
      <c r="DE11" s="77" t="n"/>
      <c r="DF11" s="77" t="n"/>
      <c r="DG11" s="77" t="n"/>
      <c r="DH11" s="77" t="n"/>
      <c r="DI11" s="89">
        <f>IF(AND($DI$10&lt;'01_Inputs'!$B$80,NOT(MONTH($DI$10)='01_Inputs'!$B$69)),"1대 확정","")</f>
      </c>
      <c r="DJ11" s="77" t="n"/>
      <c r="DK11" s="77" t="n"/>
      <c r="DL11" s="77" t="n"/>
      <c r="DM11" s="77" t="n"/>
      <c r="DN11" s="77" t="n"/>
      <c r="DO11" s="77" t="n"/>
      <c r="DP11" s="77" t="n"/>
      <c r="DQ11" s="77" t="n"/>
      <c r="DR11" s="77" t="n"/>
      <c r="DS11" s="89">
        <f>IF(AND($DS$10&lt;'01_Inputs'!$B$80,NOT(MONTH($DS$10)='01_Inputs'!$B$69)),"1대 확정","")</f>
      </c>
      <c r="DT11" s="77" t="n"/>
      <c r="DU11" s="77" t="n"/>
      <c r="DV11" s="77" t="n"/>
      <c r="DW11" s="77" t="n"/>
      <c r="DX11" s="77" t="n"/>
      <c r="DY11" s="77" t="n"/>
      <c r="DZ11" s="77" t="n"/>
      <c r="EA11" s="77" t="n"/>
      <c r="EB11" s="77" t="n"/>
      <c r="EC11" s="89">
        <f>IF(AND($EC$10&lt;'01_Inputs'!$B$80,NOT(MONTH($EC$10)='01_Inputs'!$B$69)),"1대 확정","")</f>
      </c>
      <c r="ED11" s="77" t="n"/>
      <c r="EE11" s="77" t="n"/>
      <c r="EF11" s="77" t="n"/>
      <c r="EG11" s="77" t="n"/>
      <c r="EH11" s="77" t="n"/>
      <c r="EI11" s="77" t="n"/>
      <c r="EJ11" s="77" t="n"/>
      <c r="EK11" s="77" t="n"/>
      <c r="EL11" s="77" t="n"/>
      <c r="EM11" s="89">
        <f>IF(AND($EM$10&lt;'01_Inputs'!$B$80,NOT(MONTH($EM$10)='01_Inputs'!$B$69)),"1대 확정","")</f>
      </c>
      <c r="EN11" s="77" t="n"/>
      <c r="EO11" s="77" t="n"/>
      <c r="EP11" s="77" t="n"/>
      <c r="EQ11" s="77" t="n"/>
      <c r="ER11" s="77" t="n"/>
      <c r="ES11" s="77" t="n"/>
      <c r="ET11" s="77" t="n"/>
      <c r="EU11" s="77" t="n"/>
      <c r="EV11" s="77" t="n"/>
      <c r="EW11" s="89">
        <f>IF(AND($EW$10&lt;'01_Inputs'!$B$80,NOT(MONTH($EW$10)='01_Inputs'!$B$69)),"1대 확정","")</f>
      </c>
      <c r="EX11" s="77" t="n"/>
      <c r="EY11" s="77" t="n"/>
      <c r="EZ11" s="77" t="n"/>
      <c r="FA11" s="77" t="n"/>
      <c r="FB11" s="77" t="n"/>
      <c r="FC11" s="77" t="n"/>
      <c r="FD11" s="77" t="n"/>
      <c r="FE11" s="77" t="n"/>
      <c r="FF11" s="77" t="n"/>
      <c r="FG11" s="89">
        <f>IF(AND($FG$10&lt;'01_Inputs'!$B$80,NOT(MONTH($FG$10)='01_Inputs'!$B$69)),"1대 확정","")</f>
      </c>
      <c r="FH11" s="77" t="n"/>
      <c r="FI11" s="77" t="n"/>
      <c r="FJ11" s="77" t="n"/>
      <c r="FK11" s="77" t="n"/>
      <c r="FL11" s="77" t="n"/>
      <c r="FM11" s="77" t="n"/>
      <c r="FN11" s="77" t="n"/>
      <c r="FO11" s="77" t="n"/>
      <c r="FP11" s="77" t="n"/>
      <c r="FQ11" s="89">
        <f>IF(AND($FQ$10&lt;'01_Inputs'!$B$80,NOT(MONTH($FQ$10)='01_Inputs'!$B$69)),"1대 확정","")</f>
      </c>
      <c r="FR11" s="77" t="n"/>
      <c r="FS11" s="77" t="n"/>
      <c r="FT11" s="77" t="n"/>
      <c r="FU11" s="77" t="n"/>
      <c r="FV11" s="77" t="n"/>
      <c r="FW11" s="77" t="n"/>
      <c r="FX11" s="77" t="n"/>
      <c r="FY11" s="77" t="n"/>
      <c r="FZ11" s="77" t="n"/>
    </row>
    <row r="12">
      <c r="B12" s="70" t="inlineStr">
        <is>
          <t>■ 대정비 (매년)</t>
        </is>
      </c>
      <c r="C12" s="89">
        <f>IF(MONTH($C$10)='01_Inputs'!$B$69,"대정비","")</f>
      </c>
      <c r="D12" s="77" t="n"/>
      <c r="E12" s="77" t="n"/>
      <c r="F12" s="77" t="n"/>
      <c r="G12" s="77" t="n"/>
      <c r="H12" s="77" t="n"/>
      <c r="I12" s="77" t="n"/>
      <c r="J12" s="77" t="n"/>
      <c r="K12" s="77" t="n"/>
      <c r="L12" s="77" t="n"/>
      <c r="M12" s="89">
        <f>IF(MONTH($M$10)='01_Inputs'!$B$69,"대정비","")</f>
      </c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89">
        <f>IF(MONTH($W$10)='01_Inputs'!$B$69,"대정비","")</f>
      </c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89" t="str">
        <f>IF(MONTH($AG$10)='01_Inputs'!$B$69,"대정비","")</f>
        <v>대정비</v>
      </c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89">
        <f>IF(MONTH($AQ$10)='01_Inputs'!$B$69,"대정비","")</f>
      </c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89">
        <f>IF(MONTH($BA$10)='01_Inputs'!$B$69,"대정비","")</f>
      </c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89">
        <f>IF(MONTH($BK$10)='01_Inputs'!$B$69,"대정비","")</f>
      </c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89">
        <f>IF(MONTH($BU$10)='01_Inputs'!$B$69,"대정비","")</f>
      </c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89">
        <f>IF(MONTH($CE$10)='01_Inputs'!$B$69,"대정비","")</f>
      </c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89">
        <f>IF(MONTH($CO$10)='01_Inputs'!$B$69,"대정비","")</f>
      </c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89">
        <f>IF(MONTH($CY$10)='01_Inputs'!$B$69,"대정비","")</f>
      </c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89">
        <f>IF(MONTH($DI$10)='01_Inputs'!$B$69,"대정비","")</f>
      </c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89">
        <f>IF(MONTH($DS$10)='01_Inputs'!$B$69,"대정비","")</f>
      </c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89">
        <f>IF(MONTH($EC$10)='01_Inputs'!$B$69,"대정비","")</f>
      </c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89">
        <f>IF(MONTH($EM$10)='01_Inputs'!$B$69,"대정비","")</f>
      </c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89" t="str">
        <f>IF(MONTH($EW$10)='01_Inputs'!$B$69,"대정비","")</f>
        <v>대정비</v>
      </c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89">
        <f>IF(MONTH($FG$10)='01_Inputs'!$B$69,"대정비","")</f>
      </c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89">
        <f>IF(MONTH($FQ$10)='01_Inputs'!$B$69,"대정비","")</f>
      </c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</row>
    <row r="13">
      <c r="B13" s="70" t="inlineStr">
        <is>
          <t>■ 정제기 2대 개선 생산</t>
        </is>
      </c>
      <c r="C13" s="89">
        <f>IF(AND($C$10&gt;='01_Inputs'!$B$80,NOT(MONTH($C$10)='01_Inputs'!$B$69)),IF($C$10&lt;='01_Inputs'!$B$81,"12개월","생산"),"")</f>
      </c>
      <c r="D13" s="77" t="n"/>
      <c r="E13" s="77" t="n"/>
      <c r="F13" s="77" t="n"/>
      <c r="G13" s="77" t="n"/>
      <c r="H13" s="77" t="n"/>
      <c r="I13" s="77" t="n"/>
      <c r="J13" s="77" t="n"/>
      <c r="K13" s="77" t="n"/>
      <c r="L13" s="77" t="n"/>
      <c r="M13" s="89">
        <f>IF(AND($M$10&gt;='01_Inputs'!$B$80,NOT(MONTH($M$10)='01_Inputs'!$B$69)),IF($M$10&lt;='01_Inputs'!$B$81,"12개월","생산"),"")</f>
      </c>
      <c r="N13" s="77" t="n"/>
      <c r="O13" s="77" t="n"/>
      <c r="P13" s="77" t="n"/>
      <c r="Q13" s="77" t="n"/>
      <c r="R13" s="77" t="n"/>
      <c r="S13" s="77" t="n"/>
      <c r="T13" s="77" t="n"/>
      <c r="U13" s="77" t="n"/>
      <c r="V13" s="77" t="n"/>
      <c r="W13" s="89">
        <f>IF(AND($W$10&gt;='01_Inputs'!$B$80,NOT(MONTH($W$10)='01_Inputs'!$B$69)),IF($W$10&lt;='01_Inputs'!$B$81,"12개월","생산"),"")</f>
      </c>
      <c r="X13" s="77" t="n"/>
      <c r="Y13" s="77" t="n"/>
      <c r="Z13" s="77" t="n"/>
      <c r="AA13" s="77" t="n"/>
      <c r="AB13" s="77" t="n"/>
      <c r="AC13" s="77" t="n"/>
      <c r="AD13" s="77" t="n"/>
      <c r="AE13" s="77" t="n"/>
      <c r="AF13" s="77" t="n"/>
      <c r="AG13" s="89">
        <f>IF(AND($AG$10&gt;='01_Inputs'!$B$80,NOT(MONTH($AG$10)='01_Inputs'!$B$69)),IF($AG$10&lt;='01_Inputs'!$B$81,"12개월","생산"),"")</f>
      </c>
      <c r="AH13" s="77" t="n"/>
      <c r="AI13" s="77" t="n"/>
      <c r="AJ13" s="77" t="n"/>
      <c r="AK13" s="77" t="n"/>
      <c r="AL13" s="77" t="n"/>
      <c r="AM13" s="77" t="n"/>
      <c r="AN13" s="77" t="n"/>
      <c r="AO13" s="77" t="n"/>
      <c r="AP13" s="77" t="n"/>
      <c r="AQ13" s="89" t="str">
        <f>IF(AND($AQ$10&gt;='01_Inputs'!$B$80,NOT(MONTH($AQ$10)='01_Inputs'!$B$69)),IF($AQ$10&lt;='01_Inputs'!$B$81,"12개월","생산"),"")</f>
        <v>12개월</v>
      </c>
      <c r="AR13" s="77" t="n"/>
      <c r="AS13" s="77" t="n"/>
      <c r="AT13" s="77" t="n"/>
      <c r="AU13" s="77" t="n"/>
      <c r="AV13" s="77" t="n"/>
      <c r="AW13" s="77" t="n"/>
      <c r="AX13" s="77" t="n"/>
      <c r="AY13" s="77" t="n"/>
      <c r="AZ13" s="77" t="n"/>
      <c r="BA13" s="89" t="str">
        <f>IF(AND($BA$10&gt;='01_Inputs'!$B$80,NOT(MONTH($BA$10)='01_Inputs'!$B$69)),IF($BA$10&lt;='01_Inputs'!$B$81,"12개월","생산"),"")</f>
        <v>12개월</v>
      </c>
      <c r="BB13" s="77" t="n"/>
      <c r="BC13" s="77" t="n"/>
      <c r="BD13" s="77" t="n"/>
      <c r="BE13" s="77" t="n"/>
      <c r="BF13" s="77" t="n"/>
      <c r="BG13" s="77" t="n"/>
      <c r="BH13" s="77" t="n"/>
      <c r="BI13" s="77" t="n"/>
      <c r="BJ13" s="77" t="n"/>
      <c r="BK13" s="89" t="str">
        <f>IF(AND($BK$10&gt;='01_Inputs'!$B$80,NOT(MONTH($BK$10)='01_Inputs'!$B$69)),IF($BK$10&lt;='01_Inputs'!$B$81,"12개월","생산"),"")</f>
        <v>12개월</v>
      </c>
      <c r="BL13" s="77" t="n"/>
      <c r="BM13" s="77" t="n"/>
      <c r="BN13" s="77" t="n"/>
      <c r="BO13" s="77" t="n"/>
      <c r="BP13" s="77" t="n"/>
      <c r="BQ13" s="77" t="n"/>
      <c r="BR13" s="77" t="n"/>
      <c r="BS13" s="77" t="n"/>
      <c r="BT13" s="77" t="n"/>
      <c r="BU13" s="89" t="str">
        <f>IF(AND($BU$10&gt;='01_Inputs'!$B$80,NOT(MONTH($BU$10)='01_Inputs'!$B$69)),IF($BU$10&lt;='01_Inputs'!$B$81,"12개월","생산"),"")</f>
        <v>12개월</v>
      </c>
      <c r="BV13" s="77" t="n"/>
      <c r="BW13" s="77" t="n"/>
      <c r="BX13" s="77" t="n"/>
      <c r="BY13" s="77" t="n"/>
      <c r="BZ13" s="77" t="n"/>
      <c r="CA13" s="77" t="n"/>
      <c r="CB13" s="77" t="n"/>
      <c r="CC13" s="77" t="n"/>
      <c r="CD13" s="77" t="n"/>
      <c r="CE13" s="89" t="str">
        <f>IF(AND($CE$10&gt;='01_Inputs'!$B$80,NOT(MONTH($CE$10)='01_Inputs'!$B$69)),IF($CE$10&lt;='01_Inputs'!$B$81,"12개월","생산"),"")</f>
        <v>12개월</v>
      </c>
      <c r="CF13" s="77" t="n"/>
      <c r="CG13" s="77" t="n"/>
      <c r="CH13" s="77" t="n"/>
      <c r="CI13" s="77" t="n"/>
      <c r="CJ13" s="77" t="n"/>
      <c r="CK13" s="77" t="n"/>
      <c r="CL13" s="77" t="n"/>
      <c r="CM13" s="77" t="n"/>
      <c r="CN13" s="77" t="n"/>
      <c r="CO13" s="89" t="str">
        <f>IF(AND($CO$10&gt;='01_Inputs'!$B$80,NOT(MONTH($CO$10)='01_Inputs'!$B$69)),IF($CO$10&lt;='01_Inputs'!$B$81,"12개월","생산"),"")</f>
        <v>12개월</v>
      </c>
      <c r="CP13" s="77" t="n"/>
      <c r="CQ13" s="77" t="n"/>
      <c r="CR13" s="77" t="n"/>
      <c r="CS13" s="77" t="n"/>
      <c r="CT13" s="77" t="n"/>
      <c r="CU13" s="77" t="n"/>
      <c r="CV13" s="77" t="n"/>
      <c r="CW13" s="77" t="n"/>
      <c r="CX13" s="77" t="n"/>
      <c r="CY13" s="89" t="str">
        <f>IF(AND($CY$10&gt;='01_Inputs'!$B$80,NOT(MONTH($CY$10)='01_Inputs'!$B$69)),IF($CY$10&lt;='01_Inputs'!$B$81,"12개월","생산"),"")</f>
        <v>12개월</v>
      </c>
      <c r="CZ13" s="77" t="n"/>
      <c r="DA13" s="77" t="n"/>
      <c r="DB13" s="77" t="n"/>
      <c r="DC13" s="77" t="n"/>
      <c r="DD13" s="77" t="n"/>
      <c r="DE13" s="77" t="n"/>
      <c r="DF13" s="77" t="n"/>
      <c r="DG13" s="77" t="n"/>
      <c r="DH13" s="77" t="n"/>
      <c r="DI13" s="89" t="str">
        <f>IF(AND($DI$10&gt;='01_Inputs'!$B$80,NOT(MONTH($DI$10)='01_Inputs'!$B$69)),IF($DI$10&lt;='01_Inputs'!$B$81,"12개월","생산"),"")</f>
        <v>12개월</v>
      </c>
      <c r="DJ13" s="77" t="n"/>
      <c r="DK13" s="77" t="n"/>
      <c r="DL13" s="77" t="n"/>
      <c r="DM13" s="77" t="n"/>
      <c r="DN13" s="77" t="n"/>
      <c r="DO13" s="77" t="n"/>
      <c r="DP13" s="77" t="n"/>
      <c r="DQ13" s="77" t="n"/>
      <c r="DR13" s="77" t="n"/>
      <c r="DS13" s="89" t="str">
        <f>IF(AND($DS$10&gt;='01_Inputs'!$B$80,NOT(MONTH($DS$10)='01_Inputs'!$B$69)),IF($DS$10&lt;='01_Inputs'!$B$81,"12개월","생산"),"")</f>
        <v>12개월</v>
      </c>
      <c r="DT13" s="77" t="n"/>
      <c r="DU13" s="77" t="n"/>
      <c r="DV13" s="77" t="n"/>
      <c r="DW13" s="77" t="n"/>
      <c r="DX13" s="77" t="n"/>
      <c r="DY13" s="77" t="n"/>
      <c r="DZ13" s="77" t="n"/>
      <c r="EA13" s="77" t="n"/>
      <c r="EB13" s="77" t="n"/>
      <c r="EC13" s="89" t="str">
        <f>IF(AND($EC$10&gt;='01_Inputs'!$B$80,NOT(MONTH($EC$10)='01_Inputs'!$B$69)),IF($EC$10&lt;='01_Inputs'!$B$81,"12개월","생산"),"")</f>
        <v>12개월</v>
      </c>
      <c r="ED13" s="77" t="n"/>
      <c r="EE13" s="77" t="n"/>
      <c r="EF13" s="77" t="n"/>
      <c r="EG13" s="77" t="n"/>
      <c r="EH13" s="77" t="n"/>
      <c r="EI13" s="77" t="n"/>
      <c r="EJ13" s="77" t="n"/>
      <c r="EK13" s="77" t="n"/>
      <c r="EL13" s="77" t="n"/>
      <c r="EM13" s="89" t="str">
        <f>IF(AND($EM$10&gt;='01_Inputs'!$B$80,NOT(MONTH($EM$10)='01_Inputs'!$B$69)),IF($EM$10&lt;='01_Inputs'!$B$81,"12개월","생산"),"")</f>
        <v>12개월</v>
      </c>
      <c r="EN13" s="77" t="n"/>
      <c r="EO13" s="77" t="n"/>
      <c r="EP13" s="77" t="n"/>
      <c r="EQ13" s="77" t="n"/>
      <c r="ER13" s="77" t="n"/>
      <c r="ES13" s="77" t="n"/>
      <c r="ET13" s="77" t="n"/>
      <c r="EU13" s="77" t="n"/>
      <c r="EV13" s="77" t="n"/>
      <c r="EW13" s="89">
        <f>IF(AND($EW$10&gt;='01_Inputs'!$B$80,NOT(MONTH($EW$10)='01_Inputs'!$B$69)),IF($EW$10&lt;='01_Inputs'!$B$81,"12개월","생산"),"")</f>
      </c>
      <c r="EX13" s="77" t="n"/>
      <c r="EY13" s="77" t="n"/>
      <c r="EZ13" s="77" t="n"/>
      <c r="FA13" s="77" t="n"/>
      <c r="FB13" s="77" t="n"/>
      <c r="FC13" s="77" t="n"/>
      <c r="FD13" s="77" t="n"/>
      <c r="FE13" s="77" t="n"/>
      <c r="FF13" s="77" t="n"/>
      <c r="FG13" s="89" t="str">
        <f>IF(AND($FG$10&gt;='01_Inputs'!$B$80,NOT(MONTH($FG$10)='01_Inputs'!$B$69)),IF($FG$10&lt;='01_Inputs'!$B$81,"12개월","생산"),"")</f>
        <v>생산</v>
      </c>
      <c r="FH13" s="77" t="n"/>
      <c r="FI13" s="77" t="n"/>
      <c r="FJ13" s="77" t="n"/>
      <c r="FK13" s="77" t="n"/>
      <c r="FL13" s="77" t="n"/>
      <c r="FM13" s="77" t="n"/>
      <c r="FN13" s="77" t="n"/>
      <c r="FO13" s="77" t="n"/>
      <c r="FP13" s="77" t="n"/>
      <c r="FQ13" s="89" t="str">
        <f>IF(AND($FQ$10&gt;='01_Inputs'!$B$80,NOT(MONTH($FQ$10)='01_Inputs'!$B$69)),IF($FQ$10&lt;='01_Inputs'!$B$81,"12개월","생산"),"")</f>
        <v>생산</v>
      </c>
      <c r="FR13" s="77" t="n"/>
      <c r="FS13" s="77" t="n"/>
      <c r="FT13" s="77" t="n"/>
      <c r="FU13" s="77" t="n"/>
      <c r="FV13" s="77" t="n"/>
      <c r="FW13" s="77" t="n"/>
      <c r="FX13" s="77" t="n"/>
      <c r="FY13" s="77" t="n"/>
      <c r="FZ13" s="77" t="n"/>
    </row>
    <row r="14">
      <c r="B14" s="70" t="inlineStr">
        <is>
          <t>■ ARS 200 L 충진</t>
        </is>
      </c>
      <c r="C14" s="89" t="str">
        <f>IF($C$10&gt;=MIN('01_Inputs'!$B$46,'01_Inputs'!$B$47),"ARS","수동")</f>
        <v>수동</v>
      </c>
      <c r="D14" s="77" t="n"/>
      <c r="E14" s="77" t="n"/>
      <c r="F14" s="77" t="n"/>
      <c r="G14" s="77" t="n"/>
      <c r="H14" s="77" t="n"/>
      <c r="I14" s="77" t="n"/>
      <c r="J14" s="77" t="n"/>
      <c r="K14" s="77" t="n"/>
      <c r="L14" s="77" t="n"/>
      <c r="M14" s="89" t="str">
        <f>IF($M$10&gt;=MIN('01_Inputs'!$B$46,'01_Inputs'!$B$47),"ARS","수동")</f>
        <v>수동</v>
      </c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89" t="str">
        <f>IF($W$10&gt;=MIN('01_Inputs'!$B$46,'01_Inputs'!$B$47),"ARS","수동")</f>
        <v>수동</v>
      </c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89" t="str">
        <f>IF($AG$10&gt;=MIN('01_Inputs'!$B$46,'01_Inputs'!$B$47),"ARS","수동")</f>
        <v>수동</v>
      </c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89" t="str">
        <f>IF($AQ$10&gt;=MIN('01_Inputs'!$B$46,'01_Inputs'!$B$47),"ARS","수동")</f>
        <v>수동</v>
      </c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89" t="str">
        <f>IF($BA$10&gt;=MIN('01_Inputs'!$B$46,'01_Inputs'!$B$47),"ARS","수동")</f>
        <v>수동</v>
      </c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89" t="str">
        <f>IF($BK$10&gt;=MIN('01_Inputs'!$B$46,'01_Inputs'!$B$47),"ARS","수동")</f>
        <v>ARS</v>
      </c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89" t="str">
        <f>IF($BU$10&gt;=MIN('01_Inputs'!$B$46,'01_Inputs'!$B$47),"ARS","수동")</f>
        <v>ARS</v>
      </c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89" t="str">
        <f>IF($CE$10&gt;=MIN('01_Inputs'!$B$46,'01_Inputs'!$B$47),"ARS","수동")</f>
        <v>ARS</v>
      </c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89" t="str">
        <f>IF($CO$10&gt;=MIN('01_Inputs'!$B$46,'01_Inputs'!$B$47),"ARS","수동")</f>
        <v>ARS</v>
      </c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89" t="str">
        <f>IF($CY$10&gt;=MIN('01_Inputs'!$B$46,'01_Inputs'!$B$47),"ARS","수동")</f>
        <v>ARS</v>
      </c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89" t="str">
        <f>IF($DI$10&gt;=MIN('01_Inputs'!$B$46,'01_Inputs'!$B$47),"ARS","수동")</f>
        <v>ARS</v>
      </c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89" t="str">
        <f>IF($DS$10&gt;=MIN('01_Inputs'!$B$46,'01_Inputs'!$B$47),"ARS","수동")</f>
        <v>ARS</v>
      </c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89" t="str">
        <f>IF($EC$10&gt;=MIN('01_Inputs'!$B$46,'01_Inputs'!$B$47),"ARS","수동")</f>
        <v>ARS</v>
      </c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89" t="str">
        <f>IF($EM$10&gt;=MIN('01_Inputs'!$B$46,'01_Inputs'!$B$47),"ARS","수동")</f>
        <v>ARS</v>
      </c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89" t="str">
        <f>IF($EW$10&gt;=MIN('01_Inputs'!$B$46,'01_Inputs'!$B$47),"ARS","수동")</f>
        <v>ARS</v>
      </c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89" t="str">
        <f>IF($FG$10&gt;=MIN('01_Inputs'!$B$46,'01_Inputs'!$B$47),"ARS","수동")</f>
        <v>ARS</v>
      </c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89" t="str">
        <f>IF($FQ$10&gt;=MIN('01_Inputs'!$B$46,'01_Inputs'!$B$47),"ARS","수동")</f>
        <v>ARS</v>
      </c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</row>
    <row r="15">
      <c r="B15" s="70" t="inlineStr">
        <is>
          <t>■ 105℃ 50.2톤 기준</t>
        </is>
      </c>
      <c r="C15" s="89">
        <f>IF(AND(ISNUMBER('01_Inputs'!$B$76),$C$10&gt;='01_Inputs'!$B$76,NOT(MONTH($C$10)='01_Inputs'!$B$69)),"105℃","")</f>
      </c>
      <c r="D15" s="77" t="n"/>
      <c r="E15" s="77" t="n"/>
      <c r="F15" s="77" t="n"/>
      <c r="G15" s="77" t="n"/>
      <c r="H15" s="77" t="n"/>
      <c r="I15" s="77" t="n"/>
      <c r="J15" s="77" t="n"/>
      <c r="K15" s="77" t="n"/>
      <c r="L15" s="77" t="n"/>
      <c r="M15" s="89">
        <f>IF(AND(ISNUMBER('01_Inputs'!$B$76),$M$10&gt;='01_Inputs'!$B$76,NOT(MONTH($M$10)='01_Inputs'!$B$69)),"105℃","")</f>
      </c>
      <c r="N15" s="77" t="n"/>
      <c r="O15" s="77" t="n"/>
      <c r="P15" s="77" t="n"/>
      <c r="Q15" s="77" t="n"/>
      <c r="R15" s="77" t="n"/>
      <c r="S15" s="77" t="n"/>
      <c r="T15" s="77" t="n"/>
      <c r="U15" s="77" t="n"/>
      <c r="V15" s="77" t="n"/>
      <c r="W15" s="89">
        <f>IF(AND(ISNUMBER('01_Inputs'!$B$76),$W$10&gt;='01_Inputs'!$B$76,NOT(MONTH($W$10)='01_Inputs'!$B$69)),"105℃","")</f>
      </c>
      <c r="X15" s="77" t="n"/>
      <c r="Y15" s="77" t="n"/>
      <c r="Z15" s="77" t="n"/>
      <c r="AA15" s="77" t="n"/>
      <c r="AB15" s="77" t="n"/>
      <c r="AC15" s="77" t="n"/>
      <c r="AD15" s="77" t="n"/>
      <c r="AE15" s="77" t="n"/>
      <c r="AF15" s="77" t="n"/>
      <c r="AG15" s="89">
        <f>IF(AND(ISNUMBER('01_Inputs'!$B$76),$AG$10&gt;='01_Inputs'!$B$76,NOT(MONTH($AG$10)='01_Inputs'!$B$69)),"105℃","")</f>
      </c>
      <c r="AH15" s="77" t="n"/>
      <c r="AI15" s="77" t="n"/>
      <c r="AJ15" s="77" t="n"/>
      <c r="AK15" s="77" t="n"/>
      <c r="AL15" s="77" t="n"/>
      <c r="AM15" s="77" t="n"/>
      <c r="AN15" s="77" t="n"/>
      <c r="AO15" s="77" t="n"/>
      <c r="AP15" s="77" t="n"/>
      <c r="AQ15" s="89">
        <f>IF(AND(ISNUMBER('01_Inputs'!$B$76),$AQ$10&gt;='01_Inputs'!$B$76,NOT(MONTH($AQ$10)='01_Inputs'!$B$69)),"105℃","")</f>
      </c>
      <c r="AR15" s="77" t="n"/>
      <c r="AS15" s="77" t="n"/>
      <c r="AT15" s="77" t="n"/>
      <c r="AU15" s="77" t="n"/>
      <c r="AV15" s="77" t="n"/>
      <c r="AW15" s="77" t="n"/>
      <c r="AX15" s="77" t="n"/>
      <c r="AY15" s="77" t="n"/>
      <c r="AZ15" s="77" t="n"/>
      <c r="BA15" s="89">
        <f>IF(AND(ISNUMBER('01_Inputs'!$B$76),$BA$10&gt;='01_Inputs'!$B$76,NOT(MONTH($BA$10)='01_Inputs'!$B$69)),"105℃","")</f>
      </c>
      <c r="BB15" s="77" t="n"/>
      <c r="BC15" s="77" t="n"/>
      <c r="BD15" s="77" t="n"/>
      <c r="BE15" s="77" t="n"/>
      <c r="BF15" s="77" t="n"/>
      <c r="BG15" s="77" t="n"/>
      <c r="BH15" s="77" t="n"/>
      <c r="BI15" s="77" t="n"/>
      <c r="BJ15" s="77" t="n"/>
      <c r="BK15" s="89">
        <f>IF(AND(ISNUMBER('01_Inputs'!$B$76),$BK$10&gt;='01_Inputs'!$B$76,NOT(MONTH($BK$10)='01_Inputs'!$B$69)),"105℃","")</f>
      </c>
      <c r="BL15" s="77" t="n"/>
      <c r="BM15" s="77" t="n"/>
      <c r="BN15" s="77" t="n"/>
      <c r="BO15" s="77" t="n"/>
      <c r="BP15" s="77" t="n"/>
      <c r="BQ15" s="77" t="n"/>
      <c r="BR15" s="77" t="n"/>
      <c r="BS15" s="77" t="n"/>
      <c r="BT15" s="77" t="n"/>
      <c r="BU15" s="89">
        <f>IF(AND(ISNUMBER('01_Inputs'!$B$76),$BU$10&gt;='01_Inputs'!$B$76,NOT(MONTH($BU$10)='01_Inputs'!$B$69)),"105℃","")</f>
      </c>
      <c r="BV15" s="77" t="n"/>
      <c r="BW15" s="77" t="n"/>
      <c r="BX15" s="77" t="n"/>
      <c r="BY15" s="77" t="n"/>
      <c r="BZ15" s="77" t="n"/>
      <c r="CA15" s="77" t="n"/>
      <c r="CB15" s="77" t="n"/>
      <c r="CC15" s="77" t="n"/>
      <c r="CD15" s="77" t="n"/>
      <c r="CE15" s="89">
        <f>IF(AND(ISNUMBER('01_Inputs'!$B$76),$CE$10&gt;='01_Inputs'!$B$76,NOT(MONTH($CE$10)='01_Inputs'!$B$69)),"105℃","")</f>
      </c>
      <c r="CF15" s="77" t="n"/>
      <c r="CG15" s="77" t="n"/>
      <c r="CH15" s="77" t="n"/>
      <c r="CI15" s="77" t="n"/>
      <c r="CJ15" s="77" t="n"/>
      <c r="CK15" s="77" t="n"/>
      <c r="CL15" s="77" t="n"/>
      <c r="CM15" s="77" t="n"/>
      <c r="CN15" s="77" t="n"/>
      <c r="CO15" s="89">
        <f>IF(AND(ISNUMBER('01_Inputs'!$B$76),$CO$10&gt;='01_Inputs'!$B$76,NOT(MONTH($CO$10)='01_Inputs'!$B$69)),"105℃","")</f>
      </c>
      <c r="CP15" s="77" t="n"/>
      <c r="CQ15" s="77" t="n"/>
      <c r="CR15" s="77" t="n"/>
      <c r="CS15" s="77" t="n"/>
      <c r="CT15" s="77" t="n"/>
      <c r="CU15" s="77" t="n"/>
      <c r="CV15" s="77" t="n"/>
      <c r="CW15" s="77" t="n"/>
      <c r="CX15" s="77" t="n"/>
      <c r="CY15" s="89">
        <f>IF(AND(ISNUMBER('01_Inputs'!$B$76),$CY$10&gt;='01_Inputs'!$B$76,NOT(MONTH($CY$10)='01_Inputs'!$B$69)),"105℃","")</f>
      </c>
      <c r="CZ15" s="77" t="n"/>
      <c r="DA15" s="77" t="n"/>
      <c r="DB15" s="77" t="n"/>
      <c r="DC15" s="77" t="n"/>
      <c r="DD15" s="77" t="n"/>
      <c r="DE15" s="77" t="n"/>
      <c r="DF15" s="77" t="n"/>
      <c r="DG15" s="77" t="n"/>
      <c r="DH15" s="77" t="n"/>
      <c r="DI15" s="89">
        <f>IF(AND(ISNUMBER('01_Inputs'!$B$76),$DI$10&gt;='01_Inputs'!$B$76,NOT(MONTH($DI$10)='01_Inputs'!$B$69)),"105℃","")</f>
      </c>
      <c r="DJ15" s="77" t="n"/>
      <c r="DK15" s="77" t="n"/>
      <c r="DL15" s="77" t="n"/>
      <c r="DM15" s="77" t="n"/>
      <c r="DN15" s="77" t="n"/>
      <c r="DO15" s="77" t="n"/>
      <c r="DP15" s="77" t="n"/>
      <c r="DQ15" s="77" t="n"/>
      <c r="DR15" s="77" t="n"/>
      <c r="DS15" s="89" t="str">
        <f>IF(AND(ISNUMBER('01_Inputs'!$B$76),$DS$10&gt;='01_Inputs'!$B$76,NOT(MONTH($DS$10)='01_Inputs'!$B$69)),"105℃","")</f>
        <v>105℃</v>
      </c>
      <c r="DT15" s="77" t="n"/>
      <c r="DU15" s="77" t="n"/>
      <c r="DV15" s="77" t="n"/>
      <c r="DW15" s="77" t="n"/>
      <c r="DX15" s="77" t="n"/>
      <c r="DY15" s="77" t="n"/>
      <c r="DZ15" s="77" t="n"/>
      <c r="EA15" s="77" t="n"/>
      <c r="EB15" s="77" t="n"/>
      <c r="EC15" s="89" t="str">
        <f>IF(AND(ISNUMBER('01_Inputs'!$B$76),$EC$10&gt;='01_Inputs'!$B$76,NOT(MONTH($EC$10)='01_Inputs'!$B$69)),"105℃","")</f>
        <v>105℃</v>
      </c>
      <c r="ED15" s="77" t="n"/>
      <c r="EE15" s="77" t="n"/>
      <c r="EF15" s="77" t="n"/>
      <c r="EG15" s="77" t="n"/>
      <c r="EH15" s="77" t="n"/>
      <c r="EI15" s="77" t="n"/>
      <c r="EJ15" s="77" t="n"/>
      <c r="EK15" s="77" t="n"/>
      <c r="EL15" s="77" t="n"/>
      <c r="EM15" s="89" t="str">
        <f>IF(AND(ISNUMBER('01_Inputs'!$B$76),$EM$10&gt;='01_Inputs'!$B$76,NOT(MONTH($EM$10)='01_Inputs'!$B$69)),"105℃","")</f>
        <v>105℃</v>
      </c>
      <c r="EN15" s="77" t="n"/>
      <c r="EO15" s="77" t="n"/>
      <c r="EP15" s="77" t="n"/>
      <c r="EQ15" s="77" t="n"/>
      <c r="ER15" s="77" t="n"/>
      <c r="ES15" s="77" t="n"/>
      <c r="ET15" s="77" t="n"/>
      <c r="EU15" s="77" t="n"/>
      <c r="EV15" s="77" t="n"/>
      <c r="EW15" s="89">
        <f>IF(AND(ISNUMBER('01_Inputs'!$B$76),$EW$10&gt;='01_Inputs'!$B$76,NOT(MONTH($EW$10)='01_Inputs'!$B$69)),"105℃","")</f>
      </c>
      <c r="EX15" s="77" t="n"/>
      <c r="EY15" s="77" t="n"/>
      <c r="EZ15" s="77" t="n"/>
      <c r="FA15" s="77" t="n"/>
      <c r="FB15" s="77" t="n"/>
      <c r="FC15" s="77" t="n"/>
      <c r="FD15" s="77" t="n"/>
      <c r="FE15" s="77" t="n"/>
      <c r="FF15" s="77" t="n"/>
      <c r="FG15" s="89" t="str">
        <f>IF(AND(ISNUMBER('01_Inputs'!$B$76),$FG$10&gt;='01_Inputs'!$B$76,NOT(MONTH($FG$10)='01_Inputs'!$B$69)),"105℃","")</f>
        <v>105℃</v>
      </c>
      <c r="FH15" s="77" t="n"/>
      <c r="FI15" s="77" t="n"/>
      <c r="FJ15" s="77" t="n"/>
      <c r="FK15" s="77" t="n"/>
      <c r="FL15" s="77" t="n"/>
      <c r="FM15" s="77" t="n"/>
      <c r="FN15" s="77" t="n"/>
      <c r="FO15" s="77" t="n"/>
      <c r="FP15" s="77" t="n"/>
      <c r="FQ15" s="89" t="str">
        <f>IF(AND(ISNUMBER('01_Inputs'!$B$76),$FQ$10&gt;='01_Inputs'!$B$76,NOT(MONTH($FQ$10)='01_Inputs'!$B$69)),"105℃","")</f>
        <v>105℃</v>
      </c>
      <c r="FR15" s="77" t="n"/>
      <c r="FS15" s="77" t="n"/>
      <c r="FT15" s="77" t="n"/>
      <c r="FU15" s="77" t="n"/>
      <c r="FV15" s="77" t="n"/>
      <c r="FW15" s="77" t="n"/>
      <c r="FX15" s="77" t="n"/>
      <c r="FY15" s="77" t="n"/>
      <c r="FZ15" s="77" t="n"/>
    </row>
    <row r="16">
      <c r="B16" s="70" t="inlineStr">
        <is>
          <t>생산 계획 (kg/월)</t>
        </is>
      </c>
      <c r="C16" s="90">
        <f>'P4_2027_월별'!$C$6</f>
        <v>2178</v>
      </c>
      <c r="D16" s="77" t="n"/>
      <c r="E16" s="77" t="n"/>
      <c r="F16" s="77" t="n"/>
      <c r="G16" s="77" t="n"/>
      <c r="H16" s="77" t="n"/>
      <c r="I16" s="77" t="n"/>
      <c r="J16" s="77" t="n"/>
      <c r="K16" s="77" t="n"/>
      <c r="L16" s="77" t="n"/>
      <c r="M16" s="90">
        <f>'P4_2027_월별'!$D$6</f>
        <v>2178</v>
      </c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90">
        <f>'P4_2027_월별'!$E$6</f>
        <v>3168</v>
      </c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90">
        <f>'P4_2027_월별'!$F$6</f>
        <v>1188</v>
      </c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90">
        <f>'P4_2027_월별'!$G$6</f>
        <v>4182.90909090909</v>
      </c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90">
        <f>'P4_2027_월별'!$H$6</f>
        <v>4182.90909090909</v>
      </c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90">
        <f>'P4_2027_월별'!$I$6</f>
        <v>4182.90909090909</v>
      </c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90">
        <f>'P4_2027_월별'!$J$6</f>
        <v>4182.90909090909</v>
      </c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90">
        <f>'P4_2027_월별'!$K$6</f>
        <v>4182.90909090909</v>
      </c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90">
        <f>'P4_2027_월별'!$L$6</f>
        <v>4182.90909090909</v>
      </c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90">
        <f>'P4_2027_월별'!$M$6</f>
        <v>4182.90909090909</v>
      </c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90">
        <f>'P4_2027_월별'!$N$6</f>
        <v>4182.90909090909</v>
      </c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90">
        <f>'P5_2028_월별'!$C$6</f>
        <v>4455.63636363636</v>
      </c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90">
        <f>'P5_2028_월별'!$D$6</f>
        <v>4455.63636363636</v>
      </c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90">
        <f>'P5_2028_월별'!$E$6</f>
        <v>4455.63636363636</v>
      </c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90">
        <f>'P5_2028_월별'!$F$6</f>
        <v>1188</v>
      </c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90">
        <f>'P5_2028_월별'!$G$6</f>
        <v>4455.63636363636</v>
      </c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90">
        <f>'P5_2028_월별'!$H$6</f>
        <v>4455.63636363636</v>
      </c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</row>
    <row r="18" ht="15" customHeight="1">
      <c r="B18" s="66" t="inlineStr">
        <is>
          <t>② 정제기 2대 시간차 운전 개념 — 30일 (720 h)</t>
        </is>
      </c>
      <c r="BK18" s="67" t="inlineStr">
        <is>
          <t>1칸 = 4 h · 준비 2 + 정제 + PQC·이송 + FQC 시간은 P1 입력 사용</t>
        </is>
      </c>
    </row>
    <row r="19">
      <c r="B19" s="68" t="inlineStr">
        <is>
          <t>일 →</t>
        </is>
      </c>
      <c r="C19" s="91" t="n">
        <v>1</v>
      </c>
      <c r="D19" s="77" t="n"/>
      <c r="E19" s="77" t="n"/>
      <c r="F19" s="77" t="n"/>
      <c r="G19" s="77" t="n"/>
      <c r="H19" s="77" t="n"/>
      <c r="I19" s="91" t="n">
        <v>2</v>
      </c>
      <c r="J19" s="77" t="n"/>
      <c r="K19" s="77" t="n"/>
      <c r="L19" s="77" t="n"/>
      <c r="M19" s="77" t="n"/>
      <c r="N19" s="77" t="n"/>
      <c r="O19" s="91" t="n">
        <v>3</v>
      </c>
      <c r="P19" s="77" t="n"/>
      <c r="Q19" s="77" t="n"/>
      <c r="R19" s="77" t="n"/>
      <c r="S19" s="77" t="n"/>
      <c r="T19" s="77" t="n"/>
      <c r="U19" s="91" t="n">
        <v>4</v>
      </c>
      <c r="V19" s="77" t="n"/>
      <c r="W19" s="77" t="n"/>
      <c r="X19" s="77" t="n"/>
      <c r="Y19" s="77" t="n"/>
      <c r="Z19" s="77" t="n"/>
      <c r="AA19" s="91" t="n">
        <v>5</v>
      </c>
      <c r="AB19" s="77" t="n"/>
      <c r="AC19" s="77" t="n"/>
      <c r="AD19" s="77" t="n"/>
      <c r="AE19" s="77" t="n"/>
      <c r="AF19" s="77" t="n"/>
      <c r="AG19" s="91" t="n">
        <v>6</v>
      </c>
      <c r="AH19" s="77" t="n"/>
      <c r="AI19" s="77" t="n"/>
      <c r="AJ19" s="77" t="n"/>
      <c r="AK19" s="77" t="n"/>
      <c r="AL19" s="77" t="n"/>
      <c r="AM19" s="91" t="n">
        <v>7</v>
      </c>
      <c r="AN19" s="77" t="n"/>
      <c r="AO19" s="77" t="n"/>
      <c r="AP19" s="77" t="n"/>
      <c r="AQ19" s="77" t="n"/>
      <c r="AR19" s="77" t="n"/>
      <c r="AS19" s="91" t="n">
        <v>8</v>
      </c>
      <c r="AT19" s="77" t="n"/>
      <c r="AU19" s="77" t="n"/>
      <c r="AV19" s="77" t="n"/>
      <c r="AW19" s="77" t="n"/>
      <c r="AX19" s="77" t="n"/>
      <c r="AY19" s="91" t="n">
        <v>9</v>
      </c>
      <c r="AZ19" s="77" t="n"/>
      <c r="BA19" s="77" t="n"/>
      <c r="BB19" s="77" t="n"/>
      <c r="BC19" s="77" t="n"/>
      <c r="BD19" s="77" t="n"/>
      <c r="BE19" s="91" t="n">
        <v>10</v>
      </c>
      <c r="BF19" s="77" t="n"/>
      <c r="BG19" s="77" t="n"/>
      <c r="BH19" s="77" t="n"/>
      <c r="BI19" s="77" t="n"/>
      <c r="BJ19" s="77" t="n"/>
      <c r="BK19" s="91" t="n">
        <v>11</v>
      </c>
      <c r="BL19" s="77" t="n"/>
      <c r="BM19" s="77" t="n"/>
      <c r="BN19" s="77" t="n"/>
      <c r="BO19" s="77" t="n"/>
      <c r="BP19" s="77" t="n"/>
      <c r="BQ19" s="91" t="n">
        <v>12</v>
      </c>
      <c r="BR19" s="77" t="n"/>
      <c r="BS19" s="77" t="n"/>
      <c r="BT19" s="77" t="n"/>
      <c r="BU19" s="77" t="n"/>
      <c r="BV19" s="77" t="n"/>
      <c r="BW19" s="91" t="n">
        <v>13</v>
      </c>
      <c r="BX19" s="77" t="n"/>
      <c r="BY19" s="77" t="n"/>
      <c r="BZ19" s="77" t="n"/>
      <c r="CA19" s="77" t="n"/>
      <c r="CB19" s="77" t="n"/>
      <c r="CC19" s="91" t="n">
        <v>14</v>
      </c>
      <c r="CD19" s="77" t="n"/>
      <c r="CE19" s="77" t="n"/>
      <c r="CF19" s="77" t="n"/>
      <c r="CG19" s="77" t="n"/>
      <c r="CH19" s="77" t="n"/>
      <c r="CI19" s="91" t="n">
        <v>15</v>
      </c>
      <c r="CJ19" s="77" t="n"/>
      <c r="CK19" s="77" t="n"/>
      <c r="CL19" s="77" t="n"/>
      <c r="CM19" s="77" t="n"/>
      <c r="CN19" s="77" t="n"/>
      <c r="CO19" s="91" t="n">
        <v>16</v>
      </c>
      <c r="CP19" s="77" t="n"/>
      <c r="CQ19" s="77" t="n"/>
      <c r="CR19" s="77" t="n"/>
      <c r="CS19" s="77" t="n"/>
      <c r="CT19" s="77" t="n"/>
      <c r="CU19" s="91" t="n">
        <v>17</v>
      </c>
      <c r="CV19" s="77" t="n"/>
      <c r="CW19" s="77" t="n"/>
      <c r="CX19" s="77" t="n"/>
      <c r="CY19" s="77" t="n"/>
      <c r="CZ19" s="77" t="n"/>
      <c r="DA19" s="91" t="n">
        <v>18</v>
      </c>
      <c r="DB19" s="77" t="n"/>
      <c r="DC19" s="77" t="n"/>
      <c r="DD19" s="77" t="n"/>
      <c r="DE19" s="77" t="n"/>
      <c r="DF19" s="77" t="n"/>
      <c r="DG19" s="91" t="n">
        <v>19</v>
      </c>
      <c r="DH19" s="77" t="n"/>
      <c r="DI19" s="77" t="n"/>
      <c r="DJ19" s="77" t="n"/>
      <c r="DK19" s="77" t="n"/>
      <c r="DL19" s="77" t="n"/>
      <c r="DM19" s="91" t="n">
        <v>20</v>
      </c>
      <c r="DN19" s="77" t="n"/>
      <c r="DO19" s="77" t="n"/>
      <c r="DP19" s="77" t="n"/>
      <c r="DQ19" s="77" t="n"/>
      <c r="DR19" s="77" t="n"/>
      <c r="DS19" s="91" t="n">
        <v>21</v>
      </c>
      <c r="DT19" s="77" t="n"/>
      <c r="DU19" s="77" t="n"/>
      <c r="DV19" s="77" t="n"/>
      <c r="DW19" s="77" t="n"/>
      <c r="DX19" s="77" t="n"/>
      <c r="DY19" s="91" t="n">
        <v>22</v>
      </c>
      <c r="DZ19" s="77" t="n"/>
      <c r="EA19" s="77" t="n"/>
      <c r="EB19" s="77" t="n"/>
      <c r="EC19" s="77" t="n"/>
      <c r="ED19" s="77" t="n"/>
      <c r="EE19" s="91" t="n">
        <v>23</v>
      </c>
      <c r="EF19" s="77" t="n"/>
      <c r="EG19" s="77" t="n"/>
      <c r="EH19" s="77" t="n"/>
      <c r="EI19" s="77" t="n"/>
      <c r="EJ19" s="77" t="n"/>
      <c r="EK19" s="91" t="n">
        <v>24</v>
      </c>
      <c r="EL19" s="77" t="n"/>
      <c r="EM19" s="77" t="n"/>
      <c r="EN19" s="77" t="n"/>
      <c r="EO19" s="77" t="n"/>
      <c r="EP19" s="77" t="n"/>
      <c r="EQ19" s="91" t="n">
        <v>25</v>
      </c>
      <c r="ER19" s="77" t="n"/>
      <c r="ES19" s="77" t="n"/>
      <c r="ET19" s="77" t="n"/>
      <c r="EU19" s="77" t="n"/>
      <c r="EV19" s="77" t="n"/>
      <c r="EW19" s="91" t="n">
        <v>26</v>
      </c>
      <c r="EX19" s="77" t="n"/>
      <c r="EY19" s="77" t="n"/>
      <c r="EZ19" s="77" t="n"/>
      <c r="FA19" s="77" t="n"/>
      <c r="FB19" s="77" t="n"/>
      <c r="FC19" s="91" t="n">
        <v>27</v>
      </c>
      <c r="FD19" s="77" t="n"/>
      <c r="FE19" s="77" t="n"/>
      <c r="FF19" s="77" t="n"/>
      <c r="FG19" s="77" t="n"/>
      <c r="FH19" s="77" t="n"/>
      <c r="FI19" s="91" t="n">
        <v>28</v>
      </c>
      <c r="FJ19" s="77" t="n"/>
      <c r="FK19" s="77" t="n"/>
      <c r="FL19" s="77" t="n"/>
      <c r="FM19" s="77" t="n"/>
      <c r="FN19" s="77" t="n"/>
      <c r="FO19" s="91" t="n">
        <v>29</v>
      </c>
      <c r="FP19" s="77" t="n"/>
      <c r="FQ19" s="77" t="n"/>
      <c r="FR19" s="77" t="n"/>
      <c r="FS19" s="77" t="n"/>
      <c r="FT19" s="77" t="n"/>
      <c r="FU19" s="91" t="n">
        <v>30</v>
      </c>
      <c r="FV19" s="77" t="n"/>
      <c r="FW19" s="77" t="n"/>
      <c r="FX19" s="77" t="n"/>
      <c r="FY19" s="77" t="n"/>
      <c r="FZ19" s="77" t="n"/>
    </row>
    <row r="20" ht="11" customHeight="1">
      <c r="B20" s="92" t="inlineStr">
        <is>
          <t>정제기 1</t>
        </is>
      </c>
      <c r="C20" s="93">
        <f>IF(AND(MOD((0*24/6+2)-0,'03_Capacity_Model'!$B$96)&gt;='01_Inputs'!$B$14,MOD((0*24/6+2)-0,'03_Capacity_Model'!$B$96)&lt;('01_Inputs'!$B$14+'01_Inputs'!$B$15+'01_Inputs'!$B$16)),1,IF(MOD((0*24/6+2)-0,'03_Capacity_Model'!$B$96)&gt;=('01_Inputs'!$B$14+'01_Inputs'!$B$15+'01_Inputs'!$B$16),2,0))</f>
        <v>1</v>
      </c>
      <c r="D20" s="93">
        <f>IF(AND(MOD((1*24/6+2)-0,'03_Capacity_Model'!$B$96)&gt;='01_Inputs'!$B$14,MOD((1*24/6+2)-0,'03_Capacity_Model'!$B$96)&lt;('01_Inputs'!$B$14+'01_Inputs'!$B$15+'01_Inputs'!$B$16)),1,IF(MOD((1*24/6+2)-0,'03_Capacity_Model'!$B$96)&gt;=('01_Inputs'!$B$14+'01_Inputs'!$B$15+'01_Inputs'!$B$16),2,0))</f>
        <v>1</v>
      </c>
      <c r="E20" s="93">
        <f>IF(AND(MOD((2*24/6+2)-0,'03_Capacity_Model'!$B$96)&gt;='01_Inputs'!$B$14,MOD((2*24/6+2)-0,'03_Capacity_Model'!$B$96)&lt;('01_Inputs'!$B$14+'01_Inputs'!$B$15+'01_Inputs'!$B$16)),1,IF(MOD((2*24/6+2)-0,'03_Capacity_Model'!$B$96)&gt;=('01_Inputs'!$B$14+'01_Inputs'!$B$15+'01_Inputs'!$B$16),2,0))</f>
        <v>1</v>
      </c>
      <c r="F20" s="93">
        <f>IF(AND(MOD((3*24/6+2)-0,'03_Capacity_Model'!$B$96)&gt;='01_Inputs'!$B$14,MOD((3*24/6+2)-0,'03_Capacity_Model'!$B$96)&lt;('01_Inputs'!$B$14+'01_Inputs'!$B$15+'01_Inputs'!$B$16)),1,IF(MOD((3*24/6+2)-0,'03_Capacity_Model'!$B$96)&gt;=('01_Inputs'!$B$14+'01_Inputs'!$B$15+'01_Inputs'!$B$16),2,0))</f>
        <v>1</v>
      </c>
      <c r="G20" s="93">
        <f>IF(AND(MOD((4*24/6+2)-0,'03_Capacity_Model'!$B$96)&gt;='01_Inputs'!$B$14,MOD((4*24/6+2)-0,'03_Capacity_Model'!$B$96)&lt;('01_Inputs'!$B$14+'01_Inputs'!$B$15+'01_Inputs'!$B$16)),1,IF(MOD((4*24/6+2)-0,'03_Capacity_Model'!$B$96)&gt;=('01_Inputs'!$B$14+'01_Inputs'!$B$15+'01_Inputs'!$B$16),2,0))</f>
        <v>1</v>
      </c>
      <c r="H20" s="93">
        <f>IF(AND(MOD((5*24/6+2)-0,'03_Capacity_Model'!$B$96)&gt;='01_Inputs'!$B$14,MOD((5*24/6+2)-0,'03_Capacity_Model'!$B$96)&lt;('01_Inputs'!$B$14+'01_Inputs'!$B$15+'01_Inputs'!$B$16)),1,IF(MOD((5*24/6+2)-0,'03_Capacity_Model'!$B$96)&gt;=('01_Inputs'!$B$14+'01_Inputs'!$B$15+'01_Inputs'!$B$16),2,0))</f>
        <v>1</v>
      </c>
      <c r="I20" s="93">
        <f>IF(AND(MOD((6*24/6+2)-0,'03_Capacity_Model'!$B$96)&gt;='01_Inputs'!$B$14,MOD((6*24/6+2)-0,'03_Capacity_Model'!$B$96)&lt;('01_Inputs'!$B$14+'01_Inputs'!$B$15+'01_Inputs'!$B$16)),1,IF(MOD((6*24/6+2)-0,'03_Capacity_Model'!$B$96)&gt;=('01_Inputs'!$B$14+'01_Inputs'!$B$15+'01_Inputs'!$B$16),2,0))</f>
        <v>1</v>
      </c>
      <c r="J20" s="93">
        <f>IF(AND(MOD((7*24/6+2)-0,'03_Capacity_Model'!$B$96)&gt;='01_Inputs'!$B$14,MOD((7*24/6+2)-0,'03_Capacity_Model'!$B$96)&lt;('01_Inputs'!$B$14+'01_Inputs'!$B$15+'01_Inputs'!$B$16)),1,IF(MOD((7*24/6+2)-0,'03_Capacity_Model'!$B$96)&gt;=('01_Inputs'!$B$14+'01_Inputs'!$B$15+'01_Inputs'!$B$16),2,0))</f>
        <v>1</v>
      </c>
      <c r="K20" s="93">
        <f>IF(AND(MOD((8*24/6+2)-0,'03_Capacity_Model'!$B$96)&gt;='01_Inputs'!$B$14,MOD((8*24/6+2)-0,'03_Capacity_Model'!$B$96)&lt;('01_Inputs'!$B$14+'01_Inputs'!$B$15+'01_Inputs'!$B$16)),1,IF(MOD((8*24/6+2)-0,'03_Capacity_Model'!$B$96)&gt;=('01_Inputs'!$B$14+'01_Inputs'!$B$15+'01_Inputs'!$B$16),2,0))</f>
        <v>1</v>
      </c>
      <c r="L20" s="93">
        <f>IF(AND(MOD((9*24/6+2)-0,'03_Capacity_Model'!$B$96)&gt;='01_Inputs'!$B$14,MOD((9*24/6+2)-0,'03_Capacity_Model'!$B$96)&lt;('01_Inputs'!$B$14+'01_Inputs'!$B$15+'01_Inputs'!$B$16)),1,IF(MOD((9*24/6+2)-0,'03_Capacity_Model'!$B$96)&gt;=('01_Inputs'!$B$14+'01_Inputs'!$B$15+'01_Inputs'!$B$16),2,0))</f>
        <v>1</v>
      </c>
      <c r="M20" s="93">
        <f>IF(AND(MOD((10*24/6+2)-0,'03_Capacity_Model'!$B$96)&gt;='01_Inputs'!$B$14,MOD((10*24/6+2)-0,'03_Capacity_Model'!$B$96)&lt;('01_Inputs'!$B$14+'01_Inputs'!$B$15+'01_Inputs'!$B$16)),1,IF(MOD((10*24/6+2)-0,'03_Capacity_Model'!$B$96)&gt;=('01_Inputs'!$B$14+'01_Inputs'!$B$15+'01_Inputs'!$B$16),2,0))</f>
        <v>1</v>
      </c>
      <c r="N20" s="93">
        <f>IF(AND(MOD((11*24/6+2)-0,'03_Capacity_Model'!$B$96)&gt;='01_Inputs'!$B$14,MOD((11*24/6+2)-0,'03_Capacity_Model'!$B$96)&lt;('01_Inputs'!$B$14+'01_Inputs'!$B$15+'01_Inputs'!$B$16)),1,IF(MOD((11*24/6+2)-0,'03_Capacity_Model'!$B$96)&gt;=('01_Inputs'!$B$14+'01_Inputs'!$B$15+'01_Inputs'!$B$16),2,0))</f>
        <v>1</v>
      </c>
      <c r="O20" s="93">
        <f>IF(AND(MOD((12*24/6+2)-0,'03_Capacity_Model'!$B$96)&gt;='01_Inputs'!$B$14,MOD((12*24/6+2)-0,'03_Capacity_Model'!$B$96)&lt;('01_Inputs'!$B$14+'01_Inputs'!$B$15+'01_Inputs'!$B$16)),1,IF(MOD((12*24/6+2)-0,'03_Capacity_Model'!$B$96)&gt;=('01_Inputs'!$B$14+'01_Inputs'!$B$15+'01_Inputs'!$B$16),2,0))</f>
        <v>2</v>
      </c>
      <c r="P20" s="93">
        <f>IF(AND(MOD((13*24/6+2)-0,'03_Capacity_Model'!$B$96)&gt;='01_Inputs'!$B$14,MOD((13*24/6+2)-0,'03_Capacity_Model'!$B$96)&lt;('01_Inputs'!$B$14+'01_Inputs'!$B$15+'01_Inputs'!$B$16)),1,IF(MOD((13*24/6+2)-0,'03_Capacity_Model'!$B$96)&gt;=('01_Inputs'!$B$14+'01_Inputs'!$B$15+'01_Inputs'!$B$16),2,0))</f>
        <v>2</v>
      </c>
      <c r="Q20" s="93">
        <f>IF(AND(MOD((14*24/6+2)-0,'03_Capacity_Model'!$B$96)&gt;='01_Inputs'!$B$14,MOD((14*24/6+2)-0,'03_Capacity_Model'!$B$96)&lt;('01_Inputs'!$B$14+'01_Inputs'!$B$15+'01_Inputs'!$B$16)),1,IF(MOD((14*24/6+2)-0,'03_Capacity_Model'!$B$96)&gt;=('01_Inputs'!$B$14+'01_Inputs'!$B$15+'01_Inputs'!$B$16),2,0))</f>
        <v>2</v>
      </c>
      <c r="R20" s="93">
        <f>IF(AND(MOD((15*24/6+2)-0,'03_Capacity_Model'!$B$96)&gt;='01_Inputs'!$B$14,MOD((15*24/6+2)-0,'03_Capacity_Model'!$B$96)&lt;('01_Inputs'!$B$14+'01_Inputs'!$B$15+'01_Inputs'!$B$16)),1,IF(MOD((15*24/6+2)-0,'03_Capacity_Model'!$B$96)&gt;=('01_Inputs'!$B$14+'01_Inputs'!$B$15+'01_Inputs'!$B$16),2,0))</f>
        <v>2</v>
      </c>
      <c r="S20" s="93">
        <f>IF(AND(MOD((16*24/6+2)-0,'03_Capacity_Model'!$B$96)&gt;='01_Inputs'!$B$14,MOD((16*24/6+2)-0,'03_Capacity_Model'!$B$96)&lt;('01_Inputs'!$B$14+'01_Inputs'!$B$15+'01_Inputs'!$B$16)),1,IF(MOD((16*24/6+2)-0,'03_Capacity_Model'!$B$96)&gt;=('01_Inputs'!$B$14+'01_Inputs'!$B$15+'01_Inputs'!$B$16),2,0))</f>
        <v>2</v>
      </c>
      <c r="T20" s="93">
        <f>IF(AND(MOD((17*24/6+2)-0,'03_Capacity_Model'!$B$96)&gt;='01_Inputs'!$B$14,MOD((17*24/6+2)-0,'03_Capacity_Model'!$B$96)&lt;('01_Inputs'!$B$14+'01_Inputs'!$B$15+'01_Inputs'!$B$16)),1,IF(MOD((17*24/6+2)-0,'03_Capacity_Model'!$B$96)&gt;=('01_Inputs'!$B$14+'01_Inputs'!$B$15+'01_Inputs'!$B$16),2,0))</f>
        <v>1</v>
      </c>
      <c r="U20" s="93">
        <f>IF(AND(MOD((18*24/6+2)-0,'03_Capacity_Model'!$B$96)&gt;='01_Inputs'!$B$14,MOD((18*24/6+2)-0,'03_Capacity_Model'!$B$96)&lt;('01_Inputs'!$B$14+'01_Inputs'!$B$15+'01_Inputs'!$B$16)),1,IF(MOD((18*24/6+2)-0,'03_Capacity_Model'!$B$96)&gt;=('01_Inputs'!$B$14+'01_Inputs'!$B$15+'01_Inputs'!$B$16),2,0))</f>
        <v>1</v>
      </c>
      <c r="V20" s="93">
        <f>IF(AND(MOD((19*24/6+2)-0,'03_Capacity_Model'!$B$96)&gt;='01_Inputs'!$B$14,MOD((19*24/6+2)-0,'03_Capacity_Model'!$B$96)&lt;('01_Inputs'!$B$14+'01_Inputs'!$B$15+'01_Inputs'!$B$16)),1,IF(MOD((19*24/6+2)-0,'03_Capacity_Model'!$B$96)&gt;=('01_Inputs'!$B$14+'01_Inputs'!$B$15+'01_Inputs'!$B$16),2,0))</f>
        <v>1</v>
      </c>
      <c r="W20" s="93">
        <f>IF(AND(MOD((20*24/6+2)-0,'03_Capacity_Model'!$B$96)&gt;='01_Inputs'!$B$14,MOD((20*24/6+2)-0,'03_Capacity_Model'!$B$96)&lt;('01_Inputs'!$B$14+'01_Inputs'!$B$15+'01_Inputs'!$B$16)),1,IF(MOD((20*24/6+2)-0,'03_Capacity_Model'!$B$96)&gt;=('01_Inputs'!$B$14+'01_Inputs'!$B$15+'01_Inputs'!$B$16),2,0))</f>
        <v>1</v>
      </c>
      <c r="X20" s="93">
        <f>IF(AND(MOD((21*24/6+2)-0,'03_Capacity_Model'!$B$96)&gt;='01_Inputs'!$B$14,MOD((21*24/6+2)-0,'03_Capacity_Model'!$B$96)&lt;('01_Inputs'!$B$14+'01_Inputs'!$B$15+'01_Inputs'!$B$16)),1,IF(MOD((21*24/6+2)-0,'03_Capacity_Model'!$B$96)&gt;=('01_Inputs'!$B$14+'01_Inputs'!$B$15+'01_Inputs'!$B$16),2,0))</f>
        <v>1</v>
      </c>
      <c r="Y20" s="93">
        <f>IF(AND(MOD((22*24/6+2)-0,'03_Capacity_Model'!$B$96)&gt;='01_Inputs'!$B$14,MOD((22*24/6+2)-0,'03_Capacity_Model'!$B$96)&lt;('01_Inputs'!$B$14+'01_Inputs'!$B$15+'01_Inputs'!$B$16)),1,IF(MOD((22*24/6+2)-0,'03_Capacity_Model'!$B$96)&gt;=('01_Inputs'!$B$14+'01_Inputs'!$B$15+'01_Inputs'!$B$16),2,0))</f>
        <v>1</v>
      </c>
      <c r="Z20" s="93">
        <f>IF(AND(MOD((23*24/6+2)-0,'03_Capacity_Model'!$B$96)&gt;='01_Inputs'!$B$14,MOD((23*24/6+2)-0,'03_Capacity_Model'!$B$96)&lt;('01_Inputs'!$B$14+'01_Inputs'!$B$15+'01_Inputs'!$B$16)),1,IF(MOD((23*24/6+2)-0,'03_Capacity_Model'!$B$96)&gt;=('01_Inputs'!$B$14+'01_Inputs'!$B$15+'01_Inputs'!$B$16),2,0))</f>
        <v>1</v>
      </c>
      <c r="AA20" s="93">
        <f>IF(AND(MOD((24*24/6+2)-0,'03_Capacity_Model'!$B$96)&gt;='01_Inputs'!$B$14,MOD((24*24/6+2)-0,'03_Capacity_Model'!$B$96)&lt;('01_Inputs'!$B$14+'01_Inputs'!$B$15+'01_Inputs'!$B$16)),1,IF(MOD((24*24/6+2)-0,'03_Capacity_Model'!$B$96)&gt;=('01_Inputs'!$B$14+'01_Inputs'!$B$15+'01_Inputs'!$B$16),2,0))</f>
        <v>1</v>
      </c>
      <c r="AB20" s="93">
        <f>IF(AND(MOD((25*24/6+2)-0,'03_Capacity_Model'!$B$96)&gt;='01_Inputs'!$B$14,MOD((25*24/6+2)-0,'03_Capacity_Model'!$B$96)&lt;('01_Inputs'!$B$14+'01_Inputs'!$B$15+'01_Inputs'!$B$16)),1,IF(MOD((25*24/6+2)-0,'03_Capacity_Model'!$B$96)&gt;=('01_Inputs'!$B$14+'01_Inputs'!$B$15+'01_Inputs'!$B$16),2,0))</f>
        <v>1</v>
      </c>
      <c r="AC20" s="93">
        <f>IF(AND(MOD((26*24/6+2)-0,'03_Capacity_Model'!$B$96)&gt;='01_Inputs'!$B$14,MOD((26*24/6+2)-0,'03_Capacity_Model'!$B$96)&lt;('01_Inputs'!$B$14+'01_Inputs'!$B$15+'01_Inputs'!$B$16)),1,IF(MOD((26*24/6+2)-0,'03_Capacity_Model'!$B$96)&gt;=('01_Inputs'!$B$14+'01_Inputs'!$B$15+'01_Inputs'!$B$16),2,0))</f>
        <v>1</v>
      </c>
      <c r="AD20" s="93">
        <f>IF(AND(MOD((27*24/6+2)-0,'03_Capacity_Model'!$B$96)&gt;='01_Inputs'!$B$14,MOD((27*24/6+2)-0,'03_Capacity_Model'!$B$96)&lt;('01_Inputs'!$B$14+'01_Inputs'!$B$15+'01_Inputs'!$B$16)),1,IF(MOD((27*24/6+2)-0,'03_Capacity_Model'!$B$96)&gt;=('01_Inputs'!$B$14+'01_Inputs'!$B$15+'01_Inputs'!$B$16),2,0))</f>
        <v>1</v>
      </c>
      <c r="AE20" s="93">
        <f>IF(AND(MOD((28*24/6+2)-0,'03_Capacity_Model'!$B$96)&gt;='01_Inputs'!$B$14,MOD((28*24/6+2)-0,'03_Capacity_Model'!$B$96)&lt;('01_Inputs'!$B$14+'01_Inputs'!$B$15+'01_Inputs'!$B$16)),1,IF(MOD((28*24/6+2)-0,'03_Capacity_Model'!$B$96)&gt;=('01_Inputs'!$B$14+'01_Inputs'!$B$15+'01_Inputs'!$B$16),2,0))</f>
        <v>1</v>
      </c>
      <c r="AF20" s="93">
        <f>IF(AND(MOD((29*24/6+2)-0,'03_Capacity_Model'!$B$96)&gt;='01_Inputs'!$B$14,MOD((29*24/6+2)-0,'03_Capacity_Model'!$B$96)&lt;('01_Inputs'!$B$14+'01_Inputs'!$B$15+'01_Inputs'!$B$16)),1,IF(MOD((29*24/6+2)-0,'03_Capacity_Model'!$B$96)&gt;=('01_Inputs'!$B$14+'01_Inputs'!$B$15+'01_Inputs'!$B$16),2,0))</f>
        <v>2</v>
      </c>
      <c r="AG20" s="93">
        <f>IF(AND(MOD((30*24/6+2)-0,'03_Capacity_Model'!$B$96)&gt;='01_Inputs'!$B$14,MOD((30*24/6+2)-0,'03_Capacity_Model'!$B$96)&lt;('01_Inputs'!$B$14+'01_Inputs'!$B$15+'01_Inputs'!$B$16)),1,IF(MOD((30*24/6+2)-0,'03_Capacity_Model'!$B$96)&gt;=('01_Inputs'!$B$14+'01_Inputs'!$B$15+'01_Inputs'!$B$16),2,0))</f>
        <v>2</v>
      </c>
      <c r="AH20" s="93">
        <f>IF(AND(MOD((31*24/6+2)-0,'03_Capacity_Model'!$B$96)&gt;='01_Inputs'!$B$14,MOD((31*24/6+2)-0,'03_Capacity_Model'!$B$96)&lt;('01_Inputs'!$B$14+'01_Inputs'!$B$15+'01_Inputs'!$B$16)),1,IF(MOD((31*24/6+2)-0,'03_Capacity_Model'!$B$96)&gt;=('01_Inputs'!$B$14+'01_Inputs'!$B$15+'01_Inputs'!$B$16),2,0))</f>
        <v>2</v>
      </c>
      <c r="AI20" s="93">
        <f>IF(AND(MOD((32*24/6+2)-0,'03_Capacity_Model'!$B$96)&gt;='01_Inputs'!$B$14,MOD((32*24/6+2)-0,'03_Capacity_Model'!$B$96)&lt;('01_Inputs'!$B$14+'01_Inputs'!$B$15+'01_Inputs'!$B$16)),1,IF(MOD((32*24/6+2)-0,'03_Capacity_Model'!$B$96)&gt;=('01_Inputs'!$B$14+'01_Inputs'!$B$15+'01_Inputs'!$B$16),2,0))</f>
        <v>2</v>
      </c>
      <c r="AJ20" s="93">
        <f>IF(AND(MOD((33*24/6+2)-0,'03_Capacity_Model'!$B$96)&gt;='01_Inputs'!$B$14,MOD((33*24/6+2)-0,'03_Capacity_Model'!$B$96)&lt;('01_Inputs'!$B$14+'01_Inputs'!$B$15+'01_Inputs'!$B$16)),1,IF(MOD((33*24/6+2)-0,'03_Capacity_Model'!$B$96)&gt;=('01_Inputs'!$B$14+'01_Inputs'!$B$15+'01_Inputs'!$B$16),2,0))</f>
        <v>0</v>
      </c>
      <c r="AK20" s="93">
        <f>IF(AND(MOD((34*24/6+2)-0,'03_Capacity_Model'!$B$96)&gt;='01_Inputs'!$B$14,MOD((34*24/6+2)-0,'03_Capacity_Model'!$B$96)&lt;('01_Inputs'!$B$14+'01_Inputs'!$B$15+'01_Inputs'!$B$16)),1,IF(MOD((34*24/6+2)-0,'03_Capacity_Model'!$B$96)&gt;=('01_Inputs'!$B$14+'01_Inputs'!$B$15+'01_Inputs'!$B$16),2,0))</f>
        <v>1</v>
      </c>
      <c r="AL20" s="93">
        <f>IF(AND(MOD((35*24/6+2)-0,'03_Capacity_Model'!$B$96)&gt;='01_Inputs'!$B$14,MOD((35*24/6+2)-0,'03_Capacity_Model'!$B$96)&lt;('01_Inputs'!$B$14+'01_Inputs'!$B$15+'01_Inputs'!$B$16)),1,IF(MOD((35*24/6+2)-0,'03_Capacity_Model'!$B$96)&gt;=('01_Inputs'!$B$14+'01_Inputs'!$B$15+'01_Inputs'!$B$16),2,0))</f>
        <v>1</v>
      </c>
      <c r="AM20" s="93">
        <f>IF(AND(MOD((36*24/6+2)-0,'03_Capacity_Model'!$B$96)&gt;='01_Inputs'!$B$14,MOD((36*24/6+2)-0,'03_Capacity_Model'!$B$96)&lt;('01_Inputs'!$B$14+'01_Inputs'!$B$15+'01_Inputs'!$B$16)),1,IF(MOD((36*24/6+2)-0,'03_Capacity_Model'!$B$96)&gt;=('01_Inputs'!$B$14+'01_Inputs'!$B$15+'01_Inputs'!$B$16),2,0))</f>
        <v>1</v>
      </c>
      <c r="AN20" s="93">
        <f>IF(AND(MOD((37*24/6+2)-0,'03_Capacity_Model'!$B$96)&gt;='01_Inputs'!$B$14,MOD((37*24/6+2)-0,'03_Capacity_Model'!$B$96)&lt;('01_Inputs'!$B$14+'01_Inputs'!$B$15+'01_Inputs'!$B$16)),1,IF(MOD((37*24/6+2)-0,'03_Capacity_Model'!$B$96)&gt;=('01_Inputs'!$B$14+'01_Inputs'!$B$15+'01_Inputs'!$B$16),2,0))</f>
        <v>1</v>
      </c>
      <c r="AO20" s="93">
        <f>IF(AND(MOD((38*24/6+2)-0,'03_Capacity_Model'!$B$96)&gt;='01_Inputs'!$B$14,MOD((38*24/6+2)-0,'03_Capacity_Model'!$B$96)&lt;('01_Inputs'!$B$14+'01_Inputs'!$B$15+'01_Inputs'!$B$16)),1,IF(MOD((38*24/6+2)-0,'03_Capacity_Model'!$B$96)&gt;=('01_Inputs'!$B$14+'01_Inputs'!$B$15+'01_Inputs'!$B$16),2,0))</f>
        <v>1</v>
      </c>
      <c r="AP20" s="93">
        <f>IF(AND(MOD((39*24/6+2)-0,'03_Capacity_Model'!$B$96)&gt;='01_Inputs'!$B$14,MOD((39*24/6+2)-0,'03_Capacity_Model'!$B$96)&lt;('01_Inputs'!$B$14+'01_Inputs'!$B$15+'01_Inputs'!$B$16)),1,IF(MOD((39*24/6+2)-0,'03_Capacity_Model'!$B$96)&gt;=('01_Inputs'!$B$14+'01_Inputs'!$B$15+'01_Inputs'!$B$16),2,0))</f>
        <v>1</v>
      </c>
      <c r="AQ20" s="93">
        <f>IF(AND(MOD((40*24/6+2)-0,'03_Capacity_Model'!$B$96)&gt;='01_Inputs'!$B$14,MOD((40*24/6+2)-0,'03_Capacity_Model'!$B$96)&lt;('01_Inputs'!$B$14+'01_Inputs'!$B$15+'01_Inputs'!$B$16)),1,IF(MOD((40*24/6+2)-0,'03_Capacity_Model'!$B$96)&gt;=('01_Inputs'!$B$14+'01_Inputs'!$B$15+'01_Inputs'!$B$16),2,0))</f>
        <v>1</v>
      </c>
      <c r="AR20" s="93">
        <f>IF(AND(MOD((41*24/6+2)-0,'03_Capacity_Model'!$B$96)&gt;='01_Inputs'!$B$14,MOD((41*24/6+2)-0,'03_Capacity_Model'!$B$96)&lt;('01_Inputs'!$B$14+'01_Inputs'!$B$15+'01_Inputs'!$B$16)),1,IF(MOD((41*24/6+2)-0,'03_Capacity_Model'!$B$96)&gt;=('01_Inputs'!$B$14+'01_Inputs'!$B$15+'01_Inputs'!$B$16),2,0))</f>
        <v>1</v>
      </c>
      <c r="AS20" s="93">
        <f>IF(AND(MOD((42*24/6+2)-0,'03_Capacity_Model'!$B$96)&gt;='01_Inputs'!$B$14,MOD((42*24/6+2)-0,'03_Capacity_Model'!$B$96)&lt;('01_Inputs'!$B$14+'01_Inputs'!$B$15+'01_Inputs'!$B$16)),1,IF(MOD((42*24/6+2)-0,'03_Capacity_Model'!$B$96)&gt;=('01_Inputs'!$B$14+'01_Inputs'!$B$15+'01_Inputs'!$B$16),2,0))</f>
        <v>1</v>
      </c>
      <c r="AT20" s="93">
        <f>IF(AND(MOD((43*24/6+2)-0,'03_Capacity_Model'!$B$96)&gt;='01_Inputs'!$B$14,MOD((43*24/6+2)-0,'03_Capacity_Model'!$B$96)&lt;('01_Inputs'!$B$14+'01_Inputs'!$B$15+'01_Inputs'!$B$16)),1,IF(MOD((43*24/6+2)-0,'03_Capacity_Model'!$B$96)&gt;=('01_Inputs'!$B$14+'01_Inputs'!$B$15+'01_Inputs'!$B$16),2,0))</f>
        <v>1</v>
      </c>
      <c r="AU20" s="93">
        <f>IF(AND(MOD((44*24/6+2)-0,'03_Capacity_Model'!$B$96)&gt;='01_Inputs'!$B$14,MOD((44*24/6+2)-0,'03_Capacity_Model'!$B$96)&lt;('01_Inputs'!$B$14+'01_Inputs'!$B$15+'01_Inputs'!$B$16)),1,IF(MOD((44*24/6+2)-0,'03_Capacity_Model'!$B$96)&gt;=('01_Inputs'!$B$14+'01_Inputs'!$B$15+'01_Inputs'!$B$16),2,0))</f>
        <v>1</v>
      </c>
      <c r="AV20" s="93">
        <f>IF(AND(MOD((45*24/6+2)-0,'03_Capacity_Model'!$B$96)&gt;='01_Inputs'!$B$14,MOD((45*24/6+2)-0,'03_Capacity_Model'!$B$96)&lt;('01_Inputs'!$B$14+'01_Inputs'!$B$15+'01_Inputs'!$B$16)),1,IF(MOD((45*24/6+2)-0,'03_Capacity_Model'!$B$96)&gt;=('01_Inputs'!$B$14+'01_Inputs'!$B$15+'01_Inputs'!$B$16),2,0))</f>
        <v>2</v>
      </c>
      <c r="AW20" s="93">
        <f>IF(AND(MOD((46*24/6+2)-0,'03_Capacity_Model'!$B$96)&gt;='01_Inputs'!$B$14,MOD((46*24/6+2)-0,'03_Capacity_Model'!$B$96)&lt;('01_Inputs'!$B$14+'01_Inputs'!$B$15+'01_Inputs'!$B$16)),1,IF(MOD((46*24/6+2)-0,'03_Capacity_Model'!$B$96)&gt;=('01_Inputs'!$B$14+'01_Inputs'!$B$15+'01_Inputs'!$B$16),2,0))</f>
        <v>2</v>
      </c>
      <c r="AX20" s="93">
        <f>IF(AND(MOD((47*24/6+2)-0,'03_Capacity_Model'!$B$96)&gt;='01_Inputs'!$B$14,MOD((47*24/6+2)-0,'03_Capacity_Model'!$B$96)&lt;('01_Inputs'!$B$14+'01_Inputs'!$B$15+'01_Inputs'!$B$16)),1,IF(MOD((47*24/6+2)-0,'03_Capacity_Model'!$B$96)&gt;=('01_Inputs'!$B$14+'01_Inputs'!$B$15+'01_Inputs'!$B$16),2,0))</f>
        <v>2</v>
      </c>
      <c r="AY20" s="93">
        <f>IF(AND(MOD((48*24/6+2)-0,'03_Capacity_Model'!$B$96)&gt;='01_Inputs'!$B$14,MOD((48*24/6+2)-0,'03_Capacity_Model'!$B$96)&lt;('01_Inputs'!$B$14+'01_Inputs'!$B$15+'01_Inputs'!$B$16)),1,IF(MOD((48*24/6+2)-0,'03_Capacity_Model'!$B$96)&gt;=('01_Inputs'!$B$14+'01_Inputs'!$B$15+'01_Inputs'!$B$16),2,0))</f>
        <v>2</v>
      </c>
      <c r="AZ20" s="93">
        <f>IF(AND(MOD((49*24/6+2)-0,'03_Capacity_Model'!$B$96)&gt;='01_Inputs'!$B$14,MOD((49*24/6+2)-0,'03_Capacity_Model'!$B$96)&lt;('01_Inputs'!$B$14+'01_Inputs'!$B$15+'01_Inputs'!$B$16)),1,IF(MOD((49*24/6+2)-0,'03_Capacity_Model'!$B$96)&gt;=('01_Inputs'!$B$14+'01_Inputs'!$B$15+'01_Inputs'!$B$16),2,0))</f>
        <v>2</v>
      </c>
      <c r="BA20" s="93">
        <f>IF(AND(MOD((50*24/6+2)-0,'03_Capacity_Model'!$B$96)&gt;='01_Inputs'!$B$14,MOD((50*24/6+2)-0,'03_Capacity_Model'!$B$96)&lt;('01_Inputs'!$B$14+'01_Inputs'!$B$15+'01_Inputs'!$B$16)),1,IF(MOD((50*24/6+2)-0,'03_Capacity_Model'!$B$96)&gt;=('01_Inputs'!$B$14+'01_Inputs'!$B$15+'01_Inputs'!$B$16),2,0))</f>
        <v>1</v>
      </c>
      <c r="BB20" s="93">
        <f>IF(AND(MOD((51*24/6+2)-0,'03_Capacity_Model'!$B$96)&gt;='01_Inputs'!$B$14,MOD((51*24/6+2)-0,'03_Capacity_Model'!$B$96)&lt;('01_Inputs'!$B$14+'01_Inputs'!$B$15+'01_Inputs'!$B$16)),1,IF(MOD((51*24/6+2)-0,'03_Capacity_Model'!$B$96)&gt;=('01_Inputs'!$B$14+'01_Inputs'!$B$15+'01_Inputs'!$B$16),2,0))</f>
        <v>1</v>
      </c>
      <c r="BC20" s="93">
        <f>IF(AND(MOD((52*24/6+2)-0,'03_Capacity_Model'!$B$96)&gt;='01_Inputs'!$B$14,MOD((52*24/6+2)-0,'03_Capacity_Model'!$B$96)&lt;('01_Inputs'!$B$14+'01_Inputs'!$B$15+'01_Inputs'!$B$16)),1,IF(MOD((52*24/6+2)-0,'03_Capacity_Model'!$B$96)&gt;=('01_Inputs'!$B$14+'01_Inputs'!$B$15+'01_Inputs'!$B$16),2,0))</f>
        <v>1</v>
      </c>
      <c r="BD20" s="93">
        <f>IF(AND(MOD((53*24/6+2)-0,'03_Capacity_Model'!$B$96)&gt;='01_Inputs'!$B$14,MOD((53*24/6+2)-0,'03_Capacity_Model'!$B$96)&lt;('01_Inputs'!$B$14+'01_Inputs'!$B$15+'01_Inputs'!$B$16)),1,IF(MOD((53*24/6+2)-0,'03_Capacity_Model'!$B$96)&gt;=('01_Inputs'!$B$14+'01_Inputs'!$B$15+'01_Inputs'!$B$16),2,0))</f>
        <v>1</v>
      </c>
      <c r="BE20" s="93">
        <f>IF(AND(MOD((54*24/6+2)-0,'03_Capacity_Model'!$B$96)&gt;='01_Inputs'!$B$14,MOD((54*24/6+2)-0,'03_Capacity_Model'!$B$96)&lt;('01_Inputs'!$B$14+'01_Inputs'!$B$15+'01_Inputs'!$B$16)),1,IF(MOD((54*24/6+2)-0,'03_Capacity_Model'!$B$96)&gt;=('01_Inputs'!$B$14+'01_Inputs'!$B$15+'01_Inputs'!$B$16),2,0))</f>
        <v>1</v>
      </c>
      <c r="BF20" s="93">
        <f>IF(AND(MOD((55*24/6+2)-0,'03_Capacity_Model'!$B$96)&gt;='01_Inputs'!$B$14,MOD((55*24/6+2)-0,'03_Capacity_Model'!$B$96)&lt;('01_Inputs'!$B$14+'01_Inputs'!$B$15+'01_Inputs'!$B$16)),1,IF(MOD((55*24/6+2)-0,'03_Capacity_Model'!$B$96)&gt;=('01_Inputs'!$B$14+'01_Inputs'!$B$15+'01_Inputs'!$B$16),2,0))</f>
        <v>1</v>
      </c>
      <c r="BG20" s="93">
        <f>IF(AND(MOD((56*24/6+2)-0,'03_Capacity_Model'!$B$96)&gt;='01_Inputs'!$B$14,MOD((56*24/6+2)-0,'03_Capacity_Model'!$B$96)&lt;('01_Inputs'!$B$14+'01_Inputs'!$B$15+'01_Inputs'!$B$16)),1,IF(MOD((56*24/6+2)-0,'03_Capacity_Model'!$B$96)&gt;=('01_Inputs'!$B$14+'01_Inputs'!$B$15+'01_Inputs'!$B$16),2,0))</f>
        <v>1</v>
      </c>
      <c r="BH20" s="93">
        <f>IF(AND(MOD((57*24/6+2)-0,'03_Capacity_Model'!$B$96)&gt;='01_Inputs'!$B$14,MOD((57*24/6+2)-0,'03_Capacity_Model'!$B$96)&lt;('01_Inputs'!$B$14+'01_Inputs'!$B$15+'01_Inputs'!$B$16)),1,IF(MOD((57*24/6+2)-0,'03_Capacity_Model'!$B$96)&gt;=('01_Inputs'!$B$14+'01_Inputs'!$B$15+'01_Inputs'!$B$16),2,0))</f>
        <v>1</v>
      </c>
      <c r="BI20" s="93">
        <f>IF(AND(MOD((58*24/6+2)-0,'03_Capacity_Model'!$B$96)&gt;='01_Inputs'!$B$14,MOD((58*24/6+2)-0,'03_Capacity_Model'!$B$96)&lt;('01_Inputs'!$B$14+'01_Inputs'!$B$15+'01_Inputs'!$B$16)),1,IF(MOD((58*24/6+2)-0,'03_Capacity_Model'!$B$96)&gt;=('01_Inputs'!$B$14+'01_Inputs'!$B$15+'01_Inputs'!$B$16),2,0))</f>
        <v>1</v>
      </c>
      <c r="BJ20" s="93">
        <f>IF(AND(MOD((59*24/6+2)-0,'03_Capacity_Model'!$B$96)&gt;='01_Inputs'!$B$14,MOD((59*24/6+2)-0,'03_Capacity_Model'!$B$96)&lt;('01_Inputs'!$B$14+'01_Inputs'!$B$15+'01_Inputs'!$B$16)),1,IF(MOD((59*24/6+2)-0,'03_Capacity_Model'!$B$96)&gt;=('01_Inputs'!$B$14+'01_Inputs'!$B$15+'01_Inputs'!$B$16),2,0))</f>
        <v>1</v>
      </c>
      <c r="BK20" s="93">
        <f>IF(AND(MOD((60*24/6+2)-0,'03_Capacity_Model'!$B$96)&gt;='01_Inputs'!$B$14,MOD((60*24/6+2)-0,'03_Capacity_Model'!$B$96)&lt;('01_Inputs'!$B$14+'01_Inputs'!$B$15+'01_Inputs'!$B$16)),1,IF(MOD((60*24/6+2)-0,'03_Capacity_Model'!$B$96)&gt;=('01_Inputs'!$B$14+'01_Inputs'!$B$15+'01_Inputs'!$B$16),2,0))</f>
        <v>1</v>
      </c>
      <c r="BL20" s="93">
        <f>IF(AND(MOD((61*24/6+2)-0,'03_Capacity_Model'!$B$96)&gt;='01_Inputs'!$B$14,MOD((61*24/6+2)-0,'03_Capacity_Model'!$B$96)&lt;('01_Inputs'!$B$14+'01_Inputs'!$B$15+'01_Inputs'!$B$16)),1,IF(MOD((61*24/6+2)-0,'03_Capacity_Model'!$B$96)&gt;=('01_Inputs'!$B$14+'01_Inputs'!$B$15+'01_Inputs'!$B$16),2,0))</f>
        <v>1</v>
      </c>
      <c r="BM20" s="93">
        <f>IF(AND(MOD((62*24/6+2)-0,'03_Capacity_Model'!$B$96)&gt;='01_Inputs'!$B$14,MOD((62*24/6+2)-0,'03_Capacity_Model'!$B$96)&lt;('01_Inputs'!$B$14+'01_Inputs'!$B$15+'01_Inputs'!$B$16)),1,IF(MOD((62*24/6+2)-0,'03_Capacity_Model'!$B$96)&gt;=('01_Inputs'!$B$14+'01_Inputs'!$B$15+'01_Inputs'!$B$16),2,0))</f>
        <v>2</v>
      </c>
      <c r="BN20" s="93">
        <f>IF(AND(MOD((63*24/6+2)-0,'03_Capacity_Model'!$B$96)&gt;='01_Inputs'!$B$14,MOD((63*24/6+2)-0,'03_Capacity_Model'!$B$96)&lt;('01_Inputs'!$B$14+'01_Inputs'!$B$15+'01_Inputs'!$B$16)),1,IF(MOD((63*24/6+2)-0,'03_Capacity_Model'!$B$96)&gt;=('01_Inputs'!$B$14+'01_Inputs'!$B$15+'01_Inputs'!$B$16),2,0))</f>
        <v>2</v>
      </c>
      <c r="BO20" s="93">
        <f>IF(AND(MOD((64*24/6+2)-0,'03_Capacity_Model'!$B$96)&gt;='01_Inputs'!$B$14,MOD((64*24/6+2)-0,'03_Capacity_Model'!$B$96)&lt;('01_Inputs'!$B$14+'01_Inputs'!$B$15+'01_Inputs'!$B$16)),1,IF(MOD((64*24/6+2)-0,'03_Capacity_Model'!$B$96)&gt;=('01_Inputs'!$B$14+'01_Inputs'!$B$15+'01_Inputs'!$B$16),2,0))</f>
        <v>2</v>
      </c>
      <c r="BP20" s="93">
        <f>IF(AND(MOD((65*24/6+2)-0,'03_Capacity_Model'!$B$96)&gt;='01_Inputs'!$B$14,MOD((65*24/6+2)-0,'03_Capacity_Model'!$B$96)&lt;('01_Inputs'!$B$14+'01_Inputs'!$B$15+'01_Inputs'!$B$16)),1,IF(MOD((65*24/6+2)-0,'03_Capacity_Model'!$B$96)&gt;=('01_Inputs'!$B$14+'01_Inputs'!$B$15+'01_Inputs'!$B$16),2,0))</f>
        <v>2</v>
      </c>
      <c r="BQ20" s="93">
        <f>IF(AND(MOD((66*24/6+2)-0,'03_Capacity_Model'!$B$96)&gt;='01_Inputs'!$B$14,MOD((66*24/6+2)-0,'03_Capacity_Model'!$B$96)&lt;('01_Inputs'!$B$14+'01_Inputs'!$B$15+'01_Inputs'!$B$16)),1,IF(MOD((66*24/6+2)-0,'03_Capacity_Model'!$B$96)&gt;=('01_Inputs'!$B$14+'01_Inputs'!$B$15+'01_Inputs'!$B$16),2,0))</f>
        <v>0</v>
      </c>
      <c r="BR20" s="93">
        <f>IF(AND(MOD((67*24/6+2)-0,'03_Capacity_Model'!$B$96)&gt;='01_Inputs'!$B$14,MOD((67*24/6+2)-0,'03_Capacity_Model'!$B$96)&lt;('01_Inputs'!$B$14+'01_Inputs'!$B$15+'01_Inputs'!$B$16)),1,IF(MOD((67*24/6+2)-0,'03_Capacity_Model'!$B$96)&gt;=('01_Inputs'!$B$14+'01_Inputs'!$B$15+'01_Inputs'!$B$16),2,0))</f>
        <v>1</v>
      </c>
      <c r="BS20" s="93">
        <f>IF(AND(MOD((68*24/6+2)-0,'03_Capacity_Model'!$B$96)&gt;='01_Inputs'!$B$14,MOD((68*24/6+2)-0,'03_Capacity_Model'!$B$96)&lt;('01_Inputs'!$B$14+'01_Inputs'!$B$15+'01_Inputs'!$B$16)),1,IF(MOD((68*24/6+2)-0,'03_Capacity_Model'!$B$96)&gt;=('01_Inputs'!$B$14+'01_Inputs'!$B$15+'01_Inputs'!$B$16),2,0))</f>
        <v>1</v>
      </c>
      <c r="BT20" s="93">
        <f>IF(AND(MOD((69*24/6+2)-0,'03_Capacity_Model'!$B$96)&gt;='01_Inputs'!$B$14,MOD((69*24/6+2)-0,'03_Capacity_Model'!$B$96)&lt;('01_Inputs'!$B$14+'01_Inputs'!$B$15+'01_Inputs'!$B$16)),1,IF(MOD((69*24/6+2)-0,'03_Capacity_Model'!$B$96)&gt;=('01_Inputs'!$B$14+'01_Inputs'!$B$15+'01_Inputs'!$B$16),2,0))</f>
        <v>1</v>
      </c>
      <c r="BU20" s="93">
        <f>IF(AND(MOD((70*24/6+2)-0,'03_Capacity_Model'!$B$96)&gt;='01_Inputs'!$B$14,MOD((70*24/6+2)-0,'03_Capacity_Model'!$B$96)&lt;('01_Inputs'!$B$14+'01_Inputs'!$B$15+'01_Inputs'!$B$16)),1,IF(MOD((70*24/6+2)-0,'03_Capacity_Model'!$B$96)&gt;=('01_Inputs'!$B$14+'01_Inputs'!$B$15+'01_Inputs'!$B$16),2,0))</f>
        <v>1</v>
      </c>
      <c r="BV20" s="93">
        <f>IF(AND(MOD((71*24/6+2)-0,'03_Capacity_Model'!$B$96)&gt;='01_Inputs'!$B$14,MOD((71*24/6+2)-0,'03_Capacity_Model'!$B$96)&lt;('01_Inputs'!$B$14+'01_Inputs'!$B$15+'01_Inputs'!$B$16)),1,IF(MOD((71*24/6+2)-0,'03_Capacity_Model'!$B$96)&gt;=('01_Inputs'!$B$14+'01_Inputs'!$B$15+'01_Inputs'!$B$16),2,0))</f>
        <v>1</v>
      </c>
      <c r="BW20" s="93">
        <f>IF(AND(MOD((72*24/6+2)-0,'03_Capacity_Model'!$B$96)&gt;='01_Inputs'!$B$14,MOD((72*24/6+2)-0,'03_Capacity_Model'!$B$96)&lt;('01_Inputs'!$B$14+'01_Inputs'!$B$15+'01_Inputs'!$B$16)),1,IF(MOD((72*24/6+2)-0,'03_Capacity_Model'!$B$96)&gt;=('01_Inputs'!$B$14+'01_Inputs'!$B$15+'01_Inputs'!$B$16),2,0))</f>
        <v>1</v>
      </c>
      <c r="BX20" s="93">
        <f>IF(AND(MOD((73*24/6+2)-0,'03_Capacity_Model'!$B$96)&gt;='01_Inputs'!$B$14,MOD((73*24/6+2)-0,'03_Capacity_Model'!$B$96)&lt;('01_Inputs'!$B$14+'01_Inputs'!$B$15+'01_Inputs'!$B$16)),1,IF(MOD((73*24/6+2)-0,'03_Capacity_Model'!$B$96)&gt;=('01_Inputs'!$B$14+'01_Inputs'!$B$15+'01_Inputs'!$B$16),2,0))</f>
        <v>1</v>
      </c>
      <c r="BY20" s="93">
        <f>IF(AND(MOD((74*24/6+2)-0,'03_Capacity_Model'!$B$96)&gt;='01_Inputs'!$B$14,MOD((74*24/6+2)-0,'03_Capacity_Model'!$B$96)&lt;('01_Inputs'!$B$14+'01_Inputs'!$B$15+'01_Inputs'!$B$16)),1,IF(MOD((74*24/6+2)-0,'03_Capacity_Model'!$B$96)&gt;=('01_Inputs'!$B$14+'01_Inputs'!$B$15+'01_Inputs'!$B$16),2,0))</f>
        <v>1</v>
      </c>
      <c r="BZ20" s="93">
        <f>IF(AND(MOD((75*24/6+2)-0,'03_Capacity_Model'!$B$96)&gt;='01_Inputs'!$B$14,MOD((75*24/6+2)-0,'03_Capacity_Model'!$B$96)&lt;('01_Inputs'!$B$14+'01_Inputs'!$B$15+'01_Inputs'!$B$16)),1,IF(MOD((75*24/6+2)-0,'03_Capacity_Model'!$B$96)&gt;=('01_Inputs'!$B$14+'01_Inputs'!$B$15+'01_Inputs'!$B$16),2,0))</f>
        <v>1</v>
      </c>
      <c r="CA20" s="93">
        <f>IF(AND(MOD((76*24/6+2)-0,'03_Capacity_Model'!$B$96)&gt;='01_Inputs'!$B$14,MOD((76*24/6+2)-0,'03_Capacity_Model'!$B$96)&lt;('01_Inputs'!$B$14+'01_Inputs'!$B$15+'01_Inputs'!$B$16)),1,IF(MOD((76*24/6+2)-0,'03_Capacity_Model'!$B$96)&gt;=('01_Inputs'!$B$14+'01_Inputs'!$B$15+'01_Inputs'!$B$16),2,0))</f>
        <v>1</v>
      </c>
      <c r="CB20" s="93">
        <f>IF(AND(MOD((77*24/6+2)-0,'03_Capacity_Model'!$B$96)&gt;='01_Inputs'!$B$14,MOD((77*24/6+2)-0,'03_Capacity_Model'!$B$96)&lt;('01_Inputs'!$B$14+'01_Inputs'!$B$15+'01_Inputs'!$B$16)),1,IF(MOD((77*24/6+2)-0,'03_Capacity_Model'!$B$96)&gt;=('01_Inputs'!$B$14+'01_Inputs'!$B$15+'01_Inputs'!$B$16),2,0))</f>
        <v>1</v>
      </c>
      <c r="CC20" s="93">
        <f>IF(AND(MOD((78*24/6+2)-0,'03_Capacity_Model'!$B$96)&gt;='01_Inputs'!$B$14,MOD((78*24/6+2)-0,'03_Capacity_Model'!$B$96)&lt;('01_Inputs'!$B$14+'01_Inputs'!$B$15+'01_Inputs'!$B$16)),1,IF(MOD((78*24/6+2)-0,'03_Capacity_Model'!$B$96)&gt;=('01_Inputs'!$B$14+'01_Inputs'!$B$15+'01_Inputs'!$B$16),2,0))</f>
        <v>1</v>
      </c>
      <c r="CD20" s="93">
        <f>IF(AND(MOD((79*24/6+2)-0,'03_Capacity_Model'!$B$96)&gt;='01_Inputs'!$B$14,MOD((79*24/6+2)-0,'03_Capacity_Model'!$B$96)&lt;('01_Inputs'!$B$14+'01_Inputs'!$B$15+'01_Inputs'!$B$16)),1,IF(MOD((79*24/6+2)-0,'03_Capacity_Model'!$B$96)&gt;=('01_Inputs'!$B$14+'01_Inputs'!$B$15+'01_Inputs'!$B$16),2,0))</f>
        <v>2</v>
      </c>
      <c r="CE20" s="93">
        <f>IF(AND(MOD((80*24/6+2)-0,'03_Capacity_Model'!$B$96)&gt;='01_Inputs'!$B$14,MOD((80*24/6+2)-0,'03_Capacity_Model'!$B$96)&lt;('01_Inputs'!$B$14+'01_Inputs'!$B$15+'01_Inputs'!$B$16)),1,IF(MOD((80*24/6+2)-0,'03_Capacity_Model'!$B$96)&gt;=('01_Inputs'!$B$14+'01_Inputs'!$B$15+'01_Inputs'!$B$16),2,0))</f>
        <v>2</v>
      </c>
      <c r="CF20" s="93">
        <f>IF(AND(MOD((81*24/6+2)-0,'03_Capacity_Model'!$B$96)&gt;='01_Inputs'!$B$14,MOD((81*24/6+2)-0,'03_Capacity_Model'!$B$96)&lt;('01_Inputs'!$B$14+'01_Inputs'!$B$15+'01_Inputs'!$B$16)),1,IF(MOD((81*24/6+2)-0,'03_Capacity_Model'!$B$96)&gt;=('01_Inputs'!$B$14+'01_Inputs'!$B$15+'01_Inputs'!$B$16),2,0))</f>
        <v>2</v>
      </c>
      <c r="CG20" s="93">
        <f>IF(AND(MOD((82*24/6+2)-0,'03_Capacity_Model'!$B$96)&gt;='01_Inputs'!$B$14,MOD((82*24/6+2)-0,'03_Capacity_Model'!$B$96)&lt;('01_Inputs'!$B$14+'01_Inputs'!$B$15+'01_Inputs'!$B$16)),1,IF(MOD((82*24/6+2)-0,'03_Capacity_Model'!$B$96)&gt;=('01_Inputs'!$B$14+'01_Inputs'!$B$15+'01_Inputs'!$B$16),2,0))</f>
        <v>2</v>
      </c>
      <c r="CH20" s="93">
        <f>IF(AND(MOD((83*24/6+2)-0,'03_Capacity_Model'!$B$96)&gt;='01_Inputs'!$B$14,MOD((83*24/6+2)-0,'03_Capacity_Model'!$B$96)&lt;('01_Inputs'!$B$14+'01_Inputs'!$B$15+'01_Inputs'!$B$16)),1,IF(MOD((83*24/6+2)-0,'03_Capacity_Model'!$B$96)&gt;=('01_Inputs'!$B$14+'01_Inputs'!$B$15+'01_Inputs'!$B$16),2,0))</f>
        <v>1</v>
      </c>
      <c r="CI20" s="93">
        <f>IF(AND(MOD((84*24/6+2)-0,'03_Capacity_Model'!$B$96)&gt;='01_Inputs'!$B$14,MOD((84*24/6+2)-0,'03_Capacity_Model'!$B$96)&lt;('01_Inputs'!$B$14+'01_Inputs'!$B$15+'01_Inputs'!$B$16)),1,IF(MOD((84*24/6+2)-0,'03_Capacity_Model'!$B$96)&gt;=('01_Inputs'!$B$14+'01_Inputs'!$B$15+'01_Inputs'!$B$16),2,0))</f>
        <v>1</v>
      </c>
      <c r="CJ20" s="93">
        <f>IF(AND(MOD((85*24/6+2)-0,'03_Capacity_Model'!$B$96)&gt;='01_Inputs'!$B$14,MOD((85*24/6+2)-0,'03_Capacity_Model'!$B$96)&lt;('01_Inputs'!$B$14+'01_Inputs'!$B$15+'01_Inputs'!$B$16)),1,IF(MOD((85*24/6+2)-0,'03_Capacity_Model'!$B$96)&gt;=('01_Inputs'!$B$14+'01_Inputs'!$B$15+'01_Inputs'!$B$16),2,0))</f>
        <v>1</v>
      </c>
      <c r="CK20" s="93">
        <f>IF(AND(MOD((86*24/6+2)-0,'03_Capacity_Model'!$B$96)&gt;='01_Inputs'!$B$14,MOD((86*24/6+2)-0,'03_Capacity_Model'!$B$96)&lt;('01_Inputs'!$B$14+'01_Inputs'!$B$15+'01_Inputs'!$B$16)),1,IF(MOD((86*24/6+2)-0,'03_Capacity_Model'!$B$96)&gt;=('01_Inputs'!$B$14+'01_Inputs'!$B$15+'01_Inputs'!$B$16),2,0))</f>
        <v>1</v>
      </c>
      <c r="CL20" s="93">
        <f>IF(AND(MOD((87*24/6+2)-0,'03_Capacity_Model'!$B$96)&gt;='01_Inputs'!$B$14,MOD((87*24/6+2)-0,'03_Capacity_Model'!$B$96)&lt;('01_Inputs'!$B$14+'01_Inputs'!$B$15+'01_Inputs'!$B$16)),1,IF(MOD((87*24/6+2)-0,'03_Capacity_Model'!$B$96)&gt;=('01_Inputs'!$B$14+'01_Inputs'!$B$15+'01_Inputs'!$B$16),2,0))</f>
        <v>1</v>
      </c>
      <c r="CM20" s="93">
        <f>IF(AND(MOD((88*24/6+2)-0,'03_Capacity_Model'!$B$96)&gt;='01_Inputs'!$B$14,MOD((88*24/6+2)-0,'03_Capacity_Model'!$B$96)&lt;('01_Inputs'!$B$14+'01_Inputs'!$B$15+'01_Inputs'!$B$16)),1,IF(MOD((88*24/6+2)-0,'03_Capacity_Model'!$B$96)&gt;=('01_Inputs'!$B$14+'01_Inputs'!$B$15+'01_Inputs'!$B$16),2,0))</f>
        <v>1</v>
      </c>
      <c r="CN20" s="93">
        <f>IF(AND(MOD((89*24/6+2)-0,'03_Capacity_Model'!$B$96)&gt;='01_Inputs'!$B$14,MOD((89*24/6+2)-0,'03_Capacity_Model'!$B$96)&lt;('01_Inputs'!$B$14+'01_Inputs'!$B$15+'01_Inputs'!$B$16)),1,IF(MOD((89*24/6+2)-0,'03_Capacity_Model'!$B$96)&gt;=('01_Inputs'!$B$14+'01_Inputs'!$B$15+'01_Inputs'!$B$16),2,0))</f>
        <v>1</v>
      </c>
      <c r="CO20" s="93">
        <f>IF(AND(MOD((90*24/6+2)-0,'03_Capacity_Model'!$B$96)&gt;='01_Inputs'!$B$14,MOD((90*24/6+2)-0,'03_Capacity_Model'!$B$96)&lt;('01_Inputs'!$B$14+'01_Inputs'!$B$15+'01_Inputs'!$B$16)),1,IF(MOD((90*24/6+2)-0,'03_Capacity_Model'!$B$96)&gt;=('01_Inputs'!$B$14+'01_Inputs'!$B$15+'01_Inputs'!$B$16),2,0))</f>
        <v>1</v>
      </c>
      <c r="CP20" s="93">
        <f>IF(AND(MOD((91*24/6+2)-0,'03_Capacity_Model'!$B$96)&gt;='01_Inputs'!$B$14,MOD((91*24/6+2)-0,'03_Capacity_Model'!$B$96)&lt;('01_Inputs'!$B$14+'01_Inputs'!$B$15+'01_Inputs'!$B$16)),1,IF(MOD((91*24/6+2)-0,'03_Capacity_Model'!$B$96)&gt;=('01_Inputs'!$B$14+'01_Inputs'!$B$15+'01_Inputs'!$B$16),2,0))</f>
        <v>1</v>
      </c>
      <c r="CQ20" s="93">
        <f>IF(AND(MOD((92*24/6+2)-0,'03_Capacity_Model'!$B$96)&gt;='01_Inputs'!$B$14,MOD((92*24/6+2)-0,'03_Capacity_Model'!$B$96)&lt;('01_Inputs'!$B$14+'01_Inputs'!$B$15+'01_Inputs'!$B$16)),1,IF(MOD((92*24/6+2)-0,'03_Capacity_Model'!$B$96)&gt;=('01_Inputs'!$B$14+'01_Inputs'!$B$15+'01_Inputs'!$B$16),2,0))</f>
        <v>1</v>
      </c>
      <c r="CR20" s="93">
        <f>IF(AND(MOD((93*24/6+2)-0,'03_Capacity_Model'!$B$96)&gt;='01_Inputs'!$B$14,MOD((93*24/6+2)-0,'03_Capacity_Model'!$B$96)&lt;('01_Inputs'!$B$14+'01_Inputs'!$B$15+'01_Inputs'!$B$16)),1,IF(MOD((93*24/6+2)-0,'03_Capacity_Model'!$B$96)&gt;=('01_Inputs'!$B$14+'01_Inputs'!$B$15+'01_Inputs'!$B$16),2,0))</f>
        <v>1</v>
      </c>
      <c r="CS20" s="93">
        <f>IF(AND(MOD((94*24/6+2)-0,'03_Capacity_Model'!$B$96)&gt;='01_Inputs'!$B$14,MOD((94*24/6+2)-0,'03_Capacity_Model'!$B$96)&lt;('01_Inputs'!$B$14+'01_Inputs'!$B$15+'01_Inputs'!$B$16)),1,IF(MOD((94*24/6+2)-0,'03_Capacity_Model'!$B$96)&gt;=('01_Inputs'!$B$14+'01_Inputs'!$B$15+'01_Inputs'!$B$16),2,0))</f>
        <v>1</v>
      </c>
      <c r="CT20" s="93">
        <f>IF(AND(MOD((95*24/6+2)-0,'03_Capacity_Model'!$B$96)&gt;='01_Inputs'!$B$14,MOD((95*24/6+2)-0,'03_Capacity_Model'!$B$96)&lt;('01_Inputs'!$B$14+'01_Inputs'!$B$15+'01_Inputs'!$B$16)),1,IF(MOD((95*24/6+2)-0,'03_Capacity_Model'!$B$96)&gt;=('01_Inputs'!$B$14+'01_Inputs'!$B$15+'01_Inputs'!$B$16),2,0))</f>
        <v>2</v>
      </c>
      <c r="CU20" s="93">
        <f>IF(AND(MOD((96*24/6+2)-0,'03_Capacity_Model'!$B$96)&gt;='01_Inputs'!$B$14,MOD((96*24/6+2)-0,'03_Capacity_Model'!$B$96)&lt;('01_Inputs'!$B$14+'01_Inputs'!$B$15+'01_Inputs'!$B$16)),1,IF(MOD((96*24/6+2)-0,'03_Capacity_Model'!$B$96)&gt;=('01_Inputs'!$B$14+'01_Inputs'!$B$15+'01_Inputs'!$B$16),2,0))</f>
        <v>2</v>
      </c>
      <c r="CV20" s="93">
        <f>IF(AND(MOD((97*24/6+2)-0,'03_Capacity_Model'!$B$96)&gt;='01_Inputs'!$B$14,MOD((97*24/6+2)-0,'03_Capacity_Model'!$B$96)&lt;('01_Inputs'!$B$14+'01_Inputs'!$B$15+'01_Inputs'!$B$16)),1,IF(MOD((97*24/6+2)-0,'03_Capacity_Model'!$B$96)&gt;=('01_Inputs'!$B$14+'01_Inputs'!$B$15+'01_Inputs'!$B$16),2,0))</f>
        <v>2</v>
      </c>
      <c r="CW20" s="93">
        <f>IF(AND(MOD((98*24/6+2)-0,'03_Capacity_Model'!$B$96)&gt;='01_Inputs'!$B$14,MOD((98*24/6+2)-0,'03_Capacity_Model'!$B$96)&lt;('01_Inputs'!$B$14+'01_Inputs'!$B$15+'01_Inputs'!$B$16)),1,IF(MOD((98*24/6+2)-0,'03_Capacity_Model'!$B$96)&gt;=('01_Inputs'!$B$14+'01_Inputs'!$B$15+'01_Inputs'!$B$16),2,0))</f>
        <v>2</v>
      </c>
      <c r="CX20" s="93">
        <f>IF(AND(MOD((99*24/6+2)-0,'03_Capacity_Model'!$B$96)&gt;='01_Inputs'!$B$14,MOD((99*24/6+2)-0,'03_Capacity_Model'!$B$96)&lt;('01_Inputs'!$B$14+'01_Inputs'!$B$15+'01_Inputs'!$B$16)),1,IF(MOD((99*24/6+2)-0,'03_Capacity_Model'!$B$96)&gt;=('01_Inputs'!$B$14+'01_Inputs'!$B$15+'01_Inputs'!$B$16),2,0))</f>
        <v>0</v>
      </c>
      <c r="CY20" s="93">
        <f>IF(AND(MOD((100*24/6+2)-0,'03_Capacity_Model'!$B$96)&gt;='01_Inputs'!$B$14,MOD((100*24/6+2)-0,'03_Capacity_Model'!$B$96)&lt;('01_Inputs'!$B$14+'01_Inputs'!$B$15+'01_Inputs'!$B$16)),1,IF(MOD((100*24/6+2)-0,'03_Capacity_Model'!$B$96)&gt;=('01_Inputs'!$B$14+'01_Inputs'!$B$15+'01_Inputs'!$B$16),2,0))</f>
        <v>1</v>
      </c>
      <c r="CZ20" s="93">
        <f>IF(AND(MOD((101*24/6+2)-0,'03_Capacity_Model'!$B$96)&gt;='01_Inputs'!$B$14,MOD((101*24/6+2)-0,'03_Capacity_Model'!$B$96)&lt;('01_Inputs'!$B$14+'01_Inputs'!$B$15+'01_Inputs'!$B$16)),1,IF(MOD((101*24/6+2)-0,'03_Capacity_Model'!$B$96)&gt;=('01_Inputs'!$B$14+'01_Inputs'!$B$15+'01_Inputs'!$B$16),2,0))</f>
        <v>1</v>
      </c>
      <c r="DA20" s="93">
        <f>IF(AND(MOD((102*24/6+2)-0,'03_Capacity_Model'!$B$96)&gt;='01_Inputs'!$B$14,MOD((102*24/6+2)-0,'03_Capacity_Model'!$B$96)&lt;('01_Inputs'!$B$14+'01_Inputs'!$B$15+'01_Inputs'!$B$16)),1,IF(MOD((102*24/6+2)-0,'03_Capacity_Model'!$B$96)&gt;=('01_Inputs'!$B$14+'01_Inputs'!$B$15+'01_Inputs'!$B$16),2,0))</f>
        <v>1</v>
      </c>
      <c r="DB20" s="93">
        <f>IF(AND(MOD((103*24/6+2)-0,'03_Capacity_Model'!$B$96)&gt;='01_Inputs'!$B$14,MOD((103*24/6+2)-0,'03_Capacity_Model'!$B$96)&lt;('01_Inputs'!$B$14+'01_Inputs'!$B$15+'01_Inputs'!$B$16)),1,IF(MOD((103*24/6+2)-0,'03_Capacity_Model'!$B$96)&gt;=('01_Inputs'!$B$14+'01_Inputs'!$B$15+'01_Inputs'!$B$16),2,0))</f>
        <v>1</v>
      </c>
      <c r="DC20" s="93">
        <f>IF(AND(MOD((104*24/6+2)-0,'03_Capacity_Model'!$B$96)&gt;='01_Inputs'!$B$14,MOD((104*24/6+2)-0,'03_Capacity_Model'!$B$96)&lt;('01_Inputs'!$B$14+'01_Inputs'!$B$15+'01_Inputs'!$B$16)),1,IF(MOD((104*24/6+2)-0,'03_Capacity_Model'!$B$96)&gt;=('01_Inputs'!$B$14+'01_Inputs'!$B$15+'01_Inputs'!$B$16),2,0))</f>
        <v>1</v>
      </c>
      <c r="DD20" s="93">
        <f>IF(AND(MOD((105*24/6+2)-0,'03_Capacity_Model'!$B$96)&gt;='01_Inputs'!$B$14,MOD((105*24/6+2)-0,'03_Capacity_Model'!$B$96)&lt;('01_Inputs'!$B$14+'01_Inputs'!$B$15+'01_Inputs'!$B$16)),1,IF(MOD((105*24/6+2)-0,'03_Capacity_Model'!$B$96)&gt;=('01_Inputs'!$B$14+'01_Inputs'!$B$15+'01_Inputs'!$B$16),2,0))</f>
        <v>1</v>
      </c>
      <c r="DE20" s="93">
        <f>IF(AND(MOD((106*24/6+2)-0,'03_Capacity_Model'!$B$96)&gt;='01_Inputs'!$B$14,MOD((106*24/6+2)-0,'03_Capacity_Model'!$B$96)&lt;('01_Inputs'!$B$14+'01_Inputs'!$B$15+'01_Inputs'!$B$16)),1,IF(MOD((106*24/6+2)-0,'03_Capacity_Model'!$B$96)&gt;=('01_Inputs'!$B$14+'01_Inputs'!$B$15+'01_Inputs'!$B$16),2,0))</f>
        <v>1</v>
      </c>
      <c r="DF20" s="93">
        <f>IF(AND(MOD((107*24/6+2)-0,'03_Capacity_Model'!$B$96)&gt;='01_Inputs'!$B$14,MOD((107*24/6+2)-0,'03_Capacity_Model'!$B$96)&lt;('01_Inputs'!$B$14+'01_Inputs'!$B$15+'01_Inputs'!$B$16)),1,IF(MOD((107*24/6+2)-0,'03_Capacity_Model'!$B$96)&gt;=('01_Inputs'!$B$14+'01_Inputs'!$B$15+'01_Inputs'!$B$16),2,0))</f>
        <v>1</v>
      </c>
      <c r="DG20" s="93">
        <f>IF(AND(MOD((108*24/6+2)-0,'03_Capacity_Model'!$B$96)&gt;='01_Inputs'!$B$14,MOD((108*24/6+2)-0,'03_Capacity_Model'!$B$96)&lt;('01_Inputs'!$B$14+'01_Inputs'!$B$15+'01_Inputs'!$B$16)),1,IF(MOD((108*24/6+2)-0,'03_Capacity_Model'!$B$96)&gt;=('01_Inputs'!$B$14+'01_Inputs'!$B$15+'01_Inputs'!$B$16),2,0))</f>
        <v>1</v>
      </c>
      <c r="DH20" s="93">
        <f>IF(AND(MOD((109*24/6+2)-0,'03_Capacity_Model'!$B$96)&gt;='01_Inputs'!$B$14,MOD((109*24/6+2)-0,'03_Capacity_Model'!$B$96)&lt;('01_Inputs'!$B$14+'01_Inputs'!$B$15+'01_Inputs'!$B$16)),1,IF(MOD((109*24/6+2)-0,'03_Capacity_Model'!$B$96)&gt;=('01_Inputs'!$B$14+'01_Inputs'!$B$15+'01_Inputs'!$B$16),2,0))</f>
        <v>1</v>
      </c>
      <c r="DI20" s="93">
        <f>IF(AND(MOD((110*24/6+2)-0,'03_Capacity_Model'!$B$96)&gt;='01_Inputs'!$B$14,MOD((110*24/6+2)-0,'03_Capacity_Model'!$B$96)&lt;('01_Inputs'!$B$14+'01_Inputs'!$B$15+'01_Inputs'!$B$16)),1,IF(MOD((110*24/6+2)-0,'03_Capacity_Model'!$B$96)&gt;=('01_Inputs'!$B$14+'01_Inputs'!$B$15+'01_Inputs'!$B$16),2,0))</f>
        <v>1</v>
      </c>
      <c r="DJ20" s="93">
        <f>IF(AND(MOD((111*24/6+2)-0,'03_Capacity_Model'!$B$96)&gt;='01_Inputs'!$B$14,MOD((111*24/6+2)-0,'03_Capacity_Model'!$B$96)&lt;('01_Inputs'!$B$14+'01_Inputs'!$B$15+'01_Inputs'!$B$16)),1,IF(MOD((111*24/6+2)-0,'03_Capacity_Model'!$B$96)&gt;=('01_Inputs'!$B$14+'01_Inputs'!$B$15+'01_Inputs'!$B$16),2,0))</f>
        <v>1</v>
      </c>
      <c r="DK20" s="93">
        <f>IF(AND(MOD((112*24/6+2)-0,'03_Capacity_Model'!$B$96)&gt;='01_Inputs'!$B$14,MOD((112*24/6+2)-0,'03_Capacity_Model'!$B$96)&lt;('01_Inputs'!$B$14+'01_Inputs'!$B$15+'01_Inputs'!$B$16)),1,IF(MOD((112*24/6+2)-0,'03_Capacity_Model'!$B$96)&gt;=('01_Inputs'!$B$14+'01_Inputs'!$B$15+'01_Inputs'!$B$16),2,0))</f>
        <v>2</v>
      </c>
      <c r="DL20" s="93">
        <f>IF(AND(MOD((113*24/6+2)-0,'03_Capacity_Model'!$B$96)&gt;='01_Inputs'!$B$14,MOD((113*24/6+2)-0,'03_Capacity_Model'!$B$96)&lt;('01_Inputs'!$B$14+'01_Inputs'!$B$15+'01_Inputs'!$B$16)),1,IF(MOD((113*24/6+2)-0,'03_Capacity_Model'!$B$96)&gt;=('01_Inputs'!$B$14+'01_Inputs'!$B$15+'01_Inputs'!$B$16),2,0))</f>
        <v>2</v>
      </c>
      <c r="DM20" s="93">
        <f>IF(AND(MOD((114*24/6+2)-0,'03_Capacity_Model'!$B$96)&gt;='01_Inputs'!$B$14,MOD((114*24/6+2)-0,'03_Capacity_Model'!$B$96)&lt;('01_Inputs'!$B$14+'01_Inputs'!$B$15+'01_Inputs'!$B$16)),1,IF(MOD((114*24/6+2)-0,'03_Capacity_Model'!$B$96)&gt;=('01_Inputs'!$B$14+'01_Inputs'!$B$15+'01_Inputs'!$B$16),2,0))</f>
        <v>2</v>
      </c>
      <c r="DN20" s="93">
        <f>IF(AND(MOD((115*24/6+2)-0,'03_Capacity_Model'!$B$96)&gt;='01_Inputs'!$B$14,MOD((115*24/6+2)-0,'03_Capacity_Model'!$B$96)&lt;('01_Inputs'!$B$14+'01_Inputs'!$B$15+'01_Inputs'!$B$16)),1,IF(MOD((115*24/6+2)-0,'03_Capacity_Model'!$B$96)&gt;=('01_Inputs'!$B$14+'01_Inputs'!$B$15+'01_Inputs'!$B$16),2,0))</f>
        <v>2</v>
      </c>
      <c r="DO20" s="93">
        <f>IF(AND(MOD((116*24/6+2)-0,'03_Capacity_Model'!$B$96)&gt;='01_Inputs'!$B$14,MOD((116*24/6+2)-0,'03_Capacity_Model'!$B$96)&lt;('01_Inputs'!$B$14+'01_Inputs'!$B$15+'01_Inputs'!$B$16)),1,IF(MOD((116*24/6+2)-0,'03_Capacity_Model'!$B$96)&gt;=('01_Inputs'!$B$14+'01_Inputs'!$B$15+'01_Inputs'!$B$16),2,0))</f>
        <v>0</v>
      </c>
      <c r="DP20" s="93">
        <f>IF(AND(MOD((117*24/6+2)-0,'03_Capacity_Model'!$B$96)&gt;='01_Inputs'!$B$14,MOD((117*24/6+2)-0,'03_Capacity_Model'!$B$96)&lt;('01_Inputs'!$B$14+'01_Inputs'!$B$15+'01_Inputs'!$B$16)),1,IF(MOD((117*24/6+2)-0,'03_Capacity_Model'!$B$96)&gt;=('01_Inputs'!$B$14+'01_Inputs'!$B$15+'01_Inputs'!$B$16),2,0))</f>
        <v>1</v>
      </c>
      <c r="DQ20" s="93">
        <f>IF(AND(MOD((118*24/6+2)-0,'03_Capacity_Model'!$B$96)&gt;='01_Inputs'!$B$14,MOD((118*24/6+2)-0,'03_Capacity_Model'!$B$96)&lt;('01_Inputs'!$B$14+'01_Inputs'!$B$15+'01_Inputs'!$B$16)),1,IF(MOD((118*24/6+2)-0,'03_Capacity_Model'!$B$96)&gt;=('01_Inputs'!$B$14+'01_Inputs'!$B$15+'01_Inputs'!$B$16),2,0))</f>
        <v>1</v>
      </c>
      <c r="DR20" s="93">
        <f>IF(AND(MOD((119*24/6+2)-0,'03_Capacity_Model'!$B$96)&gt;='01_Inputs'!$B$14,MOD((119*24/6+2)-0,'03_Capacity_Model'!$B$96)&lt;('01_Inputs'!$B$14+'01_Inputs'!$B$15+'01_Inputs'!$B$16)),1,IF(MOD((119*24/6+2)-0,'03_Capacity_Model'!$B$96)&gt;=('01_Inputs'!$B$14+'01_Inputs'!$B$15+'01_Inputs'!$B$16),2,0))</f>
        <v>1</v>
      </c>
      <c r="DS20" s="93">
        <f>IF(AND(MOD((120*24/6+2)-0,'03_Capacity_Model'!$B$96)&gt;='01_Inputs'!$B$14,MOD((120*24/6+2)-0,'03_Capacity_Model'!$B$96)&lt;('01_Inputs'!$B$14+'01_Inputs'!$B$15+'01_Inputs'!$B$16)),1,IF(MOD((120*24/6+2)-0,'03_Capacity_Model'!$B$96)&gt;=('01_Inputs'!$B$14+'01_Inputs'!$B$15+'01_Inputs'!$B$16),2,0))</f>
        <v>1</v>
      </c>
      <c r="DT20" s="93">
        <f>IF(AND(MOD((121*24/6+2)-0,'03_Capacity_Model'!$B$96)&gt;='01_Inputs'!$B$14,MOD((121*24/6+2)-0,'03_Capacity_Model'!$B$96)&lt;('01_Inputs'!$B$14+'01_Inputs'!$B$15+'01_Inputs'!$B$16)),1,IF(MOD((121*24/6+2)-0,'03_Capacity_Model'!$B$96)&gt;=('01_Inputs'!$B$14+'01_Inputs'!$B$15+'01_Inputs'!$B$16),2,0))</f>
        <v>1</v>
      </c>
      <c r="DU20" s="93">
        <f>IF(AND(MOD((122*24/6+2)-0,'03_Capacity_Model'!$B$96)&gt;='01_Inputs'!$B$14,MOD((122*24/6+2)-0,'03_Capacity_Model'!$B$96)&lt;('01_Inputs'!$B$14+'01_Inputs'!$B$15+'01_Inputs'!$B$16)),1,IF(MOD((122*24/6+2)-0,'03_Capacity_Model'!$B$96)&gt;=('01_Inputs'!$B$14+'01_Inputs'!$B$15+'01_Inputs'!$B$16),2,0))</f>
        <v>1</v>
      </c>
      <c r="DV20" s="93">
        <f>IF(AND(MOD((123*24/6+2)-0,'03_Capacity_Model'!$B$96)&gt;='01_Inputs'!$B$14,MOD((123*24/6+2)-0,'03_Capacity_Model'!$B$96)&lt;('01_Inputs'!$B$14+'01_Inputs'!$B$15+'01_Inputs'!$B$16)),1,IF(MOD((123*24/6+2)-0,'03_Capacity_Model'!$B$96)&gt;=('01_Inputs'!$B$14+'01_Inputs'!$B$15+'01_Inputs'!$B$16),2,0))</f>
        <v>1</v>
      </c>
      <c r="DW20" s="93">
        <f>IF(AND(MOD((124*24/6+2)-0,'03_Capacity_Model'!$B$96)&gt;='01_Inputs'!$B$14,MOD((124*24/6+2)-0,'03_Capacity_Model'!$B$96)&lt;('01_Inputs'!$B$14+'01_Inputs'!$B$15+'01_Inputs'!$B$16)),1,IF(MOD((124*24/6+2)-0,'03_Capacity_Model'!$B$96)&gt;=('01_Inputs'!$B$14+'01_Inputs'!$B$15+'01_Inputs'!$B$16),2,0))</f>
        <v>1</v>
      </c>
      <c r="DX20" s="93">
        <f>IF(AND(MOD((125*24/6+2)-0,'03_Capacity_Model'!$B$96)&gt;='01_Inputs'!$B$14,MOD((125*24/6+2)-0,'03_Capacity_Model'!$B$96)&lt;('01_Inputs'!$B$14+'01_Inputs'!$B$15+'01_Inputs'!$B$16)),1,IF(MOD((125*24/6+2)-0,'03_Capacity_Model'!$B$96)&gt;=('01_Inputs'!$B$14+'01_Inputs'!$B$15+'01_Inputs'!$B$16),2,0))</f>
        <v>1</v>
      </c>
      <c r="DY20" s="93">
        <f>IF(AND(MOD((126*24/6+2)-0,'03_Capacity_Model'!$B$96)&gt;='01_Inputs'!$B$14,MOD((126*24/6+2)-0,'03_Capacity_Model'!$B$96)&lt;('01_Inputs'!$B$14+'01_Inputs'!$B$15+'01_Inputs'!$B$16)),1,IF(MOD((126*24/6+2)-0,'03_Capacity_Model'!$B$96)&gt;=('01_Inputs'!$B$14+'01_Inputs'!$B$15+'01_Inputs'!$B$16),2,0))</f>
        <v>1</v>
      </c>
      <c r="DZ20" s="93">
        <f>IF(AND(MOD((127*24/6+2)-0,'03_Capacity_Model'!$B$96)&gt;='01_Inputs'!$B$14,MOD((127*24/6+2)-0,'03_Capacity_Model'!$B$96)&lt;('01_Inputs'!$B$14+'01_Inputs'!$B$15+'01_Inputs'!$B$16)),1,IF(MOD((127*24/6+2)-0,'03_Capacity_Model'!$B$96)&gt;=('01_Inputs'!$B$14+'01_Inputs'!$B$15+'01_Inputs'!$B$16),2,0))</f>
        <v>1</v>
      </c>
      <c r="EA20" s="93">
        <f>IF(AND(MOD((128*24/6+2)-0,'03_Capacity_Model'!$B$96)&gt;='01_Inputs'!$B$14,MOD((128*24/6+2)-0,'03_Capacity_Model'!$B$96)&lt;('01_Inputs'!$B$14+'01_Inputs'!$B$15+'01_Inputs'!$B$16)),1,IF(MOD((128*24/6+2)-0,'03_Capacity_Model'!$B$96)&gt;=('01_Inputs'!$B$14+'01_Inputs'!$B$15+'01_Inputs'!$B$16),2,0))</f>
        <v>2</v>
      </c>
      <c r="EB20" s="93">
        <f>IF(AND(MOD((129*24/6+2)-0,'03_Capacity_Model'!$B$96)&gt;='01_Inputs'!$B$14,MOD((129*24/6+2)-0,'03_Capacity_Model'!$B$96)&lt;('01_Inputs'!$B$14+'01_Inputs'!$B$15+'01_Inputs'!$B$16)),1,IF(MOD((129*24/6+2)-0,'03_Capacity_Model'!$B$96)&gt;=('01_Inputs'!$B$14+'01_Inputs'!$B$15+'01_Inputs'!$B$16),2,0))</f>
        <v>2</v>
      </c>
      <c r="EC20" s="93">
        <f>IF(AND(MOD((130*24/6+2)-0,'03_Capacity_Model'!$B$96)&gt;='01_Inputs'!$B$14,MOD((130*24/6+2)-0,'03_Capacity_Model'!$B$96)&lt;('01_Inputs'!$B$14+'01_Inputs'!$B$15+'01_Inputs'!$B$16)),1,IF(MOD((130*24/6+2)-0,'03_Capacity_Model'!$B$96)&gt;=('01_Inputs'!$B$14+'01_Inputs'!$B$15+'01_Inputs'!$B$16),2,0))</f>
        <v>2</v>
      </c>
      <c r="ED20" s="93">
        <f>IF(AND(MOD((131*24/6+2)-0,'03_Capacity_Model'!$B$96)&gt;='01_Inputs'!$B$14,MOD((131*24/6+2)-0,'03_Capacity_Model'!$B$96)&lt;('01_Inputs'!$B$14+'01_Inputs'!$B$15+'01_Inputs'!$B$16)),1,IF(MOD((131*24/6+2)-0,'03_Capacity_Model'!$B$96)&gt;=('01_Inputs'!$B$14+'01_Inputs'!$B$15+'01_Inputs'!$B$16),2,0))</f>
        <v>2</v>
      </c>
      <c r="EE20" s="93">
        <f>IF(AND(MOD((132*24/6+2)-0,'03_Capacity_Model'!$B$96)&gt;='01_Inputs'!$B$14,MOD((132*24/6+2)-0,'03_Capacity_Model'!$B$96)&lt;('01_Inputs'!$B$14+'01_Inputs'!$B$15+'01_Inputs'!$B$16)),1,IF(MOD((132*24/6+2)-0,'03_Capacity_Model'!$B$96)&gt;=('01_Inputs'!$B$14+'01_Inputs'!$B$15+'01_Inputs'!$B$16),2,0))</f>
        <v>2</v>
      </c>
      <c r="EF20" s="93">
        <f>IF(AND(MOD((133*24/6+2)-0,'03_Capacity_Model'!$B$96)&gt;='01_Inputs'!$B$14,MOD((133*24/6+2)-0,'03_Capacity_Model'!$B$96)&lt;('01_Inputs'!$B$14+'01_Inputs'!$B$15+'01_Inputs'!$B$16)),1,IF(MOD((133*24/6+2)-0,'03_Capacity_Model'!$B$96)&gt;=('01_Inputs'!$B$14+'01_Inputs'!$B$15+'01_Inputs'!$B$16),2,0))</f>
        <v>1</v>
      </c>
      <c r="EG20" s="93">
        <f>IF(AND(MOD((134*24/6+2)-0,'03_Capacity_Model'!$B$96)&gt;='01_Inputs'!$B$14,MOD((134*24/6+2)-0,'03_Capacity_Model'!$B$96)&lt;('01_Inputs'!$B$14+'01_Inputs'!$B$15+'01_Inputs'!$B$16)),1,IF(MOD((134*24/6+2)-0,'03_Capacity_Model'!$B$96)&gt;=('01_Inputs'!$B$14+'01_Inputs'!$B$15+'01_Inputs'!$B$16),2,0))</f>
        <v>1</v>
      </c>
      <c r="EH20" s="93">
        <f>IF(AND(MOD((135*24/6+2)-0,'03_Capacity_Model'!$B$96)&gt;='01_Inputs'!$B$14,MOD((135*24/6+2)-0,'03_Capacity_Model'!$B$96)&lt;('01_Inputs'!$B$14+'01_Inputs'!$B$15+'01_Inputs'!$B$16)),1,IF(MOD((135*24/6+2)-0,'03_Capacity_Model'!$B$96)&gt;=('01_Inputs'!$B$14+'01_Inputs'!$B$15+'01_Inputs'!$B$16),2,0))</f>
        <v>1</v>
      </c>
      <c r="EI20" s="93">
        <f>IF(AND(MOD((136*24/6+2)-0,'03_Capacity_Model'!$B$96)&gt;='01_Inputs'!$B$14,MOD((136*24/6+2)-0,'03_Capacity_Model'!$B$96)&lt;('01_Inputs'!$B$14+'01_Inputs'!$B$15+'01_Inputs'!$B$16)),1,IF(MOD((136*24/6+2)-0,'03_Capacity_Model'!$B$96)&gt;=('01_Inputs'!$B$14+'01_Inputs'!$B$15+'01_Inputs'!$B$16),2,0))</f>
        <v>1</v>
      </c>
      <c r="EJ20" s="93">
        <f>IF(AND(MOD((137*24/6+2)-0,'03_Capacity_Model'!$B$96)&gt;='01_Inputs'!$B$14,MOD((137*24/6+2)-0,'03_Capacity_Model'!$B$96)&lt;('01_Inputs'!$B$14+'01_Inputs'!$B$15+'01_Inputs'!$B$16)),1,IF(MOD((137*24/6+2)-0,'03_Capacity_Model'!$B$96)&gt;=('01_Inputs'!$B$14+'01_Inputs'!$B$15+'01_Inputs'!$B$16),2,0))</f>
        <v>1</v>
      </c>
      <c r="EK20" s="93">
        <f>IF(AND(MOD((138*24/6+2)-0,'03_Capacity_Model'!$B$96)&gt;='01_Inputs'!$B$14,MOD((138*24/6+2)-0,'03_Capacity_Model'!$B$96)&lt;('01_Inputs'!$B$14+'01_Inputs'!$B$15+'01_Inputs'!$B$16)),1,IF(MOD((138*24/6+2)-0,'03_Capacity_Model'!$B$96)&gt;=('01_Inputs'!$B$14+'01_Inputs'!$B$15+'01_Inputs'!$B$16),2,0))</f>
        <v>1</v>
      </c>
      <c r="EL20" s="93">
        <f>IF(AND(MOD((139*24/6+2)-0,'03_Capacity_Model'!$B$96)&gt;='01_Inputs'!$B$14,MOD((139*24/6+2)-0,'03_Capacity_Model'!$B$96)&lt;('01_Inputs'!$B$14+'01_Inputs'!$B$15+'01_Inputs'!$B$16)),1,IF(MOD((139*24/6+2)-0,'03_Capacity_Model'!$B$96)&gt;=('01_Inputs'!$B$14+'01_Inputs'!$B$15+'01_Inputs'!$B$16),2,0))</f>
        <v>1</v>
      </c>
      <c r="EM20" s="93">
        <f>IF(AND(MOD((140*24/6+2)-0,'03_Capacity_Model'!$B$96)&gt;='01_Inputs'!$B$14,MOD((140*24/6+2)-0,'03_Capacity_Model'!$B$96)&lt;('01_Inputs'!$B$14+'01_Inputs'!$B$15+'01_Inputs'!$B$16)),1,IF(MOD((140*24/6+2)-0,'03_Capacity_Model'!$B$96)&gt;=('01_Inputs'!$B$14+'01_Inputs'!$B$15+'01_Inputs'!$B$16),2,0))</f>
        <v>1</v>
      </c>
      <c r="EN20" s="93">
        <f>IF(AND(MOD((141*24/6+2)-0,'03_Capacity_Model'!$B$96)&gt;='01_Inputs'!$B$14,MOD((141*24/6+2)-0,'03_Capacity_Model'!$B$96)&lt;('01_Inputs'!$B$14+'01_Inputs'!$B$15+'01_Inputs'!$B$16)),1,IF(MOD((141*24/6+2)-0,'03_Capacity_Model'!$B$96)&gt;=('01_Inputs'!$B$14+'01_Inputs'!$B$15+'01_Inputs'!$B$16),2,0))</f>
        <v>1</v>
      </c>
      <c r="EO20" s="93">
        <f>IF(AND(MOD((142*24/6+2)-0,'03_Capacity_Model'!$B$96)&gt;='01_Inputs'!$B$14,MOD((142*24/6+2)-0,'03_Capacity_Model'!$B$96)&lt;('01_Inputs'!$B$14+'01_Inputs'!$B$15+'01_Inputs'!$B$16)),1,IF(MOD((142*24/6+2)-0,'03_Capacity_Model'!$B$96)&gt;=('01_Inputs'!$B$14+'01_Inputs'!$B$15+'01_Inputs'!$B$16),2,0))</f>
        <v>1</v>
      </c>
      <c r="EP20" s="93">
        <f>IF(AND(MOD((143*24/6+2)-0,'03_Capacity_Model'!$B$96)&gt;='01_Inputs'!$B$14,MOD((143*24/6+2)-0,'03_Capacity_Model'!$B$96)&lt;('01_Inputs'!$B$14+'01_Inputs'!$B$15+'01_Inputs'!$B$16)),1,IF(MOD((143*24/6+2)-0,'03_Capacity_Model'!$B$96)&gt;=('01_Inputs'!$B$14+'01_Inputs'!$B$15+'01_Inputs'!$B$16),2,0))</f>
        <v>1</v>
      </c>
      <c r="EQ20" s="93">
        <f>IF(AND(MOD((144*24/6+2)-0,'03_Capacity_Model'!$B$96)&gt;='01_Inputs'!$B$14,MOD((144*24/6+2)-0,'03_Capacity_Model'!$B$96)&lt;('01_Inputs'!$B$14+'01_Inputs'!$B$15+'01_Inputs'!$B$16)),1,IF(MOD((144*24/6+2)-0,'03_Capacity_Model'!$B$96)&gt;=('01_Inputs'!$B$14+'01_Inputs'!$B$15+'01_Inputs'!$B$16),2,0))</f>
        <v>1</v>
      </c>
      <c r="ER20" s="93">
        <f>IF(AND(MOD((145*24/6+2)-0,'03_Capacity_Model'!$B$96)&gt;='01_Inputs'!$B$14,MOD((145*24/6+2)-0,'03_Capacity_Model'!$B$96)&lt;('01_Inputs'!$B$14+'01_Inputs'!$B$15+'01_Inputs'!$B$16)),1,IF(MOD((145*24/6+2)-0,'03_Capacity_Model'!$B$96)&gt;=('01_Inputs'!$B$14+'01_Inputs'!$B$15+'01_Inputs'!$B$16),2,0))</f>
        <v>2</v>
      </c>
      <c r="ES20" s="93">
        <f>IF(AND(MOD((146*24/6+2)-0,'03_Capacity_Model'!$B$96)&gt;='01_Inputs'!$B$14,MOD((146*24/6+2)-0,'03_Capacity_Model'!$B$96)&lt;('01_Inputs'!$B$14+'01_Inputs'!$B$15+'01_Inputs'!$B$16)),1,IF(MOD((146*24/6+2)-0,'03_Capacity_Model'!$B$96)&gt;=('01_Inputs'!$B$14+'01_Inputs'!$B$15+'01_Inputs'!$B$16),2,0))</f>
        <v>2</v>
      </c>
      <c r="ET20" s="93">
        <f>IF(AND(MOD((147*24/6+2)-0,'03_Capacity_Model'!$B$96)&gt;='01_Inputs'!$B$14,MOD((147*24/6+2)-0,'03_Capacity_Model'!$B$96)&lt;('01_Inputs'!$B$14+'01_Inputs'!$B$15+'01_Inputs'!$B$16)),1,IF(MOD((147*24/6+2)-0,'03_Capacity_Model'!$B$96)&gt;=('01_Inputs'!$B$14+'01_Inputs'!$B$15+'01_Inputs'!$B$16),2,0))</f>
        <v>2</v>
      </c>
      <c r="EU20" s="93">
        <f>IF(AND(MOD((148*24/6+2)-0,'03_Capacity_Model'!$B$96)&gt;='01_Inputs'!$B$14,MOD((148*24/6+2)-0,'03_Capacity_Model'!$B$96)&lt;('01_Inputs'!$B$14+'01_Inputs'!$B$15+'01_Inputs'!$B$16)),1,IF(MOD((148*24/6+2)-0,'03_Capacity_Model'!$B$96)&gt;=('01_Inputs'!$B$14+'01_Inputs'!$B$15+'01_Inputs'!$B$16),2,0))</f>
        <v>2</v>
      </c>
      <c r="EV20" s="93">
        <f>IF(AND(MOD((149*24/6+2)-0,'03_Capacity_Model'!$B$96)&gt;='01_Inputs'!$B$14,MOD((149*24/6+2)-0,'03_Capacity_Model'!$B$96)&lt;('01_Inputs'!$B$14+'01_Inputs'!$B$15+'01_Inputs'!$B$16)),1,IF(MOD((149*24/6+2)-0,'03_Capacity_Model'!$B$96)&gt;=('01_Inputs'!$B$14+'01_Inputs'!$B$15+'01_Inputs'!$B$16),2,0))</f>
        <v>0</v>
      </c>
      <c r="EW20" s="93">
        <f>IF(AND(MOD((150*24/6+2)-0,'03_Capacity_Model'!$B$96)&gt;='01_Inputs'!$B$14,MOD((150*24/6+2)-0,'03_Capacity_Model'!$B$96)&lt;('01_Inputs'!$B$14+'01_Inputs'!$B$15+'01_Inputs'!$B$16)),1,IF(MOD((150*24/6+2)-0,'03_Capacity_Model'!$B$96)&gt;=('01_Inputs'!$B$14+'01_Inputs'!$B$15+'01_Inputs'!$B$16),2,0))</f>
        <v>1</v>
      </c>
      <c r="EX20" s="93">
        <f>IF(AND(MOD((151*24/6+2)-0,'03_Capacity_Model'!$B$96)&gt;='01_Inputs'!$B$14,MOD((151*24/6+2)-0,'03_Capacity_Model'!$B$96)&lt;('01_Inputs'!$B$14+'01_Inputs'!$B$15+'01_Inputs'!$B$16)),1,IF(MOD((151*24/6+2)-0,'03_Capacity_Model'!$B$96)&gt;=('01_Inputs'!$B$14+'01_Inputs'!$B$15+'01_Inputs'!$B$16),2,0))</f>
        <v>1</v>
      </c>
      <c r="EY20" s="93">
        <f>IF(AND(MOD((152*24/6+2)-0,'03_Capacity_Model'!$B$96)&gt;='01_Inputs'!$B$14,MOD((152*24/6+2)-0,'03_Capacity_Model'!$B$96)&lt;('01_Inputs'!$B$14+'01_Inputs'!$B$15+'01_Inputs'!$B$16)),1,IF(MOD((152*24/6+2)-0,'03_Capacity_Model'!$B$96)&gt;=('01_Inputs'!$B$14+'01_Inputs'!$B$15+'01_Inputs'!$B$16),2,0))</f>
        <v>1</v>
      </c>
      <c r="EZ20" s="93">
        <f>IF(AND(MOD((153*24/6+2)-0,'03_Capacity_Model'!$B$96)&gt;='01_Inputs'!$B$14,MOD((153*24/6+2)-0,'03_Capacity_Model'!$B$96)&lt;('01_Inputs'!$B$14+'01_Inputs'!$B$15+'01_Inputs'!$B$16)),1,IF(MOD((153*24/6+2)-0,'03_Capacity_Model'!$B$96)&gt;=('01_Inputs'!$B$14+'01_Inputs'!$B$15+'01_Inputs'!$B$16),2,0))</f>
        <v>1</v>
      </c>
      <c r="FA20" s="93">
        <f>IF(AND(MOD((154*24/6+2)-0,'03_Capacity_Model'!$B$96)&gt;='01_Inputs'!$B$14,MOD((154*24/6+2)-0,'03_Capacity_Model'!$B$96)&lt;('01_Inputs'!$B$14+'01_Inputs'!$B$15+'01_Inputs'!$B$16)),1,IF(MOD((154*24/6+2)-0,'03_Capacity_Model'!$B$96)&gt;=('01_Inputs'!$B$14+'01_Inputs'!$B$15+'01_Inputs'!$B$16),2,0))</f>
        <v>1</v>
      </c>
      <c r="FB20" s="93">
        <f>IF(AND(MOD((155*24/6+2)-0,'03_Capacity_Model'!$B$96)&gt;='01_Inputs'!$B$14,MOD((155*24/6+2)-0,'03_Capacity_Model'!$B$96)&lt;('01_Inputs'!$B$14+'01_Inputs'!$B$15+'01_Inputs'!$B$16)),1,IF(MOD((155*24/6+2)-0,'03_Capacity_Model'!$B$96)&gt;=('01_Inputs'!$B$14+'01_Inputs'!$B$15+'01_Inputs'!$B$16),2,0))</f>
        <v>1</v>
      </c>
      <c r="FC20" s="93">
        <f>IF(AND(MOD((156*24/6+2)-0,'03_Capacity_Model'!$B$96)&gt;='01_Inputs'!$B$14,MOD((156*24/6+2)-0,'03_Capacity_Model'!$B$96)&lt;('01_Inputs'!$B$14+'01_Inputs'!$B$15+'01_Inputs'!$B$16)),1,IF(MOD((156*24/6+2)-0,'03_Capacity_Model'!$B$96)&gt;=('01_Inputs'!$B$14+'01_Inputs'!$B$15+'01_Inputs'!$B$16),2,0))</f>
        <v>1</v>
      </c>
      <c r="FD20" s="93">
        <f>IF(AND(MOD((157*24/6+2)-0,'03_Capacity_Model'!$B$96)&gt;='01_Inputs'!$B$14,MOD((157*24/6+2)-0,'03_Capacity_Model'!$B$96)&lt;('01_Inputs'!$B$14+'01_Inputs'!$B$15+'01_Inputs'!$B$16)),1,IF(MOD((157*24/6+2)-0,'03_Capacity_Model'!$B$96)&gt;=('01_Inputs'!$B$14+'01_Inputs'!$B$15+'01_Inputs'!$B$16),2,0))</f>
        <v>1</v>
      </c>
      <c r="FE20" s="93">
        <f>IF(AND(MOD((158*24/6+2)-0,'03_Capacity_Model'!$B$96)&gt;='01_Inputs'!$B$14,MOD((158*24/6+2)-0,'03_Capacity_Model'!$B$96)&lt;('01_Inputs'!$B$14+'01_Inputs'!$B$15+'01_Inputs'!$B$16)),1,IF(MOD((158*24/6+2)-0,'03_Capacity_Model'!$B$96)&gt;=('01_Inputs'!$B$14+'01_Inputs'!$B$15+'01_Inputs'!$B$16),2,0))</f>
        <v>1</v>
      </c>
      <c r="FF20" s="93">
        <f>IF(AND(MOD((159*24/6+2)-0,'03_Capacity_Model'!$B$96)&gt;='01_Inputs'!$B$14,MOD((159*24/6+2)-0,'03_Capacity_Model'!$B$96)&lt;('01_Inputs'!$B$14+'01_Inputs'!$B$15+'01_Inputs'!$B$16)),1,IF(MOD((159*24/6+2)-0,'03_Capacity_Model'!$B$96)&gt;=('01_Inputs'!$B$14+'01_Inputs'!$B$15+'01_Inputs'!$B$16),2,0))</f>
        <v>1</v>
      </c>
      <c r="FG20" s="93">
        <f>IF(AND(MOD((160*24/6+2)-0,'03_Capacity_Model'!$B$96)&gt;='01_Inputs'!$B$14,MOD((160*24/6+2)-0,'03_Capacity_Model'!$B$96)&lt;('01_Inputs'!$B$14+'01_Inputs'!$B$15+'01_Inputs'!$B$16)),1,IF(MOD((160*24/6+2)-0,'03_Capacity_Model'!$B$96)&gt;=('01_Inputs'!$B$14+'01_Inputs'!$B$15+'01_Inputs'!$B$16),2,0))</f>
        <v>1</v>
      </c>
      <c r="FH20" s="93">
        <f>IF(AND(MOD((161*24/6+2)-0,'03_Capacity_Model'!$B$96)&gt;='01_Inputs'!$B$14,MOD((161*24/6+2)-0,'03_Capacity_Model'!$B$96)&lt;('01_Inputs'!$B$14+'01_Inputs'!$B$15+'01_Inputs'!$B$16)),1,IF(MOD((161*24/6+2)-0,'03_Capacity_Model'!$B$96)&gt;=('01_Inputs'!$B$14+'01_Inputs'!$B$15+'01_Inputs'!$B$16),2,0))</f>
        <v>2</v>
      </c>
      <c r="FI20" s="93">
        <f>IF(AND(MOD((162*24/6+2)-0,'03_Capacity_Model'!$B$96)&gt;='01_Inputs'!$B$14,MOD((162*24/6+2)-0,'03_Capacity_Model'!$B$96)&lt;('01_Inputs'!$B$14+'01_Inputs'!$B$15+'01_Inputs'!$B$16)),1,IF(MOD((162*24/6+2)-0,'03_Capacity_Model'!$B$96)&gt;=('01_Inputs'!$B$14+'01_Inputs'!$B$15+'01_Inputs'!$B$16),2,0))</f>
        <v>2</v>
      </c>
      <c r="FJ20" s="93">
        <f>IF(AND(MOD((163*24/6+2)-0,'03_Capacity_Model'!$B$96)&gt;='01_Inputs'!$B$14,MOD((163*24/6+2)-0,'03_Capacity_Model'!$B$96)&lt;('01_Inputs'!$B$14+'01_Inputs'!$B$15+'01_Inputs'!$B$16)),1,IF(MOD((163*24/6+2)-0,'03_Capacity_Model'!$B$96)&gt;=('01_Inputs'!$B$14+'01_Inputs'!$B$15+'01_Inputs'!$B$16),2,0))</f>
        <v>2</v>
      </c>
      <c r="FK20" s="93">
        <f>IF(AND(MOD((164*24/6+2)-0,'03_Capacity_Model'!$B$96)&gt;='01_Inputs'!$B$14,MOD((164*24/6+2)-0,'03_Capacity_Model'!$B$96)&lt;('01_Inputs'!$B$14+'01_Inputs'!$B$15+'01_Inputs'!$B$16)),1,IF(MOD((164*24/6+2)-0,'03_Capacity_Model'!$B$96)&gt;=('01_Inputs'!$B$14+'01_Inputs'!$B$15+'01_Inputs'!$B$16),2,0))</f>
        <v>2</v>
      </c>
      <c r="FL20" s="93">
        <f>IF(AND(MOD((165*24/6+2)-0,'03_Capacity_Model'!$B$96)&gt;='01_Inputs'!$B$14,MOD((165*24/6+2)-0,'03_Capacity_Model'!$B$96)&lt;('01_Inputs'!$B$14+'01_Inputs'!$B$15+'01_Inputs'!$B$16)),1,IF(MOD((165*24/6+2)-0,'03_Capacity_Model'!$B$96)&gt;=('01_Inputs'!$B$14+'01_Inputs'!$B$15+'01_Inputs'!$B$16),2,0))</f>
        <v>2</v>
      </c>
      <c r="FM20" s="93">
        <f>IF(AND(MOD((166*24/6+2)-0,'03_Capacity_Model'!$B$96)&gt;='01_Inputs'!$B$14,MOD((166*24/6+2)-0,'03_Capacity_Model'!$B$96)&lt;('01_Inputs'!$B$14+'01_Inputs'!$B$15+'01_Inputs'!$B$16)),1,IF(MOD((166*24/6+2)-0,'03_Capacity_Model'!$B$96)&gt;=('01_Inputs'!$B$14+'01_Inputs'!$B$15+'01_Inputs'!$B$16),2,0))</f>
        <v>1</v>
      </c>
      <c r="FN20" s="93">
        <f>IF(AND(MOD((167*24/6+2)-0,'03_Capacity_Model'!$B$96)&gt;='01_Inputs'!$B$14,MOD((167*24/6+2)-0,'03_Capacity_Model'!$B$96)&lt;('01_Inputs'!$B$14+'01_Inputs'!$B$15+'01_Inputs'!$B$16)),1,IF(MOD((167*24/6+2)-0,'03_Capacity_Model'!$B$96)&gt;=('01_Inputs'!$B$14+'01_Inputs'!$B$15+'01_Inputs'!$B$16),2,0))</f>
        <v>1</v>
      </c>
      <c r="FO20" s="93">
        <f>IF(AND(MOD((168*24/6+2)-0,'03_Capacity_Model'!$B$96)&gt;='01_Inputs'!$B$14,MOD((168*24/6+2)-0,'03_Capacity_Model'!$B$96)&lt;('01_Inputs'!$B$14+'01_Inputs'!$B$15+'01_Inputs'!$B$16)),1,IF(MOD((168*24/6+2)-0,'03_Capacity_Model'!$B$96)&gt;=('01_Inputs'!$B$14+'01_Inputs'!$B$15+'01_Inputs'!$B$16),2,0))</f>
        <v>1</v>
      </c>
      <c r="FP20" s="93">
        <f>IF(AND(MOD((169*24/6+2)-0,'03_Capacity_Model'!$B$96)&gt;='01_Inputs'!$B$14,MOD((169*24/6+2)-0,'03_Capacity_Model'!$B$96)&lt;('01_Inputs'!$B$14+'01_Inputs'!$B$15+'01_Inputs'!$B$16)),1,IF(MOD((169*24/6+2)-0,'03_Capacity_Model'!$B$96)&gt;=('01_Inputs'!$B$14+'01_Inputs'!$B$15+'01_Inputs'!$B$16),2,0))</f>
        <v>1</v>
      </c>
      <c r="FQ20" s="93">
        <f>IF(AND(MOD((170*24/6+2)-0,'03_Capacity_Model'!$B$96)&gt;='01_Inputs'!$B$14,MOD((170*24/6+2)-0,'03_Capacity_Model'!$B$96)&lt;('01_Inputs'!$B$14+'01_Inputs'!$B$15+'01_Inputs'!$B$16)),1,IF(MOD((170*24/6+2)-0,'03_Capacity_Model'!$B$96)&gt;=('01_Inputs'!$B$14+'01_Inputs'!$B$15+'01_Inputs'!$B$16),2,0))</f>
        <v>1</v>
      </c>
      <c r="FR20" s="93">
        <f>IF(AND(MOD((171*24/6+2)-0,'03_Capacity_Model'!$B$96)&gt;='01_Inputs'!$B$14,MOD((171*24/6+2)-0,'03_Capacity_Model'!$B$96)&lt;('01_Inputs'!$B$14+'01_Inputs'!$B$15+'01_Inputs'!$B$16)),1,IF(MOD((171*24/6+2)-0,'03_Capacity_Model'!$B$96)&gt;=('01_Inputs'!$B$14+'01_Inputs'!$B$15+'01_Inputs'!$B$16),2,0))</f>
        <v>1</v>
      </c>
      <c r="FS20" s="93">
        <f>IF(AND(MOD((172*24/6+2)-0,'03_Capacity_Model'!$B$96)&gt;='01_Inputs'!$B$14,MOD((172*24/6+2)-0,'03_Capacity_Model'!$B$96)&lt;('01_Inputs'!$B$14+'01_Inputs'!$B$15+'01_Inputs'!$B$16)),1,IF(MOD((172*24/6+2)-0,'03_Capacity_Model'!$B$96)&gt;=('01_Inputs'!$B$14+'01_Inputs'!$B$15+'01_Inputs'!$B$16),2,0))</f>
        <v>1</v>
      </c>
      <c r="FT20" s="93">
        <f>IF(AND(MOD((173*24/6+2)-0,'03_Capacity_Model'!$B$96)&gt;='01_Inputs'!$B$14,MOD((173*24/6+2)-0,'03_Capacity_Model'!$B$96)&lt;('01_Inputs'!$B$14+'01_Inputs'!$B$15+'01_Inputs'!$B$16)),1,IF(MOD((173*24/6+2)-0,'03_Capacity_Model'!$B$96)&gt;=('01_Inputs'!$B$14+'01_Inputs'!$B$15+'01_Inputs'!$B$16),2,0))</f>
        <v>1</v>
      </c>
      <c r="FU20" s="93">
        <f>IF(AND(MOD((174*24/6+2)-0,'03_Capacity_Model'!$B$96)&gt;='01_Inputs'!$B$14,MOD((174*24/6+2)-0,'03_Capacity_Model'!$B$96)&lt;('01_Inputs'!$B$14+'01_Inputs'!$B$15+'01_Inputs'!$B$16)),1,IF(MOD((174*24/6+2)-0,'03_Capacity_Model'!$B$96)&gt;=('01_Inputs'!$B$14+'01_Inputs'!$B$15+'01_Inputs'!$B$16),2,0))</f>
        <v>1</v>
      </c>
      <c r="FV20" s="93">
        <f>IF(AND(MOD((175*24/6+2)-0,'03_Capacity_Model'!$B$96)&gt;='01_Inputs'!$B$14,MOD((175*24/6+2)-0,'03_Capacity_Model'!$B$96)&lt;('01_Inputs'!$B$14+'01_Inputs'!$B$15+'01_Inputs'!$B$16)),1,IF(MOD((175*24/6+2)-0,'03_Capacity_Model'!$B$96)&gt;=('01_Inputs'!$B$14+'01_Inputs'!$B$15+'01_Inputs'!$B$16),2,0))</f>
        <v>1</v>
      </c>
      <c r="FW20" s="93">
        <f>IF(AND(MOD((176*24/6+2)-0,'03_Capacity_Model'!$B$96)&gt;='01_Inputs'!$B$14,MOD((176*24/6+2)-0,'03_Capacity_Model'!$B$96)&lt;('01_Inputs'!$B$14+'01_Inputs'!$B$15+'01_Inputs'!$B$16)),1,IF(MOD((176*24/6+2)-0,'03_Capacity_Model'!$B$96)&gt;=('01_Inputs'!$B$14+'01_Inputs'!$B$15+'01_Inputs'!$B$16),2,0))</f>
        <v>1</v>
      </c>
      <c r="FX20" s="93">
        <f>IF(AND(MOD((177*24/6+2)-0,'03_Capacity_Model'!$B$96)&gt;='01_Inputs'!$B$14,MOD((177*24/6+2)-0,'03_Capacity_Model'!$B$96)&lt;('01_Inputs'!$B$14+'01_Inputs'!$B$15+'01_Inputs'!$B$16)),1,IF(MOD((177*24/6+2)-0,'03_Capacity_Model'!$B$96)&gt;=('01_Inputs'!$B$14+'01_Inputs'!$B$15+'01_Inputs'!$B$16),2,0))</f>
        <v>1</v>
      </c>
      <c r="FY20" s="93">
        <f>IF(AND(MOD((178*24/6+2)-0,'03_Capacity_Model'!$B$96)&gt;='01_Inputs'!$B$14,MOD((178*24/6+2)-0,'03_Capacity_Model'!$B$96)&lt;('01_Inputs'!$B$14+'01_Inputs'!$B$15+'01_Inputs'!$B$16)),1,IF(MOD((178*24/6+2)-0,'03_Capacity_Model'!$B$96)&gt;=('01_Inputs'!$B$14+'01_Inputs'!$B$15+'01_Inputs'!$B$16),2,0))</f>
        <v>2</v>
      </c>
      <c r="FZ20" s="93">
        <f>IF(AND(MOD((179*24/6+2)-0,'03_Capacity_Model'!$B$96)&gt;='01_Inputs'!$B$14,MOD((179*24/6+2)-0,'03_Capacity_Model'!$B$96)&lt;('01_Inputs'!$B$14+'01_Inputs'!$B$15+'01_Inputs'!$B$16)),1,IF(MOD((179*24/6+2)-0,'03_Capacity_Model'!$B$96)&gt;=('01_Inputs'!$B$14+'01_Inputs'!$B$15+'01_Inputs'!$B$16),2,0))</f>
        <v>2</v>
      </c>
    </row>
    <row r="21" ht="11" customHeight="1">
      <c r="B21" s="92" t="inlineStr">
        <is>
          <t>정제기 2</t>
        </is>
      </c>
      <c r="C21" s="93">
        <f>IF(AND(MOD((0*24/6+2)-'03_Capacity_Model'!$B$95,'03_Capacity_Model'!$B$96)&gt;='01_Inputs'!$B$14,MOD((0*24/6+2)-'03_Capacity_Model'!$B$95,'03_Capacity_Model'!$B$96)&lt;('01_Inputs'!$B$14+'01_Inputs'!$B$15+'01_Inputs'!$B$16)),1,IF(MOD((0*24/6+2)-'03_Capacity_Model'!$B$95,'03_Capacity_Model'!$B$96)&gt;=('01_Inputs'!$B$14+'01_Inputs'!$B$15+'01_Inputs'!$B$16),2,0))</f>
        <v>1</v>
      </c>
      <c r="D21" s="93">
        <f>IF(AND(MOD((1*24/6+2)-'03_Capacity_Model'!$B$95,'03_Capacity_Model'!$B$96)&gt;='01_Inputs'!$B$14,MOD((1*24/6+2)-'03_Capacity_Model'!$B$95,'03_Capacity_Model'!$B$96)&lt;('01_Inputs'!$B$14+'01_Inputs'!$B$15+'01_Inputs'!$B$16)),1,IF(MOD((1*24/6+2)-'03_Capacity_Model'!$B$95,'03_Capacity_Model'!$B$96)&gt;=('01_Inputs'!$B$14+'01_Inputs'!$B$15+'01_Inputs'!$B$16),2,0))</f>
        <v>1</v>
      </c>
      <c r="E21" s="93">
        <f>IF(AND(MOD((2*24/6+2)-'03_Capacity_Model'!$B$95,'03_Capacity_Model'!$B$96)&gt;='01_Inputs'!$B$14,MOD((2*24/6+2)-'03_Capacity_Model'!$B$95,'03_Capacity_Model'!$B$96)&lt;('01_Inputs'!$B$14+'01_Inputs'!$B$15+'01_Inputs'!$B$16)),1,IF(MOD((2*24/6+2)-'03_Capacity_Model'!$B$95,'03_Capacity_Model'!$B$96)&gt;=('01_Inputs'!$B$14+'01_Inputs'!$B$15+'01_Inputs'!$B$16),2,0))</f>
        <v>1</v>
      </c>
      <c r="F21" s="93">
        <f>IF(AND(MOD((3*24/6+2)-'03_Capacity_Model'!$B$95,'03_Capacity_Model'!$B$96)&gt;='01_Inputs'!$B$14,MOD((3*24/6+2)-'03_Capacity_Model'!$B$95,'03_Capacity_Model'!$B$96)&lt;('01_Inputs'!$B$14+'01_Inputs'!$B$15+'01_Inputs'!$B$16)),1,IF(MOD((3*24/6+2)-'03_Capacity_Model'!$B$95,'03_Capacity_Model'!$B$96)&gt;=('01_Inputs'!$B$14+'01_Inputs'!$B$15+'01_Inputs'!$B$16),2,0))</f>
        <v>2</v>
      </c>
      <c r="G21" s="93">
        <f>IF(AND(MOD((4*24/6+2)-'03_Capacity_Model'!$B$95,'03_Capacity_Model'!$B$96)&gt;='01_Inputs'!$B$14,MOD((4*24/6+2)-'03_Capacity_Model'!$B$95,'03_Capacity_Model'!$B$96)&lt;('01_Inputs'!$B$14+'01_Inputs'!$B$15+'01_Inputs'!$B$16)),1,IF(MOD((4*24/6+2)-'03_Capacity_Model'!$B$95,'03_Capacity_Model'!$B$96)&gt;=('01_Inputs'!$B$14+'01_Inputs'!$B$15+'01_Inputs'!$B$16),2,0))</f>
        <v>2</v>
      </c>
      <c r="H21" s="93">
        <f>IF(AND(MOD((5*24/6+2)-'03_Capacity_Model'!$B$95,'03_Capacity_Model'!$B$96)&gt;='01_Inputs'!$B$14,MOD((5*24/6+2)-'03_Capacity_Model'!$B$95,'03_Capacity_Model'!$B$96)&lt;('01_Inputs'!$B$14+'01_Inputs'!$B$15+'01_Inputs'!$B$16)),1,IF(MOD((5*24/6+2)-'03_Capacity_Model'!$B$95,'03_Capacity_Model'!$B$96)&gt;=('01_Inputs'!$B$14+'01_Inputs'!$B$15+'01_Inputs'!$B$16),2,0))</f>
        <v>2</v>
      </c>
      <c r="I21" s="93">
        <f>IF(AND(MOD((6*24/6+2)-'03_Capacity_Model'!$B$95,'03_Capacity_Model'!$B$96)&gt;='01_Inputs'!$B$14,MOD((6*24/6+2)-'03_Capacity_Model'!$B$95,'03_Capacity_Model'!$B$96)&lt;('01_Inputs'!$B$14+'01_Inputs'!$B$15+'01_Inputs'!$B$16)),1,IF(MOD((6*24/6+2)-'03_Capacity_Model'!$B$95,'03_Capacity_Model'!$B$96)&gt;=('01_Inputs'!$B$14+'01_Inputs'!$B$15+'01_Inputs'!$B$16),2,0))</f>
        <v>2</v>
      </c>
      <c r="J21" s="93">
        <f>IF(AND(MOD((7*24/6+2)-'03_Capacity_Model'!$B$95,'03_Capacity_Model'!$B$96)&gt;='01_Inputs'!$B$14,MOD((7*24/6+2)-'03_Capacity_Model'!$B$95,'03_Capacity_Model'!$B$96)&lt;('01_Inputs'!$B$14+'01_Inputs'!$B$15+'01_Inputs'!$B$16)),1,IF(MOD((7*24/6+2)-'03_Capacity_Model'!$B$95,'03_Capacity_Model'!$B$96)&gt;=('01_Inputs'!$B$14+'01_Inputs'!$B$15+'01_Inputs'!$B$16),2,0))</f>
        <v>0</v>
      </c>
      <c r="K21" s="93">
        <f>IF(AND(MOD((8*24/6+2)-'03_Capacity_Model'!$B$95,'03_Capacity_Model'!$B$96)&gt;='01_Inputs'!$B$14,MOD((8*24/6+2)-'03_Capacity_Model'!$B$95,'03_Capacity_Model'!$B$96)&lt;('01_Inputs'!$B$14+'01_Inputs'!$B$15+'01_Inputs'!$B$16)),1,IF(MOD((8*24/6+2)-'03_Capacity_Model'!$B$95,'03_Capacity_Model'!$B$96)&gt;=('01_Inputs'!$B$14+'01_Inputs'!$B$15+'01_Inputs'!$B$16),2,0))</f>
        <v>1</v>
      </c>
      <c r="L21" s="93">
        <f>IF(AND(MOD((9*24/6+2)-'03_Capacity_Model'!$B$95,'03_Capacity_Model'!$B$96)&gt;='01_Inputs'!$B$14,MOD((9*24/6+2)-'03_Capacity_Model'!$B$95,'03_Capacity_Model'!$B$96)&lt;('01_Inputs'!$B$14+'01_Inputs'!$B$15+'01_Inputs'!$B$16)),1,IF(MOD((9*24/6+2)-'03_Capacity_Model'!$B$95,'03_Capacity_Model'!$B$96)&gt;=('01_Inputs'!$B$14+'01_Inputs'!$B$15+'01_Inputs'!$B$16),2,0))</f>
        <v>1</v>
      </c>
      <c r="M21" s="93">
        <f>IF(AND(MOD((10*24/6+2)-'03_Capacity_Model'!$B$95,'03_Capacity_Model'!$B$96)&gt;='01_Inputs'!$B$14,MOD((10*24/6+2)-'03_Capacity_Model'!$B$95,'03_Capacity_Model'!$B$96)&lt;('01_Inputs'!$B$14+'01_Inputs'!$B$15+'01_Inputs'!$B$16)),1,IF(MOD((10*24/6+2)-'03_Capacity_Model'!$B$95,'03_Capacity_Model'!$B$96)&gt;=('01_Inputs'!$B$14+'01_Inputs'!$B$15+'01_Inputs'!$B$16),2,0))</f>
        <v>1</v>
      </c>
      <c r="N21" s="93">
        <f>IF(AND(MOD((11*24/6+2)-'03_Capacity_Model'!$B$95,'03_Capacity_Model'!$B$96)&gt;='01_Inputs'!$B$14,MOD((11*24/6+2)-'03_Capacity_Model'!$B$95,'03_Capacity_Model'!$B$96)&lt;('01_Inputs'!$B$14+'01_Inputs'!$B$15+'01_Inputs'!$B$16)),1,IF(MOD((11*24/6+2)-'03_Capacity_Model'!$B$95,'03_Capacity_Model'!$B$96)&gt;=('01_Inputs'!$B$14+'01_Inputs'!$B$15+'01_Inputs'!$B$16),2,0))</f>
        <v>1</v>
      </c>
      <c r="O21" s="93">
        <f>IF(AND(MOD((12*24/6+2)-'03_Capacity_Model'!$B$95,'03_Capacity_Model'!$B$96)&gt;='01_Inputs'!$B$14,MOD((12*24/6+2)-'03_Capacity_Model'!$B$95,'03_Capacity_Model'!$B$96)&lt;('01_Inputs'!$B$14+'01_Inputs'!$B$15+'01_Inputs'!$B$16)),1,IF(MOD((12*24/6+2)-'03_Capacity_Model'!$B$95,'03_Capacity_Model'!$B$96)&gt;=('01_Inputs'!$B$14+'01_Inputs'!$B$15+'01_Inputs'!$B$16),2,0))</f>
        <v>1</v>
      </c>
      <c r="P21" s="93">
        <f>IF(AND(MOD((13*24/6+2)-'03_Capacity_Model'!$B$95,'03_Capacity_Model'!$B$96)&gt;='01_Inputs'!$B$14,MOD((13*24/6+2)-'03_Capacity_Model'!$B$95,'03_Capacity_Model'!$B$96)&lt;('01_Inputs'!$B$14+'01_Inputs'!$B$15+'01_Inputs'!$B$16)),1,IF(MOD((13*24/6+2)-'03_Capacity_Model'!$B$95,'03_Capacity_Model'!$B$96)&gt;=('01_Inputs'!$B$14+'01_Inputs'!$B$15+'01_Inputs'!$B$16),2,0))</f>
        <v>1</v>
      </c>
      <c r="Q21" s="93">
        <f>IF(AND(MOD((14*24/6+2)-'03_Capacity_Model'!$B$95,'03_Capacity_Model'!$B$96)&gt;='01_Inputs'!$B$14,MOD((14*24/6+2)-'03_Capacity_Model'!$B$95,'03_Capacity_Model'!$B$96)&lt;('01_Inputs'!$B$14+'01_Inputs'!$B$15+'01_Inputs'!$B$16)),1,IF(MOD((14*24/6+2)-'03_Capacity_Model'!$B$95,'03_Capacity_Model'!$B$96)&gt;=('01_Inputs'!$B$14+'01_Inputs'!$B$15+'01_Inputs'!$B$16),2,0))</f>
        <v>1</v>
      </c>
      <c r="R21" s="93">
        <f>IF(AND(MOD((15*24/6+2)-'03_Capacity_Model'!$B$95,'03_Capacity_Model'!$B$96)&gt;='01_Inputs'!$B$14,MOD((15*24/6+2)-'03_Capacity_Model'!$B$95,'03_Capacity_Model'!$B$96)&lt;('01_Inputs'!$B$14+'01_Inputs'!$B$15+'01_Inputs'!$B$16)),1,IF(MOD((15*24/6+2)-'03_Capacity_Model'!$B$95,'03_Capacity_Model'!$B$96)&gt;=('01_Inputs'!$B$14+'01_Inputs'!$B$15+'01_Inputs'!$B$16),2,0))</f>
        <v>1</v>
      </c>
      <c r="S21" s="93">
        <f>IF(AND(MOD((16*24/6+2)-'03_Capacity_Model'!$B$95,'03_Capacity_Model'!$B$96)&gt;='01_Inputs'!$B$14,MOD((16*24/6+2)-'03_Capacity_Model'!$B$95,'03_Capacity_Model'!$B$96)&lt;('01_Inputs'!$B$14+'01_Inputs'!$B$15+'01_Inputs'!$B$16)),1,IF(MOD((16*24/6+2)-'03_Capacity_Model'!$B$95,'03_Capacity_Model'!$B$96)&gt;=('01_Inputs'!$B$14+'01_Inputs'!$B$15+'01_Inputs'!$B$16),2,0))</f>
        <v>1</v>
      </c>
      <c r="T21" s="93">
        <f>IF(AND(MOD((17*24/6+2)-'03_Capacity_Model'!$B$95,'03_Capacity_Model'!$B$96)&gt;='01_Inputs'!$B$14,MOD((17*24/6+2)-'03_Capacity_Model'!$B$95,'03_Capacity_Model'!$B$96)&lt;('01_Inputs'!$B$14+'01_Inputs'!$B$15+'01_Inputs'!$B$16)),1,IF(MOD((17*24/6+2)-'03_Capacity_Model'!$B$95,'03_Capacity_Model'!$B$96)&gt;=('01_Inputs'!$B$14+'01_Inputs'!$B$15+'01_Inputs'!$B$16),2,0))</f>
        <v>1</v>
      </c>
      <c r="U21" s="93">
        <f>IF(AND(MOD((18*24/6+2)-'03_Capacity_Model'!$B$95,'03_Capacity_Model'!$B$96)&gt;='01_Inputs'!$B$14,MOD((18*24/6+2)-'03_Capacity_Model'!$B$95,'03_Capacity_Model'!$B$96)&lt;('01_Inputs'!$B$14+'01_Inputs'!$B$15+'01_Inputs'!$B$16)),1,IF(MOD((18*24/6+2)-'03_Capacity_Model'!$B$95,'03_Capacity_Model'!$B$96)&gt;=('01_Inputs'!$B$14+'01_Inputs'!$B$15+'01_Inputs'!$B$16),2,0))</f>
        <v>1</v>
      </c>
      <c r="V21" s="93">
        <f>IF(AND(MOD((19*24/6+2)-'03_Capacity_Model'!$B$95,'03_Capacity_Model'!$B$96)&gt;='01_Inputs'!$B$14,MOD((19*24/6+2)-'03_Capacity_Model'!$B$95,'03_Capacity_Model'!$B$96)&lt;('01_Inputs'!$B$14+'01_Inputs'!$B$15+'01_Inputs'!$B$16)),1,IF(MOD((19*24/6+2)-'03_Capacity_Model'!$B$95,'03_Capacity_Model'!$B$96)&gt;=('01_Inputs'!$B$14+'01_Inputs'!$B$15+'01_Inputs'!$B$16),2,0))</f>
        <v>1</v>
      </c>
      <c r="W21" s="93">
        <f>IF(AND(MOD((20*24/6+2)-'03_Capacity_Model'!$B$95,'03_Capacity_Model'!$B$96)&gt;='01_Inputs'!$B$14,MOD((20*24/6+2)-'03_Capacity_Model'!$B$95,'03_Capacity_Model'!$B$96)&lt;('01_Inputs'!$B$14+'01_Inputs'!$B$15+'01_Inputs'!$B$16)),1,IF(MOD((20*24/6+2)-'03_Capacity_Model'!$B$95,'03_Capacity_Model'!$B$96)&gt;=('01_Inputs'!$B$14+'01_Inputs'!$B$15+'01_Inputs'!$B$16),2,0))</f>
        <v>2</v>
      </c>
      <c r="X21" s="93">
        <f>IF(AND(MOD((21*24/6+2)-'03_Capacity_Model'!$B$95,'03_Capacity_Model'!$B$96)&gt;='01_Inputs'!$B$14,MOD((21*24/6+2)-'03_Capacity_Model'!$B$95,'03_Capacity_Model'!$B$96)&lt;('01_Inputs'!$B$14+'01_Inputs'!$B$15+'01_Inputs'!$B$16)),1,IF(MOD((21*24/6+2)-'03_Capacity_Model'!$B$95,'03_Capacity_Model'!$B$96)&gt;=('01_Inputs'!$B$14+'01_Inputs'!$B$15+'01_Inputs'!$B$16),2,0))</f>
        <v>2</v>
      </c>
      <c r="Y21" s="93">
        <f>IF(AND(MOD((22*24/6+2)-'03_Capacity_Model'!$B$95,'03_Capacity_Model'!$B$96)&gt;='01_Inputs'!$B$14,MOD((22*24/6+2)-'03_Capacity_Model'!$B$95,'03_Capacity_Model'!$B$96)&lt;('01_Inputs'!$B$14+'01_Inputs'!$B$15+'01_Inputs'!$B$16)),1,IF(MOD((22*24/6+2)-'03_Capacity_Model'!$B$95,'03_Capacity_Model'!$B$96)&gt;=('01_Inputs'!$B$14+'01_Inputs'!$B$15+'01_Inputs'!$B$16),2,0))</f>
        <v>2</v>
      </c>
      <c r="Z21" s="93">
        <f>IF(AND(MOD((23*24/6+2)-'03_Capacity_Model'!$B$95,'03_Capacity_Model'!$B$96)&gt;='01_Inputs'!$B$14,MOD((23*24/6+2)-'03_Capacity_Model'!$B$95,'03_Capacity_Model'!$B$96)&lt;('01_Inputs'!$B$14+'01_Inputs'!$B$15+'01_Inputs'!$B$16)),1,IF(MOD((23*24/6+2)-'03_Capacity_Model'!$B$95,'03_Capacity_Model'!$B$96)&gt;=('01_Inputs'!$B$14+'01_Inputs'!$B$15+'01_Inputs'!$B$16),2,0))</f>
        <v>2</v>
      </c>
      <c r="AA21" s="93">
        <f>IF(AND(MOD((24*24/6+2)-'03_Capacity_Model'!$B$95,'03_Capacity_Model'!$B$96)&gt;='01_Inputs'!$B$14,MOD((24*24/6+2)-'03_Capacity_Model'!$B$95,'03_Capacity_Model'!$B$96)&lt;('01_Inputs'!$B$14+'01_Inputs'!$B$15+'01_Inputs'!$B$16)),1,IF(MOD((24*24/6+2)-'03_Capacity_Model'!$B$95,'03_Capacity_Model'!$B$96)&gt;=('01_Inputs'!$B$14+'01_Inputs'!$B$15+'01_Inputs'!$B$16),2,0))</f>
        <v>0</v>
      </c>
      <c r="AB21" s="93">
        <f>IF(AND(MOD((25*24/6+2)-'03_Capacity_Model'!$B$95,'03_Capacity_Model'!$B$96)&gt;='01_Inputs'!$B$14,MOD((25*24/6+2)-'03_Capacity_Model'!$B$95,'03_Capacity_Model'!$B$96)&lt;('01_Inputs'!$B$14+'01_Inputs'!$B$15+'01_Inputs'!$B$16)),1,IF(MOD((25*24/6+2)-'03_Capacity_Model'!$B$95,'03_Capacity_Model'!$B$96)&gt;=('01_Inputs'!$B$14+'01_Inputs'!$B$15+'01_Inputs'!$B$16),2,0))</f>
        <v>1</v>
      </c>
      <c r="AC21" s="93">
        <f>IF(AND(MOD((26*24/6+2)-'03_Capacity_Model'!$B$95,'03_Capacity_Model'!$B$96)&gt;='01_Inputs'!$B$14,MOD((26*24/6+2)-'03_Capacity_Model'!$B$95,'03_Capacity_Model'!$B$96)&lt;('01_Inputs'!$B$14+'01_Inputs'!$B$15+'01_Inputs'!$B$16)),1,IF(MOD((26*24/6+2)-'03_Capacity_Model'!$B$95,'03_Capacity_Model'!$B$96)&gt;=('01_Inputs'!$B$14+'01_Inputs'!$B$15+'01_Inputs'!$B$16),2,0))</f>
        <v>1</v>
      </c>
      <c r="AD21" s="93">
        <f>IF(AND(MOD((27*24/6+2)-'03_Capacity_Model'!$B$95,'03_Capacity_Model'!$B$96)&gt;='01_Inputs'!$B$14,MOD((27*24/6+2)-'03_Capacity_Model'!$B$95,'03_Capacity_Model'!$B$96)&lt;('01_Inputs'!$B$14+'01_Inputs'!$B$15+'01_Inputs'!$B$16)),1,IF(MOD((27*24/6+2)-'03_Capacity_Model'!$B$95,'03_Capacity_Model'!$B$96)&gt;=('01_Inputs'!$B$14+'01_Inputs'!$B$15+'01_Inputs'!$B$16),2,0))</f>
        <v>1</v>
      </c>
      <c r="AE21" s="93">
        <f>IF(AND(MOD((28*24/6+2)-'03_Capacity_Model'!$B$95,'03_Capacity_Model'!$B$96)&gt;='01_Inputs'!$B$14,MOD((28*24/6+2)-'03_Capacity_Model'!$B$95,'03_Capacity_Model'!$B$96)&lt;('01_Inputs'!$B$14+'01_Inputs'!$B$15+'01_Inputs'!$B$16)),1,IF(MOD((28*24/6+2)-'03_Capacity_Model'!$B$95,'03_Capacity_Model'!$B$96)&gt;=('01_Inputs'!$B$14+'01_Inputs'!$B$15+'01_Inputs'!$B$16),2,0))</f>
        <v>1</v>
      </c>
      <c r="AF21" s="93">
        <f>IF(AND(MOD((29*24/6+2)-'03_Capacity_Model'!$B$95,'03_Capacity_Model'!$B$96)&gt;='01_Inputs'!$B$14,MOD((29*24/6+2)-'03_Capacity_Model'!$B$95,'03_Capacity_Model'!$B$96)&lt;('01_Inputs'!$B$14+'01_Inputs'!$B$15+'01_Inputs'!$B$16)),1,IF(MOD((29*24/6+2)-'03_Capacity_Model'!$B$95,'03_Capacity_Model'!$B$96)&gt;=('01_Inputs'!$B$14+'01_Inputs'!$B$15+'01_Inputs'!$B$16),2,0))</f>
        <v>1</v>
      </c>
      <c r="AG21" s="93">
        <f>IF(AND(MOD((30*24/6+2)-'03_Capacity_Model'!$B$95,'03_Capacity_Model'!$B$96)&gt;='01_Inputs'!$B$14,MOD((30*24/6+2)-'03_Capacity_Model'!$B$95,'03_Capacity_Model'!$B$96)&lt;('01_Inputs'!$B$14+'01_Inputs'!$B$15+'01_Inputs'!$B$16)),1,IF(MOD((30*24/6+2)-'03_Capacity_Model'!$B$95,'03_Capacity_Model'!$B$96)&gt;=('01_Inputs'!$B$14+'01_Inputs'!$B$15+'01_Inputs'!$B$16),2,0))</f>
        <v>1</v>
      </c>
      <c r="AH21" s="93">
        <f>IF(AND(MOD((31*24/6+2)-'03_Capacity_Model'!$B$95,'03_Capacity_Model'!$B$96)&gt;='01_Inputs'!$B$14,MOD((31*24/6+2)-'03_Capacity_Model'!$B$95,'03_Capacity_Model'!$B$96)&lt;('01_Inputs'!$B$14+'01_Inputs'!$B$15+'01_Inputs'!$B$16)),1,IF(MOD((31*24/6+2)-'03_Capacity_Model'!$B$95,'03_Capacity_Model'!$B$96)&gt;=('01_Inputs'!$B$14+'01_Inputs'!$B$15+'01_Inputs'!$B$16),2,0))</f>
        <v>1</v>
      </c>
      <c r="AI21" s="93">
        <f>IF(AND(MOD((32*24/6+2)-'03_Capacity_Model'!$B$95,'03_Capacity_Model'!$B$96)&gt;='01_Inputs'!$B$14,MOD((32*24/6+2)-'03_Capacity_Model'!$B$95,'03_Capacity_Model'!$B$96)&lt;('01_Inputs'!$B$14+'01_Inputs'!$B$15+'01_Inputs'!$B$16)),1,IF(MOD((32*24/6+2)-'03_Capacity_Model'!$B$95,'03_Capacity_Model'!$B$96)&gt;=('01_Inputs'!$B$14+'01_Inputs'!$B$15+'01_Inputs'!$B$16),2,0))</f>
        <v>1</v>
      </c>
      <c r="AJ21" s="93">
        <f>IF(AND(MOD((33*24/6+2)-'03_Capacity_Model'!$B$95,'03_Capacity_Model'!$B$96)&gt;='01_Inputs'!$B$14,MOD((33*24/6+2)-'03_Capacity_Model'!$B$95,'03_Capacity_Model'!$B$96)&lt;('01_Inputs'!$B$14+'01_Inputs'!$B$15+'01_Inputs'!$B$16)),1,IF(MOD((33*24/6+2)-'03_Capacity_Model'!$B$95,'03_Capacity_Model'!$B$96)&gt;=('01_Inputs'!$B$14+'01_Inputs'!$B$15+'01_Inputs'!$B$16),2,0))</f>
        <v>1</v>
      </c>
      <c r="AK21" s="93">
        <f>IF(AND(MOD((34*24/6+2)-'03_Capacity_Model'!$B$95,'03_Capacity_Model'!$B$96)&gt;='01_Inputs'!$B$14,MOD((34*24/6+2)-'03_Capacity_Model'!$B$95,'03_Capacity_Model'!$B$96)&lt;('01_Inputs'!$B$14+'01_Inputs'!$B$15+'01_Inputs'!$B$16)),1,IF(MOD((34*24/6+2)-'03_Capacity_Model'!$B$95,'03_Capacity_Model'!$B$96)&gt;=('01_Inputs'!$B$14+'01_Inputs'!$B$15+'01_Inputs'!$B$16),2,0))</f>
        <v>1</v>
      </c>
      <c r="AL21" s="93">
        <f>IF(AND(MOD((35*24/6+2)-'03_Capacity_Model'!$B$95,'03_Capacity_Model'!$B$96)&gt;='01_Inputs'!$B$14,MOD((35*24/6+2)-'03_Capacity_Model'!$B$95,'03_Capacity_Model'!$B$96)&lt;('01_Inputs'!$B$14+'01_Inputs'!$B$15+'01_Inputs'!$B$16)),1,IF(MOD((35*24/6+2)-'03_Capacity_Model'!$B$95,'03_Capacity_Model'!$B$96)&gt;=('01_Inputs'!$B$14+'01_Inputs'!$B$15+'01_Inputs'!$B$16),2,0))</f>
        <v>1</v>
      </c>
      <c r="AM21" s="93">
        <f>IF(AND(MOD((36*24/6+2)-'03_Capacity_Model'!$B$95,'03_Capacity_Model'!$B$96)&gt;='01_Inputs'!$B$14,MOD((36*24/6+2)-'03_Capacity_Model'!$B$95,'03_Capacity_Model'!$B$96)&lt;('01_Inputs'!$B$14+'01_Inputs'!$B$15+'01_Inputs'!$B$16)),1,IF(MOD((36*24/6+2)-'03_Capacity_Model'!$B$95,'03_Capacity_Model'!$B$96)&gt;=('01_Inputs'!$B$14+'01_Inputs'!$B$15+'01_Inputs'!$B$16),2,0))</f>
        <v>2</v>
      </c>
      <c r="AN21" s="93">
        <f>IF(AND(MOD((37*24/6+2)-'03_Capacity_Model'!$B$95,'03_Capacity_Model'!$B$96)&gt;='01_Inputs'!$B$14,MOD((37*24/6+2)-'03_Capacity_Model'!$B$95,'03_Capacity_Model'!$B$96)&lt;('01_Inputs'!$B$14+'01_Inputs'!$B$15+'01_Inputs'!$B$16)),1,IF(MOD((37*24/6+2)-'03_Capacity_Model'!$B$95,'03_Capacity_Model'!$B$96)&gt;=('01_Inputs'!$B$14+'01_Inputs'!$B$15+'01_Inputs'!$B$16),2,0))</f>
        <v>2</v>
      </c>
      <c r="AO21" s="93">
        <f>IF(AND(MOD((38*24/6+2)-'03_Capacity_Model'!$B$95,'03_Capacity_Model'!$B$96)&gt;='01_Inputs'!$B$14,MOD((38*24/6+2)-'03_Capacity_Model'!$B$95,'03_Capacity_Model'!$B$96)&lt;('01_Inputs'!$B$14+'01_Inputs'!$B$15+'01_Inputs'!$B$16)),1,IF(MOD((38*24/6+2)-'03_Capacity_Model'!$B$95,'03_Capacity_Model'!$B$96)&gt;=('01_Inputs'!$B$14+'01_Inputs'!$B$15+'01_Inputs'!$B$16),2,0))</f>
        <v>2</v>
      </c>
      <c r="AP21" s="93">
        <f>IF(AND(MOD((39*24/6+2)-'03_Capacity_Model'!$B$95,'03_Capacity_Model'!$B$96)&gt;='01_Inputs'!$B$14,MOD((39*24/6+2)-'03_Capacity_Model'!$B$95,'03_Capacity_Model'!$B$96)&lt;('01_Inputs'!$B$14+'01_Inputs'!$B$15+'01_Inputs'!$B$16)),1,IF(MOD((39*24/6+2)-'03_Capacity_Model'!$B$95,'03_Capacity_Model'!$B$96)&gt;=('01_Inputs'!$B$14+'01_Inputs'!$B$15+'01_Inputs'!$B$16),2,0))</f>
        <v>2</v>
      </c>
      <c r="AQ21" s="93">
        <f>IF(AND(MOD((40*24/6+2)-'03_Capacity_Model'!$B$95,'03_Capacity_Model'!$B$96)&gt;='01_Inputs'!$B$14,MOD((40*24/6+2)-'03_Capacity_Model'!$B$95,'03_Capacity_Model'!$B$96)&lt;('01_Inputs'!$B$14+'01_Inputs'!$B$15+'01_Inputs'!$B$16)),1,IF(MOD((40*24/6+2)-'03_Capacity_Model'!$B$95,'03_Capacity_Model'!$B$96)&gt;=('01_Inputs'!$B$14+'01_Inputs'!$B$15+'01_Inputs'!$B$16),2,0))</f>
        <v>2</v>
      </c>
      <c r="AR21" s="93">
        <f>IF(AND(MOD((41*24/6+2)-'03_Capacity_Model'!$B$95,'03_Capacity_Model'!$B$96)&gt;='01_Inputs'!$B$14,MOD((41*24/6+2)-'03_Capacity_Model'!$B$95,'03_Capacity_Model'!$B$96)&lt;('01_Inputs'!$B$14+'01_Inputs'!$B$15+'01_Inputs'!$B$16)),1,IF(MOD((41*24/6+2)-'03_Capacity_Model'!$B$95,'03_Capacity_Model'!$B$96)&gt;=('01_Inputs'!$B$14+'01_Inputs'!$B$15+'01_Inputs'!$B$16),2,0))</f>
        <v>1</v>
      </c>
      <c r="AS21" s="93">
        <f>IF(AND(MOD((42*24/6+2)-'03_Capacity_Model'!$B$95,'03_Capacity_Model'!$B$96)&gt;='01_Inputs'!$B$14,MOD((42*24/6+2)-'03_Capacity_Model'!$B$95,'03_Capacity_Model'!$B$96)&lt;('01_Inputs'!$B$14+'01_Inputs'!$B$15+'01_Inputs'!$B$16)),1,IF(MOD((42*24/6+2)-'03_Capacity_Model'!$B$95,'03_Capacity_Model'!$B$96)&gt;=('01_Inputs'!$B$14+'01_Inputs'!$B$15+'01_Inputs'!$B$16),2,0))</f>
        <v>1</v>
      </c>
      <c r="AT21" s="93">
        <f>IF(AND(MOD((43*24/6+2)-'03_Capacity_Model'!$B$95,'03_Capacity_Model'!$B$96)&gt;='01_Inputs'!$B$14,MOD((43*24/6+2)-'03_Capacity_Model'!$B$95,'03_Capacity_Model'!$B$96)&lt;('01_Inputs'!$B$14+'01_Inputs'!$B$15+'01_Inputs'!$B$16)),1,IF(MOD((43*24/6+2)-'03_Capacity_Model'!$B$95,'03_Capacity_Model'!$B$96)&gt;=('01_Inputs'!$B$14+'01_Inputs'!$B$15+'01_Inputs'!$B$16),2,0))</f>
        <v>1</v>
      </c>
      <c r="AU21" s="93">
        <f>IF(AND(MOD((44*24/6+2)-'03_Capacity_Model'!$B$95,'03_Capacity_Model'!$B$96)&gt;='01_Inputs'!$B$14,MOD((44*24/6+2)-'03_Capacity_Model'!$B$95,'03_Capacity_Model'!$B$96)&lt;('01_Inputs'!$B$14+'01_Inputs'!$B$15+'01_Inputs'!$B$16)),1,IF(MOD((44*24/6+2)-'03_Capacity_Model'!$B$95,'03_Capacity_Model'!$B$96)&gt;=('01_Inputs'!$B$14+'01_Inputs'!$B$15+'01_Inputs'!$B$16),2,0))</f>
        <v>1</v>
      </c>
      <c r="AV21" s="93">
        <f>IF(AND(MOD((45*24/6+2)-'03_Capacity_Model'!$B$95,'03_Capacity_Model'!$B$96)&gt;='01_Inputs'!$B$14,MOD((45*24/6+2)-'03_Capacity_Model'!$B$95,'03_Capacity_Model'!$B$96)&lt;('01_Inputs'!$B$14+'01_Inputs'!$B$15+'01_Inputs'!$B$16)),1,IF(MOD((45*24/6+2)-'03_Capacity_Model'!$B$95,'03_Capacity_Model'!$B$96)&gt;=('01_Inputs'!$B$14+'01_Inputs'!$B$15+'01_Inputs'!$B$16),2,0))</f>
        <v>1</v>
      </c>
      <c r="AW21" s="93">
        <f>IF(AND(MOD((46*24/6+2)-'03_Capacity_Model'!$B$95,'03_Capacity_Model'!$B$96)&gt;='01_Inputs'!$B$14,MOD((46*24/6+2)-'03_Capacity_Model'!$B$95,'03_Capacity_Model'!$B$96)&lt;('01_Inputs'!$B$14+'01_Inputs'!$B$15+'01_Inputs'!$B$16)),1,IF(MOD((46*24/6+2)-'03_Capacity_Model'!$B$95,'03_Capacity_Model'!$B$96)&gt;=('01_Inputs'!$B$14+'01_Inputs'!$B$15+'01_Inputs'!$B$16),2,0))</f>
        <v>1</v>
      </c>
      <c r="AX21" s="93">
        <f>IF(AND(MOD((47*24/6+2)-'03_Capacity_Model'!$B$95,'03_Capacity_Model'!$B$96)&gt;='01_Inputs'!$B$14,MOD((47*24/6+2)-'03_Capacity_Model'!$B$95,'03_Capacity_Model'!$B$96)&lt;('01_Inputs'!$B$14+'01_Inputs'!$B$15+'01_Inputs'!$B$16)),1,IF(MOD((47*24/6+2)-'03_Capacity_Model'!$B$95,'03_Capacity_Model'!$B$96)&gt;=('01_Inputs'!$B$14+'01_Inputs'!$B$15+'01_Inputs'!$B$16),2,0))</f>
        <v>1</v>
      </c>
      <c r="AY21" s="93">
        <f>IF(AND(MOD((48*24/6+2)-'03_Capacity_Model'!$B$95,'03_Capacity_Model'!$B$96)&gt;='01_Inputs'!$B$14,MOD((48*24/6+2)-'03_Capacity_Model'!$B$95,'03_Capacity_Model'!$B$96)&lt;('01_Inputs'!$B$14+'01_Inputs'!$B$15+'01_Inputs'!$B$16)),1,IF(MOD((48*24/6+2)-'03_Capacity_Model'!$B$95,'03_Capacity_Model'!$B$96)&gt;=('01_Inputs'!$B$14+'01_Inputs'!$B$15+'01_Inputs'!$B$16),2,0))</f>
        <v>1</v>
      </c>
      <c r="AZ21" s="93">
        <f>IF(AND(MOD((49*24/6+2)-'03_Capacity_Model'!$B$95,'03_Capacity_Model'!$B$96)&gt;='01_Inputs'!$B$14,MOD((49*24/6+2)-'03_Capacity_Model'!$B$95,'03_Capacity_Model'!$B$96)&lt;('01_Inputs'!$B$14+'01_Inputs'!$B$15+'01_Inputs'!$B$16)),1,IF(MOD((49*24/6+2)-'03_Capacity_Model'!$B$95,'03_Capacity_Model'!$B$96)&gt;=('01_Inputs'!$B$14+'01_Inputs'!$B$15+'01_Inputs'!$B$16),2,0))</f>
        <v>1</v>
      </c>
      <c r="BA21" s="93">
        <f>IF(AND(MOD((50*24/6+2)-'03_Capacity_Model'!$B$95,'03_Capacity_Model'!$B$96)&gt;='01_Inputs'!$B$14,MOD((50*24/6+2)-'03_Capacity_Model'!$B$95,'03_Capacity_Model'!$B$96)&lt;('01_Inputs'!$B$14+'01_Inputs'!$B$15+'01_Inputs'!$B$16)),1,IF(MOD((50*24/6+2)-'03_Capacity_Model'!$B$95,'03_Capacity_Model'!$B$96)&gt;=('01_Inputs'!$B$14+'01_Inputs'!$B$15+'01_Inputs'!$B$16),2,0))</f>
        <v>1</v>
      </c>
      <c r="BB21" s="93">
        <f>IF(AND(MOD((51*24/6+2)-'03_Capacity_Model'!$B$95,'03_Capacity_Model'!$B$96)&gt;='01_Inputs'!$B$14,MOD((51*24/6+2)-'03_Capacity_Model'!$B$95,'03_Capacity_Model'!$B$96)&lt;('01_Inputs'!$B$14+'01_Inputs'!$B$15+'01_Inputs'!$B$16)),1,IF(MOD((51*24/6+2)-'03_Capacity_Model'!$B$95,'03_Capacity_Model'!$B$96)&gt;=('01_Inputs'!$B$14+'01_Inputs'!$B$15+'01_Inputs'!$B$16),2,0))</f>
        <v>1</v>
      </c>
      <c r="BC21" s="93">
        <f>IF(AND(MOD((52*24/6+2)-'03_Capacity_Model'!$B$95,'03_Capacity_Model'!$B$96)&gt;='01_Inputs'!$B$14,MOD((52*24/6+2)-'03_Capacity_Model'!$B$95,'03_Capacity_Model'!$B$96)&lt;('01_Inputs'!$B$14+'01_Inputs'!$B$15+'01_Inputs'!$B$16)),1,IF(MOD((52*24/6+2)-'03_Capacity_Model'!$B$95,'03_Capacity_Model'!$B$96)&gt;=('01_Inputs'!$B$14+'01_Inputs'!$B$15+'01_Inputs'!$B$16),2,0))</f>
        <v>1</v>
      </c>
      <c r="BD21" s="93">
        <f>IF(AND(MOD((53*24/6+2)-'03_Capacity_Model'!$B$95,'03_Capacity_Model'!$B$96)&gt;='01_Inputs'!$B$14,MOD((53*24/6+2)-'03_Capacity_Model'!$B$95,'03_Capacity_Model'!$B$96)&lt;('01_Inputs'!$B$14+'01_Inputs'!$B$15+'01_Inputs'!$B$16)),1,IF(MOD((53*24/6+2)-'03_Capacity_Model'!$B$95,'03_Capacity_Model'!$B$96)&gt;=('01_Inputs'!$B$14+'01_Inputs'!$B$15+'01_Inputs'!$B$16),2,0))</f>
        <v>2</v>
      </c>
      <c r="BE21" s="93">
        <f>IF(AND(MOD((54*24/6+2)-'03_Capacity_Model'!$B$95,'03_Capacity_Model'!$B$96)&gt;='01_Inputs'!$B$14,MOD((54*24/6+2)-'03_Capacity_Model'!$B$95,'03_Capacity_Model'!$B$96)&lt;('01_Inputs'!$B$14+'01_Inputs'!$B$15+'01_Inputs'!$B$16)),1,IF(MOD((54*24/6+2)-'03_Capacity_Model'!$B$95,'03_Capacity_Model'!$B$96)&gt;=('01_Inputs'!$B$14+'01_Inputs'!$B$15+'01_Inputs'!$B$16),2,0))</f>
        <v>2</v>
      </c>
      <c r="BF21" s="93">
        <f>IF(AND(MOD((55*24/6+2)-'03_Capacity_Model'!$B$95,'03_Capacity_Model'!$B$96)&gt;='01_Inputs'!$B$14,MOD((55*24/6+2)-'03_Capacity_Model'!$B$95,'03_Capacity_Model'!$B$96)&lt;('01_Inputs'!$B$14+'01_Inputs'!$B$15+'01_Inputs'!$B$16)),1,IF(MOD((55*24/6+2)-'03_Capacity_Model'!$B$95,'03_Capacity_Model'!$B$96)&gt;=('01_Inputs'!$B$14+'01_Inputs'!$B$15+'01_Inputs'!$B$16),2,0))</f>
        <v>2</v>
      </c>
      <c r="BG21" s="93">
        <f>IF(AND(MOD((56*24/6+2)-'03_Capacity_Model'!$B$95,'03_Capacity_Model'!$B$96)&gt;='01_Inputs'!$B$14,MOD((56*24/6+2)-'03_Capacity_Model'!$B$95,'03_Capacity_Model'!$B$96)&lt;('01_Inputs'!$B$14+'01_Inputs'!$B$15+'01_Inputs'!$B$16)),1,IF(MOD((56*24/6+2)-'03_Capacity_Model'!$B$95,'03_Capacity_Model'!$B$96)&gt;=('01_Inputs'!$B$14+'01_Inputs'!$B$15+'01_Inputs'!$B$16),2,0))</f>
        <v>2</v>
      </c>
      <c r="BH21" s="93">
        <f>IF(AND(MOD((57*24/6+2)-'03_Capacity_Model'!$B$95,'03_Capacity_Model'!$B$96)&gt;='01_Inputs'!$B$14,MOD((57*24/6+2)-'03_Capacity_Model'!$B$95,'03_Capacity_Model'!$B$96)&lt;('01_Inputs'!$B$14+'01_Inputs'!$B$15+'01_Inputs'!$B$16)),1,IF(MOD((57*24/6+2)-'03_Capacity_Model'!$B$95,'03_Capacity_Model'!$B$96)&gt;=('01_Inputs'!$B$14+'01_Inputs'!$B$15+'01_Inputs'!$B$16),2,0))</f>
        <v>0</v>
      </c>
      <c r="BI21" s="93">
        <f>IF(AND(MOD((58*24/6+2)-'03_Capacity_Model'!$B$95,'03_Capacity_Model'!$B$96)&gt;='01_Inputs'!$B$14,MOD((58*24/6+2)-'03_Capacity_Model'!$B$95,'03_Capacity_Model'!$B$96)&lt;('01_Inputs'!$B$14+'01_Inputs'!$B$15+'01_Inputs'!$B$16)),1,IF(MOD((58*24/6+2)-'03_Capacity_Model'!$B$95,'03_Capacity_Model'!$B$96)&gt;=('01_Inputs'!$B$14+'01_Inputs'!$B$15+'01_Inputs'!$B$16),2,0))</f>
        <v>1</v>
      </c>
      <c r="BJ21" s="93">
        <f>IF(AND(MOD((59*24/6+2)-'03_Capacity_Model'!$B$95,'03_Capacity_Model'!$B$96)&gt;='01_Inputs'!$B$14,MOD((59*24/6+2)-'03_Capacity_Model'!$B$95,'03_Capacity_Model'!$B$96)&lt;('01_Inputs'!$B$14+'01_Inputs'!$B$15+'01_Inputs'!$B$16)),1,IF(MOD((59*24/6+2)-'03_Capacity_Model'!$B$95,'03_Capacity_Model'!$B$96)&gt;=('01_Inputs'!$B$14+'01_Inputs'!$B$15+'01_Inputs'!$B$16),2,0))</f>
        <v>1</v>
      </c>
      <c r="BK21" s="93">
        <f>IF(AND(MOD((60*24/6+2)-'03_Capacity_Model'!$B$95,'03_Capacity_Model'!$B$96)&gt;='01_Inputs'!$B$14,MOD((60*24/6+2)-'03_Capacity_Model'!$B$95,'03_Capacity_Model'!$B$96)&lt;('01_Inputs'!$B$14+'01_Inputs'!$B$15+'01_Inputs'!$B$16)),1,IF(MOD((60*24/6+2)-'03_Capacity_Model'!$B$95,'03_Capacity_Model'!$B$96)&gt;=('01_Inputs'!$B$14+'01_Inputs'!$B$15+'01_Inputs'!$B$16),2,0))</f>
        <v>1</v>
      </c>
      <c r="BL21" s="93">
        <f>IF(AND(MOD((61*24/6+2)-'03_Capacity_Model'!$B$95,'03_Capacity_Model'!$B$96)&gt;='01_Inputs'!$B$14,MOD((61*24/6+2)-'03_Capacity_Model'!$B$95,'03_Capacity_Model'!$B$96)&lt;('01_Inputs'!$B$14+'01_Inputs'!$B$15+'01_Inputs'!$B$16)),1,IF(MOD((61*24/6+2)-'03_Capacity_Model'!$B$95,'03_Capacity_Model'!$B$96)&gt;=('01_Inputs'!$B$14+'01_Inputs'!$B$15+'01_Inputs'!$B$16),2,0))</f>
        <v>1</v>
      </c>
      <c r="BM21" s="93">
        <f>IF(AND(MOD((62*24/6+2)-'03_Capacity_Model'!$B$95,'03_Capacity_Model'!$B$96)&gt;='01_Inputs'!$B$14,MOD((62*24/6+2)-'03_Capacity_Model'!$B$95,'03_Capacity_Model'!$B$96)&lt;('01_Inputs'!$B$14+'01_Inputs'!$B$15+'01_Inputs'!$B$16)),1,IF(MOD((62*24/6+2)-'03_Capacity_Model'!$B$95,'03_Capacity_Model'!$B$96)&gt;=('01_Inputs'!$B$14+'01_Inputs'!$B$15+'01_Inputs'!$B$16),2,0))</f>
        <v>1</v>
      </c>
      <c r="BN21" s="93">
        <f>IF(AND(MOD((63*24/6+2)-'03_Capacity_Model'!$B$95,'03_Capacity_Model'!$B$96)&gt;='01_Inputs'!$B$14,MOD((63*24/6+2)-'03_Capacity_Model'!$B$95,'03_Capacity_Model'!$B$96)&lt;('01_Inputs'!$B$14+'01_Inputs'!$B$15+'01_Inputs'!$B$16)),1,IF(MOD((63*24/6+2)-'03_Capacity_Model'!$B$95,'03_Capacity_Model'!$B$96)&gt;=('01_Inputs'!$B$14+'01_Inputs'!$B$15+'01_Inputs'!$B$16),2,0))</f>
        <v>1</v>
      </c>
      <c r="BO21" s="93">
        <f>IF(AND(MOD((64*24/6+2)-'03_Capacity_Model'!$B$95,'03_Capacity_Model'!$B$96)&gt;='01_Inputs'!$B$14,MOD((64*24/6+2)-'03_Capacity_Model'!$B$95,'03_Capacity_Model'!$B$96)&lt;('01_Inputs'!$B$14+'01_Inputs'!$B$15+'01_Inputs'!$B$16)),1,IF(MOD((64*24/6+2)-'03_Capacity_Model'!$B$95,'03_Capacity_Model'!$B$96)&gt;=('01_Inputs'!$B$14+'01_Inputs'!$B$15+'01_Inputs'!$B$16),2,0))</f>
        <v>1</v>
      </c>
      <c r="BP21" s="93">
        <f>IF(AND(MOD((65*24/6+2)-'03_Capacity_Model'!$B$95,'03_Capacity_Model'!$B$96)&gt;='01_Inputs'!$B$14,MOD((65*24/6+2)-'03_Capacity_Model'!$B$95,'03_Capacity_Model'!$B$96)&lt;('01_Inputs'!$B$14+'01_Inputs'!$B$15+'01_Inputs'!$B$16)),1,IF(MOD((65*24/6+2)-'03_Capacity_Model'!$B$95,'03_Capacity_Model'!$B$96)&gt;=('01_Inputs'!$B$14+'01_Inputs'!$B$15+'01_Inputs'!$B$16),2,0))</f>
        <v>1</v>
      </c>
      <c r="BQ21" s="93">
        <f>IF(AND(MOD((66*24/6+2)-'03_Capacity_Model'!$B$95,'03_Capacity_Model'!$B$96)&gt;='01_Inputs'!$B$14,MOD((66*24/6+2)-'03_Capacity_Model'!$B$95,'03_Capacity_Model'!$B$96)&lt;('01_Inputs'!$B$14+'01_Inputs'!$B$15+'01_Inputs'!$B$16)),1,IF(MOD((66*24/6+2)-'03_Capacity_Model'!$B$95,'03_Capacity_Model'!$B$96)&gt;=('01_Inputs'!$B$14+'01_Inputs'!$B$15+'01_Inputs'!$B$16),2,0))</f>
        <v>1</v>
      </c>
      <c r="BR21" s="93">
        <f>IF(AND(MOD((67*24/6+2)-'03_Capacity_Model'!$B$95,'03_Capacity_Model'!$B$96)&gt;='01_Inputs'!$B$14,MOD((67*24/6+2)-'03_Capacity_Model'!$B$95,'03_Capacity_Model'!$B$96)&lt;('01_Inputs'!$B$14+'01_Inputs'!$B$15+'01_Inputs'!$B$16)),1,IF(MOD((67*24/6+2)-'03_Capacity_Model'!$B$95,'03_Capacity_Model'!$B$96)&gt;=('01_Inputs'!$B$14+'01_Inputs'!$B$15+'01_Inputs'!$B$16),2,0))</f>
        <v>1</v>
      </c>
      <c r="BS21" s="93">
        <f>IF(AND(MOD((68*24/6+2)-'03_Capacity_Model'!$B$95,'03_Capacity_Model'!$B$96)&gt;='01_Inputs'!$B$14,MOD((68*24/6+2)-'03_Capacity_Model'!$B$95,'03_Capacity_Model'!$B$96)&lt;('01_Inputs'!$B$14+'01_Inputs'!$B$15+'01_Inputs'!$B$16)),1,IF(MOD((68*24/6+2)-'03_Capacity_Model'!$B$95,'03_Capacity_Model'!$B$96)&gt;=('01_Inputs'!$B$14+'01_Inputs'!$B$15+'01_Inputs'!$B$16),2,0))</f>
        <v>1</v>
      </c>
      <c r="BT21" s="93">
        <f>IF(AND(MOD((69*24/6+2)-'03_Capacity_Model'!$B$95,'03_Capacity_Model'!$B$96)&gt;='01_Inputs'!$B$14,MOD((69*24/6+2)-'03_Capacity_Model'!$B$95,'03_Capacity_Model'!$B$96)&lt;('01_Inputs'!$B$14+'01_Inputs'!$B$15+'01_Inputs'!$B$16)),1,IF(MOD((69*24/6+2)-'03_Capacity_Model'!$B$95,'03_Capacity_Model'!$B$96)&gt;=('01_Inputs'!$B$14+'01_Inputs'!$B$15+'01_Inputs'!$B$16),2,0))</f>
        <v>2</v>
      </c>
      <c r="BU21" s="93">
        <f>IF(AND(MOD((70*24/6+2)-'03_Capacity_Model'!$B$95,'03_Capacity_Model'!$B$96)&gt;='01_Inputs'!$B$14,MOD((70*24/6+2)-'03_Capacity_Model'!$B$95,'03_Capacity_Model'!$B$96)&lt;('01_Inputs'!$B$14+'01_Inputs'!$B$15+'01_Inputs'!$B$16)),1,IF(MOD((70*24/6+2)-'03_Capacity_Model'!$B$95,'03_Capacity_Model'!$B$96)&gt;=('01_Inputs'!$B$14+'01_Inputs'!$B$15+'01_Inputs'!$B$16),2,0))</f>
        <v>2</v>
      </c>
      <c r="BV21" s="93">
        <f>IF(AND(MOD((71*24/6+2)-'03_Capacity_Model'!$B$95,'03_Capacity_Model'!$B$96)&gt;='01_Inputs'!$B$14,MOD((71*24/6+2)-'03_Capacity_Model'!$B$95,'03_Capacity_Model'!$B$96)&lt;('01_Inputs'!$B$14+'01_Inputs'!$B$15+'01_Inputs'!$B$16)),1,IF(MOD((71*24/6+2)-'03_Capacity_Model'!$B$95,'03_Capacity_Model'!$B$96)&gt;=('01_Inputs'!$B$14+'01_Inputs'!$B$15+'01_Inputs'!$B$16),2,0))</f>
        <v>2</v>
      </c>
      <c r="BW21" s="93">
        <f>IF(AND(MOD((72*24/6+2)-'03_Capacity_Model'!$B$95,'03_Capacity_Model'!$B$96)&gt;='01_Inputs'!$B$14,MOD((72*24/6+2)-'03_Capacity_Model'!$B$95,'03_Capacity_Model'!$B$96)&lt;('01_Inputs'!$B$14+'01_Inputs'!$B$15+'01_Inputs'!$B$16)),1,IF(MOD((72*24/6+2)-'03_Capacity_Model'!$B$95,'03_Capacity_Model'!$B$96)&gt;=('01_Inputs'!$B$14+'01_Inputs'!$B$15+'01_Inputs'!$B$16),2,0))</f>
        <v>2</v>
      </c>
      <c r="BX21" s="93">
        <f>IF(AND(MOD((73*24/6+2)-'03_Capacity_Model'!$B$95,'03_Capacity_Model'!$B$96)&gt;='01_Inputs'!$B$14,MOD((73*24/6+2)-'03_Capacity_Model'!$B$95,'03_Capacity_Model'!$B$96)&lt;('01_Inputs'!$B$14+'01_Inputs'!$B$15+'01_Inputs'!$B$16)),1,IF(MOD((73*24/6+2)-'03_Capacity_Model'!$B$95,'03_Capacity_Model'!$B$96)&gt;=('01_Inputs'!$B$14+'01_Inputs'!$B$15+'01_Inputs'!$B$16),2,0))</f>
        <v>2</v>
      </c>
      <c r="BY21" s="93">
        <f>IF(AND(MOD((74*24/6+2)-'03_Capacity_Model'!$B$95,'03_Capacity_Model'!$B$96)&gt;='01_Inputs'!$B$14,MOD((74*24/6+2)-'03_Capacity_Model'!$B$95,'03_Capacity_Model'!$B$96)&lt;('01_Inputs'!$B$14+'01_Inputs'!$B$15+'01_Inputs'!$B$16)),1,IF(MOD((74*24/6+2)-'03_Capacity_Model'!$B$95,'03_Capacity_Model'!$B$96)&gt;=('01_Inputs'!$B$14+'01_Inputs'!$B$15+'01_Inputs'!$B$16),2,0))</f>
        <v>1</v>
      </c>
      <c r="BZ21" s="93">
        <f>IF(AND(MOD((75*24/6+2)-'03_Capacity_Model'!$B$95,'03_Capacity_Model'!$B$96)&gt;='01_Inputs'!$B$14,MOD((75*24/6+2)-'03_Capacity_Model'!$B$95,'03_Capacity_Model'!$B$96)&lt;('01_Inputs'!$B$14+'01_Inputs'!$B$15+'01_Inputs'!$B$16)),1,IF(MOD((75*24/6+2)-'03_Capacity_Model'!$B$95,'03_Capacity_Model'!$B$96)&gt;=('01_Inputs'!$B$14+'01_Inputs'!$B$15+'01_Inputs'!$B$16),2,0))</f>
        <v>1</v>
      </c>
      <c r="CA21" s="93">
        <f>IF(AND(MOD((76*24/6+2)-'03_Capacity_Model'!$B$95,'03_Capacity_Model'!$B$96)&gt;='01_Inputs'!$B$14,MOD((76*24/6+2)-'03_Capacity_Model'!$B$95,'03_Capacity_Model'!$B$96)&lt;('01_Inputs'!$B$14+'01_Inputs'!$B$15+'01_Inputs'!$B$16)),1,IF(MOD((76*24/6+2)-'03_Capacity_Model'!$B$95,'03_Capacity_Model'!$B$96)&gt;=('01_Inputs'!$B$14+'01_Inputs'!$B$15+'01_Inputs'!$B$16),2,0))</f>
        <v>1</v>
      </c>
      <c r="CB21" s="93">
        <f>IF(AND(MOD((77*24/6+2)-'03_Capacity_Model'!$B$95,'03_Capacity_Model'!$B$96)&gt;='01_Inputs'!$B$14,MOD((77*24/6+2)-'03_Capacity_Model'!$B$95,'03_Capacity_Model'!$B$96)&lt;('01_Inputs'!$B$14+'01_Inputs'!$B$15+'01_Inputs'!$B$16)),1,IF(MOD((77*24/6+2)-'03_Capacity_Model'!$B$95,'03_Capacity_Model'!$B$96)&gt;=('01_Inputs'!$B$14+'01_Inputs'!$B$15+'01_Inputs'!$B$16),2,0))</f>
        <v>1</v>
      </c>
      <c r="CC21" s="93">
        <f>IF(AND(MOD((78*24/6+2)-'03_Capacity_Model'!$B$95,'03_Capacity_Model'!$B$96)&gt;='01_Inputs'!$B$14,MOD((78*24/6+2)-'03_Capacity_Model'!$B$95,'03_Capacity_Model'!$B$96)&lt;('01_Inputs'!$B$14+'01_Inputs'!$B$15+'01_Inputs'!$B$16)),1,IF(MOD((78*24/6+2)-'03_Capacity_Model'!$B$95,'03_Capacity_Model'!$B$96)&gt;=('01_Inputs'!$B$14+'01_Inputs'!$B$15+'01_Inputs'!$B$16),2,0))</f>
        <v>1</v>
      </c>
      <c r="CD21" s="93">
        <f>IF(AND(MOD((79*24/6+2)-'03_Capacity_Model'!$B$95,'03_Capacity_Model'!$B$96)&gt;='01_Inputs'!$B$14,MOD((79*24/6+2)-'03_Capacity_Model'!$B$95,'03_Capacity_Model'!$B$96)&lt;('01_Inputs'!$B$14+'01_Inputs'!$B$15+'01_Inputs'!$B$16)),1,IF(MOD((79*24/6+2)-'03_Capacity_Model'!$B$95,'03_Capacity_Model'!$B$96)&gt;=('01_Inputs'!$B$14+'01_Inputs'!$B$15+'01_Inputs'!$B$16),2,0))</f>
        <v>1</v>
      </c>
      <c r="CE21" s="93">
        <f>IF(AND(MOD((80*24/6+2)-'03_Capacity_Model'!$B$95,'03_Capacity_Model'!$B$96)&gt;='01_Inputs'!$B$14,MOD((80*24/6+2)-'03_Capacity_Model'!$B$95,'03_Capacity_Model'!$B$96)&lt;('01_Inputs'!$B$14+'01_Inputs'!$B$15+'01_Inputs'!$B$16)),1,IF(MOD((80*24/6+2)-'03_Capacity_Model'!$B$95,'03_Capacity_Model'!$B$96)&gt;=('01_Inputs'!$B$14+'01_Inputs'!$B$15+'01_Inputs'!$B$16),2,0))</f>
        <v>1</v>
      </c>
      <c r="CF21" s="93">
        <f>IF(AND(MOD((81*24/6+2)-'03_Capacity_Model'!$B$95,'03_Capacity_Model'!$B$96)&gt;='01_Inputs'!$B$14,MOD((81*24/6+2)-'03_Capacity_Model'!$B$95,'03_Capacity_Model'!$B$96)&lt;('01_Inputs'!$B$14+'01_Inputs'!$B$15+'01_Inputs'!$B$16)),1,IF(MOD((81*24/6+2)-'03_Capacity_Model'!$B$95,'03_Capacity_Model'!$B$96)&gt;=('01_Inputs'!$B$14+'01_Inputs'!$B$15+'01_Inputs'!$B$16),2,0))</f>
        <v>1</v>
      </c>
      <c r="CG21" s="93">
        <f>IF(AND(MOD((82*24/6+2)-'03_Capacity_Model'!$B$95,'03_Capacity_Model'!$B$96)&gt;='01_Inputs'!$B$14,MOD((82*24/6+2)-'03_Capacity_Model'!$B$95,'03_Capacity_Model'!$B$96)&lt;('01_Inputs'!$B$14+'01_Inputs'!$B$15+'01_Inputs'!$B$16)),1,IF(MOD((82*24/6+2)-'03_Capacity_Model'!$B$95,'03_Capacity_Model'!$B$96)&gt;=('01_Inputs'!$B$14+'01_Inputs'!$B$15+'01_Inputs'!$B$16),2,0))</f>
        <v>1</v>
      </c>
      <c r="CH21" s="93">
        <f>IF(AND(MOD((83*24/6+2)-'03_Capacity_Model'!$B$95,'03_Capacity_Model'!$B$96)&gt;='01_Inputs'!$B$14,MOD((83*24/6+2)-'03_Capacity_Model'!$B$95,'03_Capacity_Model'!$B$96)&lt;('01_Inputs'!$B$14+'01_Inputs'!$B$15+'01_Inputs'!$B$16)),1,IF(MOD((83*24/6+2)-'03_Capacity_Model'!$B$95,'03_Capacity_Model'!$B$96)&gt;=('01_Inputs'!$B$14+'01_Inputs'!$B$15+'01_Inputs'!$B$16),2,0))</f>
        <v>1</v>
      </c>
      <c r="CI21" s="93">
        <f>IF(AND(MOD((84*24/6+2)-'03_Capacity_Model'!$B$95,'03_Capacity_Model'!$B$96)&gt;='01_Inputs'!$B$14,MOD((84*24/6+2)-'03_Capacity_Model'!$B$95,'03_Capacity_Model'!$B$96)&lt;('01_Inputs'!$B$14+'01_Inputs'!$B$15+'01_Inputs'!$B$16)),1,IF(MOD((84*24/6+2)-'03_Capacity_Model'!$B$95,'03_Capacity_Model'!$B$96)&gt;=('01_Inputs'!$B$14+'01_Inputs'!$B$15+'01_Inputs'!$B$16),2,0))</f>
        <v>1</v>
      </c>
      <c r="CJ21" s="93">
        <f>IF(AND(MOD((85*24/6+2)-'03_Capacity_Model'!$B$95,'03_Capacity_Model'!$B$96)&gt;='01_Inputs'!$B$14,MOD((85*24/6+2)-'03_Capacity_Model'!$B$95,'03_Capacity_Model'!$B$96)&lt;('01_Inputs'!$B$14+'01_Inputs'!$B$15+'01_Inputs'!$B$16)),1,IF(MOD((85*24/6+2)-'03_Capacity_Model'!$B$95,'03_Capacity_Model'!$B$96)&gt;=('01_Inputs'!$B$14+'01_Inputs'!$B$15+'01_Inputs'!$B$16),2,0))</f>
        <v>1</v>
      </c>
      <c r="CK21" s="93">
        <f>IF(AND(MOD((86*24/6+2)-'03_Capacity_Model'!$B$95,'03_Capacity_Model'!$B$96)&gt;='01_Inputs'!$B$14,MOD((86*24/6+2)-'03_Capacity_Model'!$B$95,'03_Capacity_Model'!$B$96)&lt;('01_Inputs'!$B$14+'01_Inputs'!$B$15+'01_Inputs'!$B$16)),1,IF(MOD((86*24/6+2)-'03_Capacity_Model'!$B$95,'03_Capacity_Model'!$B$96)&gt;=('01_Inputs'!$B$14+'01_Inputs'!$B$15+'01_Inputs'!$B$16),2,0))</f>
        <v>2</v>
      </c>
      <c r="CL21" s="93">
        <f>IF(AND(MOD((87*24/6+2)-'03_Capacity_Model'!$B$95,'03_Capacity_Model'!$B$96)&gt;='01_Inputs'!$B$14,MOD((87*24/6+2)-'03_Capacity_Model'!$B$95,'03_Capacity_Model'!$B$96)&lt;('01_Inputs'!$B$14+'01_Inputs'!$B$15+'01_Inputs'!$B$16)),1,IF(MOD((87*24/6+2)-'03_Capacity_Model'!$B$95,'03_Capacity_Model'!$B$96)&gt;=('01_Inputs'!$B$14+'01_Inputs'!$B$15+'01_Inputs'!$B$16),2,0))</f>
        <v>2</v>
      </c>
      <c r="CM21" s="93">
        <f>IF(AND(MOD((88*24/6+2)-'03_Capacity_Model'!$B$95,'03_Capacity_Model'!$B$96)&gt;='01_Inputs'!$B$14,MOD((88*24/6+2)-'03_Capacity_Model'!$B$95,'03_Capacity_Model'!$B$96)&lt;('01_Inputs'!$B$14+'01_Inputs'!$B$15+'01_Inputs'!$B$16)),1,IF(MOD((88*24/6+2)-'03_Capacity_Model'!$B$95,'03_Capacity_Model'!$B$96)&gt;=('01_Inputs'!$B$14+'01_Inputs'!$B$15+'01_Inputs'!$B$16),2,0))</f>
        <v>2</v>
      </c>
      <c r="CN21" s="93">
        <f>IF(AND(MOD((89*24/6+2)-'03_Capacity_Model'!$B$95,'03_Capacity_Model'!$B$96)&gt;='01_Inputs'!$B$14,MOD((89*24/6+2)-'03_Capacity_Model'!$B$95,'03_Capacity_Model'!$B$96)&lt;('01_Inputs'!$B$14+'01_Inputs'!$B$15+'01_Inputs'!$B$16)),1,IF(MOD((89*24/6+2)-'03_Capacity_Model'!$B$95,'03_Capacity_Model'!$B$96)&gt;=('01_Inputs'!$B$14+'01_Inputs'!$B$15+'01_Inputs'!$B$16),2,0))</f>
        <v>2</v>
      </c>
      <c r="CO21" s="93">
        <f>IF(AND(MOD((90*24/6+2)-'03_Capacity_Model'!$B$95,'03_Capacity_Model'!$B$96)&gt;='01_Inputs'!$B$14,MOD((90*24/6+2)-'03_Capacity_Model'!$B$95,'03_Capacity_Model'!$B$96)&lt;('01_Inputs'!$B$14+'01_Inputs'!$B$15+'01_Inputs'!$B$16)),1,IF(MOD((90*24/6+2)-'03_Capacity_Model'!$B$95,'03_Capacity_Model'!$B$96)&gt;=('01_Inputs'!$B$14+'01_Inputs'!$B$15+'01_Inputs'!$B$16),2,0))</f>
        <v>0</v>
      </c>
      <c r="CP21" s="93">
        <f>IF(AND(MOD((91*24/6+2)-'03_Capacity_Model'!$B$95,'03_Capacity_Model'!$B$96)&gt;='01_Inputs'!$B$14,MOD((91*24/6+2)-'03_Capacity_Model'!$B$95,'03_Capacity_Model'!$B$96)&lt;('01_Inputs'!$B$14+'01_Inputs'!$B$15+'01_Inputs'!$B$16)),1,IF(MOD((91*24/6+2)-'03_Capacity_Model'!$B$95,'03_Capacity_Model'!$B$96)&gt;=('01_Inputs'!$B$14+'01_Inputs'!$B$15+'01_Inputs'!$B$16),2,0))</f>
        <v>1</v>
      </c>
      <c r="CQ21" s="93">
        <f>IF(AND(MOD((92*24/6+2)-'03_Capacity_Model'!$B$95,'03_Capacity_Model'!$B$96)&gt;='01_Inputs'!$B$14,MOD((92*24/6+2)-'03_Capacity_Model'!$B$95,'03_Capacity_Model'!$B$96)&lt;('01_Inputs'!$B$14+'01_Inputs'!$B$15+'01_Inputs'!$B$16)),1,IF(MOD((92*24/6+2)-'03_Capacity_Model'!$B$95,'03_Capacity_Model'!$B$96)&gt;=('01_Inputs'!$B$14+'01_Inputs'!$B$15+'01_Inputs'!$B$16),2,0))</f>
        <v>1</v>
      </c>
      <c r="CR21" s="93">
        <f>IF(AND(MOD((93*24/6+2)-'03_Capacity_Model'!$B$95,'03_Capacity_Model'!$B$96)&gt;='01_Inputs'!$B$14,MOD((93*24/6+2)-'03_Capacity_Model'!$B$95,'03_Capacity_Model'!$B$96)&lt;('01_Inputs'!$B$14+'01_Inputs'!$B$15+'01_Inputs'!$B$16)),1,IF(MOD((93*24/6+2)-'03_Capacity_Model'!$B$95,'03_Capacity_Model'!$B$96)&gt;=('01_Inputs'!$B$14+'01_Inputs'!$B$15+'01_Inputs'!$B$16),2,0))</f>
        <v>1</v>
      </c>
      <c r="CS21" s="93">
        <f>IF(AND(MOD((94*24/6+2)-'03_Capacity_Model'!$B$95,'03_Capacity_Model'!$B$96)&gt;='01_Inputs'!$B$14,MOD((94*24/6+2)-'03_Capacity_Model'!$B$95,'03_Capacity_Model'!$B$96)&lt;('01_Inputs'!$B$14+'01_Inputs'!$B$15+'01_Inputs'!$B$16)),1,IF(MOD((94*24/6+2)-'03_Capacity_Model'!$B$95,'03_Capacity_Model'!$B$96)&gt;=('01_Inputs'!$B$14+'01_Inputs'!$B$15+'01_Inputs'!$B$16),2,0))</f>
        <v>1</v>
      </c>
      <c r="CT21" s="93">
        <f>IF(AND(MOD((95*24/6+2)-'03_Capacity_Model'!$B$95,'03_Capacity_Model'!$B$96)&gt;='01_Inputs'!$B$14,MOD((95*24/6+2)-'03_Capacity_Model'!$B$95,'03_Capacity_Model'!$B$96)&lt;('01_Inputs'!$B$14+'01_Inputs'!$B$15+'01_Inputs'!$B$16)),1,IF(MOD((95*24/6+2)-'03_Capacity_Model'!$B$95,'03_Capacity_Model'!$B$96)&gt;=('01_Inputs'!$B$14+'01_Inputs'!$B$15+'01_Inputs'!$B$16),2,0))</f>
        <v>1</v>
      </c>
      <c r="CU21" s="93">
        <f>IF(AND(MOD((96*24/6+2)-'03_Capacity_Model'!$B$95,'03_Capacity_Model'!$B$96)&gt;='01_Inputs'!$B$14,MOD((96*24/6+2)-'03_Capacity_Model'!$B$95,'03_Capacity_Model'!$B$96)&lt;('01_Inputs'!$B$14+'01_Inputs'!$B$15+'01_Inputs'!$B$16)),1,IF(MOD((96*24/6+2)-'03_Capacity_Model'!$B$95,'03_Capacity_Model'!$B$96)&gt;=('01_Inputs'!$B$14+'01_Inputs'!$B$15+'01_Inputs'!$B$16),2,0))</f>
        <v>1</v>
      </c>
      <c r="CV21" s="93">
        <f>IF(AND(MOD((97*24/6+2)-'03_Capacity_Model'!$B$95,'03_Capacity_Model'!$B$96)&gt;='01_Inputs'!$B$14,MOD((97*24/6+2)-'03_Capacity_Model'!$B$95,'03_Capacity_Model'!$B$96)&lt;('01_Inputs'!$B$14+'01_Inputs'!$B$15+'01_Inputs'!$B$16)),1,IF(MOD((97*24/6+2)-'03_Capacity_Model'!$B$95,'03_Capacity_Model'!$B$96)&gt;=('01_Inputs'!$B$14+'01_Inputs'!$B$15+'01_Inputs'!$B$16),2,0))</f>
        <v>1</v>
      </c>
      <c r="CW21" s="93">
        <f>IF(AND(MOD((98*24/6+2)-'03_Capacity_Model'!$B$95,'03_Capacity_Model'!$B$96)&gt;='01_Inputs'!$B$14,MOD((98*24/6+2)-'03_Capacity_Model'!$B$95,'03_Capacity_Model'!$B$96)&lt;('01_Inputs'!$B$14+'01_Inputs'!$B$15+'01_Inputs'!$B$16)),1,IF(MOD((98*24/6+2)-'03_Capacity_Model'!$B$95,'03_Capacity_Model'!$B$96)&gt;=('01_Inputs'!$B$14+'01_Inputs'!$B$15+'01_Inputs'!$B$16),2,0))</f>
        <v>1</v>
      </c>
      <c r="CX21" s="93">
        <f>IF(AND(MOD((99*24/6+2)-'03_Capacity_Model'!$B$95,'03_Capacity_Model'!$B$96)&gt;='01_Inputs'!$B$14,MOD((99*24/6+2)-'03_Capacity_Model'!$B$95,'03_Capacity_Model'!$B$96)&lt;('01_Inputs'!$B$14+'01_Inputs'!$B$15+'01_Inputs'!$B$16)),1,IF(MOD((99*24/6+2)-'03_Capacity_Model'!$B$95,'03_Capacity_Model'!$B$96)&gt;=('01_Inputs'!$B$14+'01_Inputs'!$B$15+'01_Inputs'!$B$16),2,0))</f>
        <v>1</v>
      </c>
      <c r="CY21" s="93">
        <f>IF(AND(MOD((100*24/6+2)-'03_Capacity_Model'!$B$95,'03_Capacity_Model'!$B$96)&gt;='01_Inputs'!$B$14,MOD((100*24/6+2)-'03_Capacity_Model'!$B$95,'03_Capacity_Model'!$B$96)&lt;('01_Inputs'!$B$14+'01_Inputs'!$B$15+'01_Inputs'!$B$16)),1,IF(MOD((100*24/6+2)-'03_Capacity_Model'!$B$95,'03_Capacity_Model'!$B$96)&gt;=('01_Inputs'!$B$14+'01_Inputs'!$B$15+'01_Inputs'!$B$16),2,0))</f>
        <v>1</v>
      </c>
      <c r="CZ21" s="93">
        <f>IF(AND(MOD((101*24/6+2)-'03_Capacity_Model'!$B$95,'03_Capacity_Model'!$B$96)&gt;='01_Inputs'!$B$14,MOD((101*24/6+2)-'03_Capacity_Model'!$B$95,'03_Capacity_Model'!$B$96)&lt;('01_Inputs'!$B$14+'01_Inputs'!$B$15+'01_Inputs'!$B$16)),1,IF(MOD((101*24/6+2)-'03_Capacity_Model'!$B$95,'03_Capacity_Model'!$B$96)&gt;=('01_Inputs'!$B$14+'01_Inputs'!$B$15+'01_Inputs'!$B$16),2,0))</f>
        <v>1</v>
      </c>
      <c r="DA21" s="93">
        <f>IF(AND(MOD((102*24/6+2)-'03_Capacity_Model'!$B$95,'03_Capacity_Model'!$B$96)&gt;='01_Inputs'!$B$14,MOD((102*24/6+2)-'03_Capacity_Model'!$B$95,'03_Capacity_Model'!$B$96)&lt;('01_Inputs'!$B$14+'01_Inputs'!$B$15+'01_Inputs'!$B$16)),1,IF(MOD((102*24/6+2)-'03_Capacity_Model'!$B$95,'03_Capacity_Model'!$B$96)&gt;=('01_Inputs'!$B$14+'01_Inputs'!$B$15+'01_Inputs'!$B$16),2,0))</f>
        <v>1</v>
      </c>
      <c r="DB21" s="93">
        <f>IF(AND(MOD((103*24/6+2)-'03_Capacity_Model'!$B$95,'03_Capacity_Model'!$B$96)&gt;='01_Inputs'!$B$14,MOD((103*24/6+2)-'03_Capacity_Model'!$B$95,'03_Capacity_Model'!$B$96)&lt;('01_Inputs'!$B$14+'01_Inputs'!$B$15+'01_Inputs'!$B$16)),1,IF(MOD((103*24/6+2)-'03_Capacity_Model'!$B$95,'03_Capacity_Model'!$B$96)&gt;=('01_Inputs'!$B$14+'01_Inputs'!$B$15+'01_Inputs'!$B$16),2,0))</f>
        <v>2</v>
      </c>
      <c r="DC21" s="93">
        <f>IF(AND(MOD((104*24/6+2)-'03_Capacity_Model'!$B$95,'03_Capacity_Model'!$B$96)&gt;='01_Inputs'!$B$14,MOD((104*24/6+2)-'03_Capacity_Model'!$B$95,'03_Capacity_Model'!$B$96)&lt;('01_Inputs'!$B$14+'01_Inputs'!$B$15+'01_Inputs'!$B$16)),1,IF(MOD((104*24/6+2)-'03_Capacity_Model'!$B$95,'03_Capacity_Model'!$B$96)&gt;=('01_Inputs'!$B$14+'01_Inputs'!$B$15+'01_Inputs'!$B$16),2,0))</f>
        <v>2</v>
      </c>
      <c r="DD21" s="93">
        <f>IF(AND(MOD((105*24/6+2)-'03_Capacity_Model'!$B$95,'03_Capacity_Model'!$B$96)&gt;='01_Inputs'!$B$14,MOD((105*24/6+2)-'03_Capacity_Model'!$B$95,'03_Capacity_Model'!$B$96)&lt;('01_Inputs'!$B$14+'01_Inputs'!$B$15+'01_Inputs'!$B$16)),1,IF(MOD((105*24/6+2)-'03_Capacity_Model'!$B$95,'03_Capacity_Model'!$B$96)&gt;=('01_Inputs'!$B$14+'01_Inputs'!$B$15+'01_Inputs'!$B$16),2,0))</f>
        <v>2</v>
      </c>
      <c r="DE21" s="93">
        <f>IF(AND(MOD((106*24/6+2)-'03_Capacity_Model'!$B$95,'03_Capacity_Model'!$B$96)&gt;='01_Inputs'!$B$14,MOD((106*24/6+2)-'03_Capacity_Model'!$B$95,'03_Capacity_Model'!$B$96)&lt;('01_Inputs'!$B$14+'01_Inputs'!$B$15+'01_Inputs'!$B$16)),1,IF(MOD((106*24/6+2)-'03_Capacity_Model'!$B$95,'03_Capacity_Model'!$B$96)&gt;=('01_Inputs'!$B$14+'01_Inputs'!$B$15+'01_Inputs'!$B$16),2,0))</f>
        <v>2</v>
      </c>
      <c r="DF21" s="93">
        <f>IF(AND(MOD((107*24/6+2)-'03_Capacity_Model'!$B$95,'03_Capacity_Model'!$B$96)&gt;='01_Inputs'!$B$14,MOD((107*24/6+2)-'03_Capacity_Model'!$B$95,'03_Capacity_Model'!$B$96)&lt;('01_Inputs'!$B$14+'01_Inputs'!$B$15+'01_Inputs'!$B$16)),1,IF(MOD((107*24/6+2)-'03_Capacity_Model'!$B$95,'03_Capacity_Model'!$B$96)&gt;=('01_Inputs'!$B$14+'01_Inputs'!$B$15+'01_Inputs'!$B$16),2,0))</f>
        <v>1</v>
      </c>
      <c r="DG21" s="93">
        <f>IF(AND(MOD((108*24/6+2)-'03_Capacity_Model'!$B$95,'03_Capacity_Model'!$B$96)&gt;='01_Inputs'!$B$14,MOD((108*24/6+2)-'03_Capacity_Model'!$B$95,'03_Capacity_Model'!$B$96)&lt;('01_Inputs'!$B$14+'01_Inputs'!$B$15+'01_Inputs'!$B$16)),1,IF(MOD((108*24/6+2)-'03_Capacity_Model'!$B$95,'03_Capacity_Model'!$B$96)&gt;=('01_Inputs'!$B$14+'01_Inputs'!$B$15+'01_Inputs'!$B$16),2,0))</f>
        <v>1</v>
      </c>
      <c r="DH21" s="93">
        <f>IF(AND(MOD((109*24/6+2)-'03_Capacity_Model'!$B$95,'03_Capacity_Model'!$B$96)&gt;='01_Inputs'!$B$14,MOD((109*24/6+2)-'03_Capacity_Model'!$B$95,'03_Capacity_Model'!$B$96)&lt;('01_Inputs'!$B$14+'01_Inputs'!$B$15+'01_Inputs'!$B$16)),1,IF(MOD((109*24/6+2)-'03_Capacity_Model'!$B$95,'03_Capacity_Model'!$B$96)&gt;=('01_Inputs'!$B$14+'01_Inputs'!$B$15+'01_Inputs'!$B$16),2,0))</f>
        <v>1</v>
      </c>
      <c r="DI21" s="93">
        <f>IF(AND(MOD((110*24/6+2)-'03_Capacity_Model'!$B$95,'03_Capacity_Model'!$B$96)&gt;='01_Inputs'!$B$14,MOD((110*24/6+2)-'03_Capacity_Model'!$B$95,'03_Capacity_Model'!$B$96)&lt;('01_Inputs'!$B$14+'01_Inputs'!$B$15+'01_Inputs'!$B$16)),1,IF(MOD((110*24/6+2)-'03_Capacity_Model'!$B$95,'03_Capacity_Model'!$B$96)&gt;=('01_Inputs'!$B$14+'01_Inputs'!$B$15+'01_Inputs'!$B$16),2,0))</f>
        <v>1</v>
      </c>
      <c r="DJ21" s="93">
        <f>IF(AND(MOD((111*24/6+2)-'03_Capacity_Model'!$B$95,'03_Capacity_Model'!$B$96)&gt;='01_Inputs'!$B$14,MOD((111*24/6+2)-'03_Capacity_Model'!$B$95,'03_Capacity_Model'!$B$96)&lt;('01_Inputs'!$B$14+'01_Inputs'!$B$15+'01_Inputs'!$B$16)),1,IF(MOD((111*24/6+2)-'03_Capacity_Model'!$B$95,'03_Capacity_Model'!$B$96)&gt;=('01_Inputs'!$B$14+'01_Inputs'!$B$15+'01_Inputs'!$B$16),2,0))</f>
        <v>1</v>
      </c>
      <c r="DK21" s="93">
        <f>IF(AND(MOD((112*24/6+2)-'03_Capacity_Model'!$B$95,'03_Capacity_Model'!$B$96)&gt;='01_Inputs'!$B$14,MOD((112*24/6+2)-'03_Capacity_Model'!$B$95,'03_Capacity_Model'!$B$96)&lt;('01_Inputs'!$B$14+'01_Inputs'!$B$15+'01_Inputs'!$B$16)),1,IF(MOD((112*24/6+2)-'03_Capacity_Model'!$B$95,'03_Capacity_Model'!$B$96)&gt;=('01_Inputs'!$B$14+'01_Inputs'!$B$15+'01_Inputs'!$B$16),2,0))</f>
        <v>1</v>
      </c>
      <c r="DL21" s="93">
        <f>IF(AND(MOD((113*24/6+2)-'03_Capacity_Model'!$B$95,'03_Capacity_Model'!$B$96)&gt;='01_Inputs'!$B$14,MOD((113*24/6+2)-'03_Capacity_Model'!$B$95,'03_Capacity_Model'!$B$96)&lt;('01_Inputs'!$B$14+'01_Inputs'!$B$15+'01_Inputs'!$B$16)),1,IF(MOD((113*24/6+2)-'03_Capacity_Model'!$B$95,'03_Capacity_Model'!$B$96)&gt;=('01_Inputs'!$B$14+'01_Inputs'!$B$15+'01_Inputs'!$B$16),2,0))</f>
        <v>1</v>
      </c>
      <c r="DM21" s="93">
        <f>IF(AND(MOD((114*24/6+2)-'03_Capacity_Model'!$B$95,'03_Capacity_Model'!$B$96)&gt;='01_Inputs'!$B$14,MOD((114*24/6+2)-'03_Capacity_Model'!$B$95,'03_Capacity_Model'!$B$96)&lt;('01_Inputs'!$B$14+'01_Inputs'!$B$15+'01_Inputs'!$B$16)),1,IF(MOD((114*24/6+2)-'03_Capacity_Model'!$B$95,'03_Capacity_Model'!$B$96)&gt;=('01_Inputs'!$B$14+'01_Inputs'!$B$15+'01_Inputs'!$B$16),2,0))</f>
        <v>1</v>
      </c>
      <c r="DN21" s="93">
        <f>IF(AND(MOD((115*24/6+2)-'03_Capacity_Model'!$B$95,'03_Capacity_Model'!$B$96)&gt;='01_Inputs'!$B$14,MOD((115*24/6+2)-'03_Capacity_Model'!$B$95,'03_Capacity_Model'!$B$96)&lt;('01_Inputs'!$B$14+'01_Inputs'!$B$15+'01_Inputs'!$B$16)),1,IF(MOD((115*24/6+2)-'03_Capacity_Model'!$B$95,'03_Capacity_Model'!$B$96)&gt;=('01_Inputs'!$B$14+'01_Inputs'!$B$15+'01_Inputs'!$B$16),2,0))</f>
        <v>1</v>
      </c>
      <c r="DO21" s="93">
        <f>IF(AND(MOD((116*24/6+2)-'03_Capacity_Model'!$B$95,'03_Capacity_Model'!$B$96)&gt;='01_Inputs'!$B$14,MOD((116*24/6+2)-'03_Capacity_Model'!$B$95,'03_Capacity_Model'!$B$96)&lt;('01_Inputs'!$B$14+'01_Inputs'!$B$15+'01_Inputs'!$B$16)),1,IF(MOD((116*24/6+2)-'03_Capacity_Model'!$B$95,'03_Capacity_Model'!$B$96)&gt;=('01_Inputs'!$B$14+'01_Inputs'!$B$15+'01_Inputs'!$B$16),2,0))</f>
        <v>1</v>
      </c>
      <c r="DP21" s="93">
        <f>IF(AND(MOD((117*24/6+2)-'03_Capacity_Model'!$B$95,'03_Capacity_Model'!$B$96)&gt;='01_Inputs'!$B$14,MOD((117*24/6+2)-'03_Capacity_Model'!$B$95,'03_Capacity_Model'!$B$96)&lt;('01_Inputs'!$B$14+'01_Inputs'!$B$15+'01_Inputs'!$B$16)),1,IF(MOD((117*24/6+2)-'03_Capacity_Model'!$B$95,'03_Capacity_Model'!$B$96)&gt;=('01_Inputs'!$B$14+'01_Inputs'!$B$15+'01_Inputs'!$B$16),2,0))</f>
        <v>1</v>
      </c>
      <c r="DQ21" s="93">
        <f>IF(AND(MOD((118*24/6+2)-'03_Capacity_Model'!$B$95,'03_Capacity_Model'!$B$96)&gt;='01_Inputs'!$B$14,MOD((118*24/6+2)-'03_Capacity_Model'!$B$95,'03_Capacity_Model'!$B$96)&lt;('01_Inputs'!$B$14+'01_Inputs'!$B$15+'01_Inputs'!$B$16)),1,IF(MOD((118*24/6+2)-'03_Capacity_Model'!$B$95,'03_Capacity_Model'!$B$96)&gt;=('01_Inputs'!$B$14+'01_Inputs'!$B$15+'01_Inputs'!$B$16),2,0))</f>
        <v>1</v>
      </c>
      <c r="DR21" s="93">
        <f>IF(AND(MOD((119*24/6+2)-'03_Capacity_Model'!$B$95,'03_Capacity_Model'!$B$96)&gt;='01_Inputs'!$B$14,MOD((119*24/6+2)-'03_Capacity_Model'!$B$95,'03_Capacity_Model'!$B$96)&lt;('01_Inputs'!$B$14+'01_Inputs'!$B$15+'01_Inputs'!$B$16)),1,IF(MOD((119*24/6+2)-'03_Capacity_Model'!$B$95,'03_Capacity_Model'!$B$96)&gt;=('01_Inputs'!$B$14+'01_Inputs'!$B$15+'01_Inputs'!$B$16),2,0))</f>
        <v>2</v>
      </c>
      <c r="DS21" s="93">
        <f>IF(AND(MOD((120*24/6+2)-'03_Capacity_Model'!$B$95,'03_Capacity_Model'!$B$96)&gt;='01_Inputs'!$B$14,MOD((120*24/6+2)-'03_Capacity_Model'!$B$95,'03_Capacity_Model'!$B$96)&lt;('01_Inputs'!$B$14+'01_Inputs'!$B$15+'01_Inputs'!$B$16)),1,IF(MOD((120*24/6+2)-'03_Capacity_Model'!$B$95,'03_Capacity_Model'!$B$96)&gt;=('01_Inputs'!$B$14+'01_Inputs'!$B$15+'01_Inputs'!$B$16),2,0))</f>
        <v>2</v>
      </c>
      <c r="DT21" s="93">
        <f>IF(AND(MOD((121*24/6+2)-'03_Capacity_Model'!$B$95,'03_Capacity_Model'!$B$96)&gt;='01_Inputs'!$B$14,MOD((121*24/6+2)-'03_Capacity_Model'!$B$95,'03_Capacity_Model'!$B$96)&lt;('01_Inputs'!$B$14+'01_Inputs'!$B$15+'01_Inputs'!$B$16)),1,IF(MOD((121*24/6+2)-'03_Capacity_Model'!$B$95,'03_Capacity_Model'!$B$96)&gt;=('01_Inputs'!$B$14+'01_Inputs'!$B$15+'01_Inputs'!$B$16),2,0))</f>
        <v>2</v>
      </c>
      <c r="DU21" s="93">
        <f>IF(AND(MOD((122*24/6+2)-'03_Capacity_Model'!$B$95,'03_Capacity_Model'!$B$96)&gt;='01_Inputs'!$B$14,MOD((122*24/6+2)-'03_Capacity_Model'!$B$95,'03_Capacity_Model'!$B$96)&lt;('01_Inputs'!$B$14+'01_Inputs'!$B$15+'01_Inputs'!$B$16)),1,IF(MOD((122*24/6+2)-'03_Capacity_Model'!$B$95,'03_Capacity_Model'!$B$96)&gt;=('01_Inputs'!$B$14+'01_Inputs'!$B$15+'01_Inputs'!$B$16),2,0))</f>
        <v>2</v>
      </c>
      <c r="DV21" s="93">
        <f>IF(AND(MOD((123*24/6+2)-'03_Capacity_Model'!$B$95,'03_Capacity_Model'!$B$96)&gt;='01_Inputs'!$B$14,MOD((123*24/6+2)-'03_Capacity_Model'!$B$95,'03_Capacity_Model'!$B$96)&lt;('01_Inputs'!$B$14+'01_Inputs'!$B$15+'01_Inputs'!$B$16)),1,IF(MOD((123*24/6+2)-'03_Capacity_Model'!$B$95,'03_Capacity_Model'!$B$96)&gt;=('01_Inputs'!$B$14+'01_Inputs'!$B$15+'01_Inputs'!$B$16),2,0))</f>
        <v>2</v>
      </c>
      <c r="DW21" s="93">
        <f>IF(AND(MOD((124*24/6+2)-'03_Capacity_Model'!$B$95,'03_Capacity_Model'!$B$96)&gt;='01_Inputs'!$B$14,MOD((124*24/6+2)-'03_Capacity_Model'!$B$95,'03_Capacity_Model'!$B$96)&lt;('01_Inputs'!$B$14+'01_Inputs'!$B$15+'01_Inputs'!$B$16)),1,IF(MOD((124*24/6+2)-'03_Capacity_Model'!$B$95,'03_Capacity_Model'!$B$96)&gt;=('01_Inputs'!$B$14+'01_Inputs'!$B$15+'01_Inputs'!$B$16),2,0))</f>
        <v>1</v>
      </c>
      <c r="DX21" s="93">
        <f>IF(AND(MOD((125*24/6+2)-'03_Capacity_Model'!$B$95,'03_Capacity_Model'!$B$96)&gt;='01_Inputs'!$B$14,MOD((125*24/6+2)-'03_Capacity_Model'!$B$95,'03_Capacity_Model'!$B$96)&lt;('01_Inputs'!$B$14+'01_Inputs'!$B$15+'01_Inputs'!$B$16)),1,IF(MOD((125*24/6+2)-'03_Capacity_Model'!$B$95,'03_Capacity_Model'!$B$96)&gt;=('01_Inputs'!$B$14+'01_Inputs'!$B$15+'01_Inputs'!$B$16),2,0))</f>
        <v>1</v>
      </c>
      <c r="DY21" s="93">
        <f>IF(AND(MOD((126*24/6+2)-'03_Capacity_Model'!$B$95,'03_Capacity_Model'!$B$96)&gt;='01_Inputs'!$B$14,MOD((126*24/6+2)-'03_Capacity_Model'!$B$95,'03_Capacity_Model'!$B$96)&lt;('01_Inputs'!$B$14+'01_Inputs'!$B$15+'01_Inputs'!$B$16)),1,IF(MOD((126*24/6+2)-'03_Capacity_Model'!$B$95,'03_Capacity_Model'!$B$96)&gt;=('01_Inputs'!$B$14+'01_Inputs'!$B$15+'01_Inputs'!$B$16),2,0))</f>
        <v>1</v>
      </c>
      <c r="DZ21" s="93">
        <f>IF(AND(MOD((127*24/6+2)-'03_Capacity_Model'!$B$95,'03_Capacity_Model'!$B$96)&gt;='01_Inputs'!$B$14,MOD((127*24/6+2)-'03_Capacity_Model'!$B$95,'03_Capacity_Model'!$B$96)&lt;('01_Inputs'!$B$14+'01_Inputs'!$B$15+'01_Inputs'!$B$16)),1,IF(MOD((127*24/6+2)-'03_Capacity_Model'!$B$95,'03_Capacity_Model'!$B$96)&gt;=('01_Inputs'!$B$14+'01_Inputs'!$B$15+'01_Inputs'!$B$16),2,0))</f>
        <v>1</v>
      </c>
      <c r="EA21" s="93">
        <f>IF(AND(MOD((128*24/6+2)-'03_Capacity_Model'!$B$95,'03_Capacity_Model'!$B$96)&gt;='01_Inputs'!$B$14,MOD((128*24/6+2)-'03_Capacity_Model'!$B$95,'03_Capacity_Model'!$B$96)&lt;('01_Inputs'!$B$14+'01_Inputs'!$B$15+'01_Inputs'!$B$16)),1,IF(MOD((128*24/6+2)-'03_Capacity_Model'!$B$95,'03_Capacity_Model'!$B$96)&gt;=('01_Inputs'!$B$14+'01_Inputs'!$B$15+'01_Inputs'!$B$16),2,0))</f>
        <v>1</v>
      </c>
      <c r="EB21" s="93">
        <f>IF(AND(MOD((129*24/6+2)-'03_Capacity_Model'!$B$95,'03_Capacity_Model'!$B$96)&gt;='01_Inputs'!$B$14,MOD((129*24/6+2)-'03_Capacity_Model'!$B$95,'03_Capacity_Model'!$B$96)&lt;('01_Inputs'!$B$14+'01_Inputs'!$B$15+'01_Inputs'!$B$16)),1,IF(MOD((129*24/6+2)-'03_Capacity_Model'!$B$95,'03_Capacity_Model'!$B$96)&gt;=('01_Inputs'!$B$14+'01_Inputs'!$B$15+'01_Inputs'!$B$16),2,0))</f>
        <v>1</v>
      </c>
      <c r="EC21" s="93">
        <f>IF(AND(MOD((130*24/6+2)-'03_Capacity_Model'!$B$95,'03_Capacity_Model'!$B$96)&gt;='01_Inputs'!$B$14,MOD((130*24/6+2)-'03_Capacity_Model'!$B$95,'03_Capacity_Model'!$B$96)&lt;('01_Inputs'!$B$14+'01_Inputs'!$B$15+'01_Inputs'!$B$16)),1,IF(MOD((130*24/6+2)-'03_Capacity_Model'!$B$95,'03_Capacity_Model'!$B$96)&gt;=('01_Inputs'!$B$14+'01_Inputs'!$B$15+'01_Inputs'!$B$16),2,0))</f>
        <v>1</v>
      </c>
      <c r="ED21" s="93">
        <f>IF(AND(MOD((131*24/6+2)-'03_Capacity_Model'!$B$95,'03_Capacity_Model'!$B$96)&gt;='01_Inputs'!$B$14,MOD((131*24/6+2)-'03_Capacity_Model'!$B$95,'03_Capacity_Model'!$B$96)&lt;('01_Inputs'!$B$14+'01_Inputs'!$B$15+'01_Inputs'!$B$16)),1,IF(MOD((131*24/6+2)-'03_Capacity_Model'!$B$95,'03_Capacity_Model'!$B$96)&gt;=('01_Inputs'!$B$14+'01_Inputs'!$B$15+'01_Inputs'!$B$16),2,0))</f>
        <v>1</v>
      </c>
      <c r="EE21" s="93">
        <f>IF(AND(MOD((132*24/6+2)-'03_Capacity_Model'!$B$95,'03_Capacity_Model'!$B$96)&gt;='01_Inputs'!$B$14,MOD((132*24/6+2)-'03_Capacity_Model'!$B$95,'03_Capacity_Model'!$B$96)&lt;('01_Inputs'!$B$14+'01_Inputs'!$B$15+'01_Inputs'!$B$16)),1,IF(MOD((132*24/6+2)-'03_Capacity_Model'!$B$95,'03_Capacity_Model'!$B$96)&gt;=('01_Inputs'!$B$14+'01_Inputs'!$B$15+'01_Inputs'!$B$16),2,0))</f>
        <v>1</v>
      </c>
      <c r="EF21" s="93">
        <f>IF(AND(MOD((133*24/6+2)-'03_Capacity_Model'!$B$95,'03_Capacity_Model'!$B$96)&gt;='01_Inputs'!$B$14,MOD((133*24/6+2)-'03_Capacity_Model'!$B$95,'03_Capacity_Model'!$B$96)&lt;('01_Inputs'!$B$14+'01_Inputs'!$B$15+'01_Inputs'!$B$16)),1,IF(MOD((133*24/6+2)-'03_Capacity_Model'!$B$95,'03_Capacity_Model'!$B$96)&gt;=('01_Inputs'!$B$14+'01_Inputs'!$B$15+'01_Inputs'!$B$16),2,0))</f>
        <v>1</v>
      </c>
      <c r="EG21" s="93">
        <f>IF(AND(MOD((134*24/6+2)-'03_Capacity_Model'!$B$95,'03_Capacity_Model'!$B$96)&gt;='01_Inputs'!$B$14,MOD((134*24/6+2)-'03_Capacity_Model'!$B$95,'03_Capacity_Model'!$B$96)&lt;('01_Inputs'!$B$14+'01_Inputs'!$B$15+'01_Inputs'!$B$16)),1,IF(MOD((134*24/6+2)-'03_Capacity_Model'!$B$95,'03_Capacity_Model'!$B$96)&gt;=('01_Inputs'!$B$14+'01_Inputs'!$B$15+'01_Inputs'!$B$16),2,0))</f>
        <v>1</v>
      </c>
      <c r="EH21" s="93">
        <f>IF(AND(MOD((135*24/6+2)-'03_Capacity_Model'!$B$95,'03_Capacity_Model'!$B$96)&gt;='01_Inputs'!$B$14,MOD((135*24/6+2)-'03_Capacity_Model'!$B$95,'03_Capacity_Model'!$B$96)&lt;('01_Inputs'!$B$14+'01_Inputs'!$B$15+'01_Inputs'!$B$16)),1,IF(MOD((135*24/6+2)-'03_Capacity_Model'!$B$95,'03_Capacity_Model'!$B$96)&gt;=('01_Inputs'!$B$14+'01_Inputs'!$B$15+'01_Inputs'!$B$16),2,0))</f>
        <v>1</v>
      </c>
      <c r="EI21" s="93">
        <f>IF(AND(MOD((136*24/6+2)-'03_Capacity_Model'!$B$95,'03_Capacity_Model'!$B$96)&gt;='01_Inputs'!$B$14,MOD((136*24/6+2)-'03_Capacity_Model'!$B$95,'03_Capacity_Model'!$B$96)&lt;('01_Inputs'!$B$14+'01_Inputs'!$B$15+'01_Inputs'!$B$16)),1,IF(MOD((136*24/6+2)-'03_Capacity_Model'!$B$95,'03_Capacity_Model'!$B$96)&gt;=('01_Inputs'!$B$14+'01_Inputs'!$B$15+'01_Inputs'!$B$16),2,0))</f>
        <v>2</v>
      </c>
      <c r="EJ21" s="93">
        <f>IF(AND(MOD((137*24/6+2)-'03_Capacity_Model'!$B$95,'03_Capacity_Model'!$B$96)&gt;='01_Inputs'!$B$14,MOD((137*24/6+2)-'03_Capacity_Model'!$B$95,'03_Capacity_Model'!$B$96)&lt;('01_Inputs'!$B$14+'01_Inputs'!$B$15+'01_Inputs'!$B$16)),1,IF(MOD((137*24/6+2)-'03_Capacity_Model'!$B$95,'03_Capacity_Model'!$B$96)&gt;=('01_Inputs'!$B$14+'01_Inputs'!$B$15+'01_Inputs'!$B$16),2,0))</f>
        <v>2</v>
      </c>
      <c r="EK21" s="93">
        <f>IF(AND(MOD((138*24/6+2)-'03_Capacity_Model'!$B$95,'03_Capacity_Model'!$B$96)&gt;='01_Inputs'!$B$14,MOD((138*24/6+2)-'03_Capacity_Model'!$B$95,'03_Capacity_Model'!$B$96)&lt;('01_Inputs'!$B$14+'01_Inputs'!$B$15+'01_Inputs'!$B$16)),1,IF(MOD((138*24/6+2)-'03_Capacity_Model'!$B$95,'03_Capacity_Model'!$B$96)&gt;=('01_Inputs'!$B$14+'01_Inputs'!$B$15+'01_Inputs'!$B$16),2,0))</f>
        <v>2</v>
      </c>
      <c r="EL21" s="93">
        <f>IF(AND(MOD((139*24/6+2)-'03_Capacity_Model'!$B$95,'03_Capacity_Model'!$B$96)&gt;='01_Inputs'!$B$14,MOD((139*24/6+2)-'03_Capacity_Model'!$B$95,'03_Capacity_Model'!$B$96)&lt;('01_Inputs'!$B$14+'01_Inputs'!$B$15+'01_Inputs'!$B$16)),1,IF(MOD((139*24/6+2)-'03_Capacity_Model'!$B$95,'03_Capacity_Model'!$B$96)&gt;=('01_Inputs'!$B$14+'01_Inputs'!$B$15+'01_Inputs'!$B$16),2,0))</f>
        <v>2</v>
      </c>
      <c r="EM21" s="93">
        <f>IF(AND(MOD((140*24/6+2)-'03_Capacity_Model'!$B$95,'03_Capacity_Model'!$B$96)&gt;='01_Inputs'!$B$14,MOD((140*24/6+2)-'03_Capacity_Model'!$B$95,'03_Capacity_Model'!$B$96)&lt;('01_Inputs'!$B$14+'01_Inputs'!$B$15+'01_Inputs'!$B$16)),1,IF(MOD((140*24/6+2)-'03_Capacity_Model'!$B$95,'03_Capacity_Model'!$B$96)&gt;=('01_Inputs'!$B$14+'01_Inputs'!$B$15+'01_Inputs'!$B$16),2,0))</f>
        <v>0</v>
      </c>
      <c r="EN21" s="93">
        <f>IF(AND(MOD((141*24/6+2)-'03_Capacity_Model'!$B$95,'03_Capacity_Model'!$B$96)&gt;='01_Inputs'!$B$14,MOD((141*24/6+2)-'03_Capacity_Model'!$B$95,'03_Capacity_Model'!$B$96)&lt;('01_Inputs'!$B$14+'01_Inputs'!$B$15+'01_Inputs'!$B$16)),1,IF(MOD((141*24/6+2)-'03_Capacity_Model'!$B$95,'03_Capacity_Model'!$B$96)&gt;=('01_Inputs'!$B$14+'01_Inputs'!$B$15+'01_Inputs'!$B$16),2,0))</f>
        <v>1</v>
      </c>
      <c r="EO21" s="93">
        <f>IF(AND(MOD((142*24/6+2)-'03_Capacity_Model'!$B$95,'03_Capacity_Model'!$B$96)&gt;='01_Inputs'!$B$14,MOD((142*24/6+2)-'03_Capacity_Model'!$B$95,'03_Capacity_Model'!$B$96)&lt;('01_Inputs'!$B$14+'01_Inputs'!$B$15+'01_Inputs'!$B$16)),1,IF(MOD((142*24/6+2)-'03_Capacity_Model'!$B$95,'03_Capacity_Model'!$B$96)&gt;=('01_Inputs'!$B$14+'01_Inputs'!$B$15+'01_Inputs'!$B$16),2,0))</f>
        <v>1</v>
      </c>
      <c r="EP21" s="93">
        <f>IF(AND(MOD((143*24/6+2)-'03_Capacity_Model'!$B$95,'03_Capacity_Model'!$B$96)&gt;='01_Inputs'!$B$14,MOD((143*24/6+2)-'03_Capacity_Model'!$B$95,'03_Capacity_Model'!$B$96)&lt;('01_Inputs'!$B$14+'01_Inputs'!$B$15+'01_Inputs'!$B$16)),1,IF(MOD((143*24/6+2)-'03_Capacity_Model'!$B$95,'03_Capacity_Model'!$B$96)&gt;=('01_Inputs'!$B$14+'01_Inputs'!$B$15+'01_Inputs'!$B$16),2,0))</f>
        <v>1</v>
      </c>
      <c r="EQ21" s="93">
        <f>IF(AND(MOD((144*24/6+2)-'03_Capacity_Model'!$B$95,'03_Capacity_Model'!$B$96)&gt;='01_Inputs'!$B$14,MOD((144*24/6+2)-'03_Capacity_Model'!$B$95,'03_Capacity_Model'!$B$96)&lt;('01_Inputs'!$B$14+'01_Inputs'!$B$15+'01_Inputs'!$B$16)),1,IF(MOD((144*24/6+2)-'03_Capacity_Model'!$B$95,'03_Capacity_Model'!$B$96)&gt;=('01_Inputs'!$B$14+'01_Inputs'!$B$15+'01_Inputs'!$B$16),2,0))</f>
        <v>1</v>
      </c>
      <c r="ER21" s="93">
        <f>IF(AND(MOD((145*24/6+2)-'03_Capacity_Model'!$B$95,'03_Capacity_Model'!$B$96)&gt;='01_Inputs'!$B$14,MOD((145*24/6+2)-'03_Capacity_Model'!$B$95,'03_Capacity_Model'!$B$96)&lt;('01_Inputs'!$B$14+'01_Inputs'!$B$15+'01_Inputs'!$B$16)),1,IF(MOD((145*24/6+2)-'03_Capacity_Model'!$B$95,'03_Capacity_Model'!$B$96)&gt;=('01_Inputs'!$B$14+'01_Inputs'!$B$15+'01_Inputs'!$B$16),2,0))</f>
        <v>1</v>
      </c>
      <c r="ES21" s="93">
        <f>IF(AND(MOD((146*24/6+2)-'03_Capacity_Model'!$B$95,'03_Capacity_Model'!$B$96)&gt;='01_Inputs'!$B$14,MOD((146*24/6+2)-'03_Capacity_Model'!$B$95,'03_Capacity_Model'!$B$96)&lt;('01_Inputs'!$B$14+'01_Inputs'!$B$15+'01_Inputs'!$B$16)),1,IF(MOD((146*24/6+2)-'03_Capacity_Model'!$B$95,'03_Capacity_Model'!$B$96)&gt;=('01_Inputs'!$B$14+'01_Inputs'!$B$15+'01_Inputs'!$B$16),2,0))</f>
        <v>1</v>
      </c>
      <c r="ET21" s="93">
        <f>IF(AND(MOD((147*24/6+2)-'03_Capacity_Model'!$B$95,'03_Capacity_Model'!$B$96)&gt;='01_Inputs'!$B$14,MOD((147*24/6+2)-'03_Capacity_Model'!$B$95,'03_Capacity_Model'!$B$96)&lt;('01_Inputs'!$B$14+'01_Inputs'!$B$15+'01_Inputs'!$B$16)),1,IF(MOD((147*24/6+2)-'03_Capacity_Model'!$B$95,'03_Capacity_Model'!$B$96)&gt;=('01_Inputs'!$B$14+'01_Inputs'!$B$15+'01_Inputs'!$B$16),2,0))</f>
        <v>1</v>
      </c>
      <c r="EU21" s="93">
        <f>IF(AND(MOD((148*24/6+2)-'03_Capacity_Model'!$B$95,'03_Capacity_Model'!$B$96)&gt;='01_Inputs'!$B$14,MOD((148*24/6+2)-'03_Capacity_Model'!$B$95,'03_Capacity_Model'!$B$96)&lt;('01_Inputs'!$B$14+'01_Inputs'!$B$15+'01_Inputs'!$B$16)),1,IF(MOD((148*24/6+2)-'03_Capacity_Model'!$B$95,'03_Capacity_Model'!$B$96)&gt;=('01_Inputs'!$B$14+'01_Inputs'!$B$15+'01_Inputs'!$B$16),2,0))</f>
        <v>1</v>
      </c>
      <c r="EV21" s="93">
        <f>IF(AND(MOD((149*24/6+2)-'03_Capacity_Model'!$B$95,'03_Capacity_Model'!$B$96)&gt;='01_Inputs'!$B$14,MOD((149*24/6+2)-'03_Capacity_Model'!$B$95,'03_Capacity_Model'!$B$96)&lt;('01_Inputs'!$B$14+'01_Inputs'!$B$15+'01_Inputs'!$B$16)),1,IF(MOD((149*24/6+2)-'03_Capacity_Model'!$B$95,'03_Capacity_Model'!$B$96)&gt;=('01_Inputs'!$B$14+'01_Inputs'!$B$15+'01_Inputs'!$B$16),2,0))</f>
        <v>1</v>
      </c>
      <c r="EW21" s="93">
        <f>IF(AND(MOD((150*24/6+2)-'03_Capacity_Model'!$B$95,'03_Capacity_Model'!$B$96)&gt;='01_Inputs'!$B$14,MOD((150*24/6+2)-'03_Capacity_Model'!$B$95,'03_Capacity_Model'!$B$96)&lt;('01_Inputs'!$B$14+'01_Inputs'!$B$15+'01_Inputs'!$B$16)),1,IF(MOD((150*24/6+2)-'03_Capacity_Model'!$B$95,'03_Capacity_Model'!$B$96)&gt;=('01_Inputs'!$B$14+'01_Inputs'!$B$15+'01_Inputs'!$B$16),2,0))</f>
        <v>1</v>
      </c>
      <c r="EX21" s="93">
        <f>IF(AND(MOD((151*24/6+2)-'03_Capacity_Model'!$B$95,'03_Capacity_Model'!$B$96)&gt;='01_Inputs'!$B$14,MOD((151*24/6+2)-'03_Capacity_Model'!$B$95,'03_Capacity_Model'!$B$96)&lt;('01_Inputs'!$B$14+'01_Inputs'!$B$15+'01_Inputs'!$B$16)),1,IF(MOD((151*24/6+2)-'03_Capacity_Model'!$B$95,'03_Capacity_Model'!$B$96)&gt;=('01_Inputs'!$B$14+'01_Inputs'!$B$15+'01_Inputs'!$B$16),2,0))</f>
        <v>1</v>
      </c>
      <c r="EY21" s="93">
        <f>IF(AND(MOD((152*24/6+2)-'03_Capacity_Model'!$B$95,'03_Capacity_Model'!$B$96)&gt;='01_Inputs'!$B$14,MOD((152*24/6+2)-'03_Capacity_Model'!$B$95,'03_Capacity_Model'!$B$96)&lt;('01_Inputs'!$B$14+'01_Inputs'!$B$15+'01_Inputs'!$B$16)),1,IF(MOD((152*24/6+2)-'03_Capacity_Model'!$B$95,'03_Capacity_Model'!$B$96)&gt;=('01_Inputs'!$B$14+'01_Inputs'!$B$15+'01_Inputs'!$B$16),2,0))</f>
        <v>2</v>
      </c>
      <c r="EZ21" s="93">
        <f>IF(AND(MOD((153*24/6+2)-'03_Capacity_Model'!$B$95,'03_Capacity_Model'!$B$96)&gt;='01_Inputs'!$B$14,MOD((153*24/6+2)-'03_Capacity_Model'!$B$95,'03_Capacity_Model'!$B$96)&lt;('01_Inputs'!$B$14+'01_Inputs'!$B$15+'01_Inputs'!$B$16)),1,IF(MOD((153*24/6+2)-'03_Capacity_Model'!$B$95,'03_Capacity_Model'!$B$96)&gt;=('01_Inputs'!$B$14+'01_Inputs'!$B$15+'01_Inputs'!$B$16),2,0))</f>
        <v>2</v>
      </c>
      <c r="FA21" s="93">
        <f>IF(AND(MOD((154*24/6+2)-'03_Capacity_Model'!$B$95,'03_Capacity_Model'!$B$96)&gt;='01_Inputs'!$B$14,MOD((154*24/6+2)-'03_Capacity_Model'!$B$95,'03_Capacity_Model'!$B$96)&lt;('01_Inputs'!$B$14+'01_Inputs'!$B$15+'01_Inputs'!$B$16)),1,IF(MOD((154*24/6+2)-'03_Capacity_Model'!$B$95,'03_Capacity_Model'!$B$96)&gt;=('01_Inputs'!$B$14+'01_Inputs'!$B$15+'01_Inputs'!$B$16),2,0))</f>
        <v>2</v>
      </c>
      <c r="FB21" s="93">
        <f>IF(AND(MOD((155*24/6+2)-'03_Capacity_Model'!$B$95,'03_Capacity_Model'!$B$96)&gt;='01_Inputs'!$B$14,MOD((155*24/6+2)-'03_Capacity_Model'!$B$95,'03_Capacity_Model'!$B$96)&lt;('01_Inputs'!$B$14+'01_Inputs'!$B$15+'01_Inputs'!$B$16)),1,IF(MOD((155*24/6+2)-'03_Capacity_Model'!$B$95,'03_Capacity_Model'!$B$96)&gt;=('01_Inputs'!$B$14+'01_Inputs'!$B$15+'01_Inputs'!$B$16),2,0))</f>
        <v>2</v>
      </c>
      <c r="FC21" s="93">
        <f>IF(AND(MOD((156*24/6+2)-'03_Capacity_Model'!$B$95,'03_Capacity_Model'!$B$96)&gt;='01_Inputs'!$B$14,MOD((156*24/6+2)-'03_Capacity_Model'!$B$95,'03_Capacity_Model'!$B$96)&lt;('01_Inputs'!$B$14+'01_Inputs'!$B$15+'01_Inputs'!$B$16)),1,IF(MOD((156*24/6+2)-'03_Capacity_Model'!$B$95,'03_Capacity_Model'!$B$96)&gt;=('01_Inputs'!$B$14+'01_Inputs'!$B$15+'01_Inputs'!$B$16),2,0))</f>
        <v>2</v>
      </c>
      <c r="FD21" s="93">
        <f>IF(AND(MOD((157*24/6+2)-'03_Capacity_Model'!$B$95,'03_Capacity_Model'!$B$96)&gt;='01_Inputs'!$B$14,MOD((157*24/6+2)-'03_Capacity_Model'!$B$95,'03_Capacity_Model'!$B$96)&lt;('01_Inputs'!$B$14+'01_Inputs'!$B$15+'01_Inputs'!$B$16)),1,IF(MOD((157*24/6+2)-'03_Capacity_Model'!$B$95,'03_Capacity_Model'!$B$96)&gt;=('01_Inputs'!$B$14+'01_Inputs'!$B$15+'01_Inputs'!$B$16),2,0))</f>
        <v>1</v>
      </c>
      <c r="FE21" s="93">
        <f>IF(AND(MOD((158*24/6+2)-'03_Capacity_Model'!$B$95,'03_Capacity_Model'!$B$96)&gt;='01_Inputs'!$B$14,MOD((158*24/6+2)-'03_Capacity_Model'!$B$95,'03_Capacity_Model'!$B$96)&lt;('01_Inputs'!$B$14+'01_Inputs'!$B$15+'01_Inputs'!$B$16)),1,IF(MOD((158*24/6+2)-'03_Capacity_Model'!$B$95,'03_Capacity_Model'!$B$96)&gt;=('01_Inputs'!$B$14+'01_Inputs'!$B$15+'01_Inputs'!$B$16),2,0))</f>
        <v>1</v>
      </c>
      <c r="FF21" s="93">
        <f>IF(AND(MOD((159*24/6+2)-'03_Capacity_Model'!$B$95,'03_Capacity_Model'!$B$96)&gt;='01_Inputs'!$B$14,MOD((159*24/6+2)-'03_Capacity_Model'!$B$95,'03_Capacity_Model'!$B$96)&lt;('01_Inputs'!$B$14+'01_Inputs'!$B$15+'01_Inputs'!$B$16)),1,IF(MOD((159*24/6+2)-'03_Capacity_Model'!$B$95,'03_Capacity_Model'!$B$96)&gt;=('01_Inputs'!$B$14+'01_Inputs'!$B$15+'01_Inputs'!$B$16),2,0))</f>
        <v>1</v>
      </c>
      <c r="FG21" s="93">
        <f>IF(AND(MOD((160*24/6+2)-'03_Capacity_Model'!$B$95,'03_Capacity_Model'!$B$96)&gt;='01_Inputs'!$B$14,MOD((160*24/6+2)-'03_Capacity_Model'!$B$95,'03_Capacity_Model'!$B$96)&lt;('01_Inputs'!$B$14+'01_Inputs'!$B$15+'01_Inputs'!$B$16)),1,IF(MOD((160*24/6+2)-'03_Capacity_Model'!$B$95,'03_Capacity_Model'!$B$96)&gt;=('01_Inputs'!$B$14+'01_Inputs'!$B$15+'01_Inputs'!$B$16),2,0))</f>
        <v>1</v>
      </c>
      <c r="FH21" s="93">
        <f>IF(AND(MOD((161*24/6+2)-'03_Capacity_Model'!$B$95,'03_Capacity_Model'!$B$96)&gt;='01_Inputs'!$B$14,MOD((161*24/6+2)-'03_Capacity_Model'!$B$95,'03_Capacity_Model'!$B$96)&lt;('01_Inputs'!$B$14+'01_Inputs'!$B$15+'01_Inputs'!$B$16)),1,IF(MOD((161*24/6+2)-'03_Capacity_Model'!$B$95,'03_Capacity_Model'!$B$96)&gt;=('01_Inputs'!$B$14+'01_Inputs'!$B$15+'01_Inputs'!$B$16),2,0))</f>
        <v>1</v>
      </c>
      <c r="FI21" s="93">
        <f>IF(AND(MOD((162*24/6+2)-'03_Capacity_Model'!$B$95,'03_Capacity_Model'!$B$96)&gt;='01_Inputs'!$B$14,MOD((162*24/6+2)-'03_Capacity_Model'!$B$95,'03_Capacity_Model'!$B$96)&lt;('01_Inputs'!$B$14+'01_Inputs'!$B$15+'01_Inputs'!$B$16)),1,IF(MOD((162*24/6+2)-'03_Capacity_Model'!$B$95,'03_Capacity_Model'!$B$96)&gt;=('01_Inputs'!$B$14+'01_Inputs'!$B$15+'01_Inputs'!$B$16),2,0))</f>
        <v>1</v>
      </c>
      <c r="FJ21" s="93">
        <f>IF(AND(MOD((163*24/6+2)-'03_Capacity_Model'!$B$95,'03_Capacity_Model'!$B$96)&gt;='01_Inputs'!$B$14,MOD((163*24/6+2)-'03_Capacity_Model'!$B$95,'03_Capacity_Model'!$B$96)&lt;('01_Inputs'!$B$14+'01_Inputs'!$B$15+'01_Inputs'!$B$16)),1,IF(MOD((163*24/6+2)-'03_Capacity_Model'!$B$95,'03_Capacity_Model'!$B$96)&gt;=('01_Inputs'!$B$14+'01_Inputs'!$B$15+'01_Inputs'!$B$16),2,0))</f>
        <v>1</v>
      </c>
      <c r="FK21" s="93">
        <f>IF(AND(MOD((164*24/6+2)-'03_Capacity_Model'!$B$95,'03_Capacity_Model'!$B$96)&gt;='01_Inputs'!$B$14,MOD((164*24/6+2)-'03_Capacity_Model'!$B$95,'03_Capacity_Model'!$B$96)&lt;('01_Inputs'!$B$14+'01_Inputs'!$B$15+'01_Inputs'!$B$16)),1,IF(MOD((164*24/6+2)-'03_Capacity_Model'!$B$95,'03_Capacity_Model'!$B$96)&gt;=('01_Inputs'!$B$14+'01_Inputs'!$B$15+'01_Inputs'!$B$16),2,0))</f>
        <v>1</v>
      </c>
      <c r="FL21" s="93">
        <f>IF(AND(MOD((165*24/6+2)-'03_Capacity_Model'!$B$95,'03_Capacity_Model'!$B$96)&gt;='01_Inputs'!$B$14,MOD((165*24/6+2)-'03_Capacity_Model'!$B$95,'03_Capacity_Model'!$B$96)&lt;('01_Inputs'!$B$14+'01_Inputs'!$B$15+'01_Inputs'!$B$16)),1,IF(MOD((165*24/6+2)-'03_Capacity_Model'!$B$95,'03_Capacity_Model'!$B$96)&gt;=('01_Inputs'!$B$14+'01_Inputs'!$B$15+'01_Inputs'!$B$16),2,0))</f>
        <v>1</v>
      </c>
      <c r="FM21" s="93">
        <f>IF(AND(MOD((166*24/6+2)-'03_Capacity_Model'!$B$95,'03_Capacity_Model'!$B$96)&gt;='01_Inputs'!$B$14,MOD((166*24/6+2)-'03_Capacity_Model'!$B$95,'03_Capacity_Model'!$B$96)&lt;('01_Inputs'!$B$14+'01_Inputs'!$B$15+'01_Inputs'!$B$16)),1,IF(MOD((166*24/6+2)-'03_Capacity_Model'!$B$95,'03_Capacity_Model'!$B$96)&gt;=('01_Inputs'!$B$14+'01_Inputs'!$B$15+'01_Inputs'!$B$16),2,0))</f>
        <v>1</v>
      </c>
      <c r="FN21" s="93">
        <f>IF(AND(MOD((167*24/6+2)-'03_Capacity_Model'!$B$95,'03_Capacity_Model'!$B$96)&gt;='01_Inputs'!$B$14,MOD((167*24/6+2)-'03_Capacity_Model'!$B$95,'03_Capacity_Model'!$B$96)&lt;('01_Inputs'!$B$14+'01_Inputs'!$B$15+'01_Inputs'!$B$16)),1,IF(MOD((167*24/6+2)-'03_Capacity_Model'!$B$95,'03_Capacity_Model'!$B$96)&gt;=('01_Inputs'!$B$14+'01_Inputs'!$B$15+'01_Inputs'!$B$16),2,0))</f>
        <v>1</v>
      </c>
      <c r="FO21" s="93">
        <f>IF(AND(MOD((168*24/6+2)-'03_Capacity_Model'!$B$95,'03_Capacity_Model'!$B$96)&gt;='01_Inputs'!$B$14,MOD((168*24/6+2)-'03_Capacity_Model'!$B$95,'03_Capacity_Model'!$B$96)&lt;('01_Inputs'!$B$14+'01_Inputs'!$B$15+'01_Inputs'!$B$16)),1,IF(MOD((168*24/6+2)-'03_Capacity_Model'!$B$95,'03_Capacity_Model'!$B$96)&gt;=('01_Inputs'!$B$14+'01_Inputs'!$B$15+'01_Inputs'!$B$16),2,0))</f>
        <v>1</v>
      </c>
      <c r="FP21" s="93">
        <f>IF(AND(MOD((169*24/6+2)-'03_Capacity_Model'!$B$95,'03_Capacity_Model'!$B$96)&gt;='01_Inputs'!$B$14,MOD((169*24/6+2)-'03_Capacity_Model'!$B$95,'03_Capacity_Model'!$B$96)&lt;('01_Inputs'!$B$14+'01_Inputs'!$B$15+'01_Inputs'!$B$16)),1,IF(MOD((169*24/6+2)-'03_Capacity_Model'!$B$95,'03_Capacity_Model'!$B$96)&gt;=('01_Inputs'!$B$14+'01_Inputs'!$B$15+'01_Inputs'!$B$16),2,0))</f>
        <v>2</v>
      </c>
      <c r="FQ21" s="93">
        <f>IF(AND(MOD((170*24/6+2)-'03_Capacity_Model'!$B$95,'03_Capacity_Model'!$B$96)&gt;='01_Inputs'!$B$14,MOD((170*24/6+2)-'03_Capacity_Model'!$B$95,'03_Capacity_Model'!$B$96)&lt;('01_Inputs'!$B$14+'01_Inputs'!$B$15+'01_Inputs'!$B$16)),1,IF(MOD((170*24/6+2)-'03_Capacity_Model'!$B$95,'03_Capacity_Model'!$B$96)&gt;=('01_Inputs'!$B$14+'01_Inputs'!$B$15+'01_Inputs'!$B$16),2,0))</f>
        <v>2</v>
      </c>
      <c r="FR21" s="93">
        <f>IF(AND(MOD((171*24/6+2)-'03_Capacity_Model'!$B$95,'03_Capacity_Model'!$B$96)&gt;='01_Inputs'!$B$14,MOD((171*24/6+2)-'03_Capacity_Model'!$B$95,'03_Capacity_Model'!$B$96)&lt;('01_Inputs'!$B$14+'01_Inputs'!$B$15+'01_Inputs'!$B$16)),1,IF(MOD((171*24/6+2)-'03_Capacity_Model'!$B$95,'03_Capacity_Model'!$B$96)&gt;=('01_Inputs'!$B$14+'01_Inputs'!$B$15+'01_Inputs'!$B$16),2,0))</f>
        <v>2</v>
      </c>
      <c r="FS21" s="93">
        <f>IF(AND(MOD((172*24/6+2)-'03_Capacity_Model'!$B$95,'03_Capacity_Model'!$B$96)&gt;='01_Inputs'!$B$14,MOD((172*24/6+2)-'03_Capacity_Model'!$B$95,'03_Capacity_Model'!$B$96)&lt;('01_Inputs'!$B$14+'01_Inputs'!$B$15+'01_Inputs'!$B$16)),1,IF(MOD((172*24/6+2)-'03_Capacity_Model'!$B$95,'03_Capacity_Model'!$B$96)&gt;=('01_Inputs'!$B$14+'01_Inputs'!$B$15+'01_Inputs'!$B$16),2,0))</f>
        <v>2</v>
      </c>
      <c r="FT21" s="93">
        <f>IF(AND(MOD((173*24/6+2)-'03_Capacity_Model'!$B$95,'03_Capacity_Model'!$B$96)&gt;='01_Inputs'!$B$14,MOD((173*24/6+2)-'03_Capacity_Model'!$B$95,'03_Capacity_Model'!$B$96)&lt;('01_Inputs'!$B$14+'01_Inputs'!$B$15+'01_Inputs'!$B$16)),1,IF(MOD((173*24/6+2)-'03_Capacity_Model'!$B$95,'03_Capacity_Model'!$B$96)&gt;=('01_Inputs'!$B$14+'01_Inputs'!$B$15+'01_Inputs'!$B$16),2,0))</f>
        <v>0</v>
      </c>
      <c r="FU21" s="93">
        <f>IF(AND(MOD((174*24/6+2)-'03_Capacity_Model'!$B$95,'03_Capacity_Model'!$B$96)&gt;='01_Inputs'!$B$14,MOD((174*24/6+2)-'03_Capacity_Model'!$B$95,'03_Capacity_Model'!$B$96)&lt;('01_Inputs'!$B$14+'01_Inputs'!$B$15+'01_Inputs'!$B$16)),1,IF(MOD((174*24/6+2)-'03_Capacity_Model'!$B$95,'03_Capacity_Model'!$B$96)&gt;=('01_Inputs'!$B$14+'01_Inputs'!$B$15+'01_Inputs'!$B$16),2,0))</f>
        <v>1</v>
      </c>
      <c r="FV21" s="93">
        <f>IF(AND(MOD((175*24/6+2)-'03_Capacity_Model'!$B$95,'03_Capacity_Model'!$B$96)&gt;='01_Inputs'!$B$14,MOD((175*24/6+2)-'03_Capacity_Model'!$B$95,'03_Capacity_Model'!$B$96)&lt;('01_Inputs'!$B$14+'01_Inputs'!$B$15+'01_Inputs'!$B$16)),1,IF(MOD((175*24/6+2)-'03_Capacity_Model'!$B$95,'03_Capacity_Model'!$B$96)&gt;=('01_Inputs'!$B$14+'01_Inputs'!$B$15+'01_Inputs'!$B$16),2,0))</f>
        <v>1</v>
      </c>
      <c r="FW21" s="93">
        <f>IF(AND(MOD((176*24/6+2)-'03_Capacity_Model'!$B$95,'03_Capacity_Model'!$B$96)&gt;='01_Inputs'!$B$14,MOD((176*24/6+2)-'03_Capacity_Model'!$B$95,'03_Capacity_Model'!$B$96)&lt;('01_Inputs'!$B$14+'01_Inputs'!$B$15+'01_Inputs'!$B$16)),1,IF(MOD((176*24/6+2)-'03_Capacity_Model'!$B$95,'03_Capacity_Model'!$B$96)&gt;=('01_Inputs'!$B$14+'01_Inputs'!$B$15+'01_Inputs'!$B$16),2,0))</f>
        <v>1</v>
      </c>
      <c r="FX21" s="93">
        <f>IF(AND(MOD((177*24/6+2)-'03_Capacity_Model'!$B$95,'03_Capacity_Model'!$B$96)&gt;='01_Inputs'!$B$14,MOD((177*24/6+2)-'03_Capacity_Model'!$B$95,'03_Capacity_Model'!$B$96)&lt;('01_Inputs'!$B$14+'01_Inputs'!$B$15+'01_Inputs'!$B$16)),1,IF(MOD((177*24/6+2)-'03_Capacity_Model'!$B$95,'03_Capacity_Model'!$B$96)&gt;=('01_Inputs'!$B$14+'01_Inputs'!$B$15+'01_Inputs'!$B$16),2,0))</f>
        <v>1</v>
      </c>
      <c r="FY21" s="93">
        <f>IF(AND(MOD((178*24/6+2)-'03_Capacity_Model'!$B$95,'03_Capacity_Model'!$B$96)&gt;='01_Inputs'!$B$14,MOD((178*24/6+2)-'03_Capacity_Model'!$B$95,'03_Capacity_Model'!$B$96)&lt;('01_Inputs'!$B$14+'01_Inputs'!$B$15+'01_Inputs'!$B$16)),1,IF(MOD((178*24/6+2)-'03_Capacity_Model'!$B$95,'03_Capacity_Model'!$B$96)&gt;=('01_Inputs'!$B$14+'01_Inputs'!$B$15+'01_Inputs'!$B$16),2,0))</f>
        <v>1</v>
      </c>
      <c r="FZ21" s="93">
        <f>IF(AND(MOD((179*24/6+2)-'03_Capacity_Model'!$B$95,'03_Capacity_Model'!$B$96)&gt;='01_Inputs'!$B$14,MOD((179*24/6+2)-'03_Capacity_Model'!$B$95,'03_Capacity_Model'!$B$96)&lt;('01_Inputs'!$B$14+'01_Inputs'!$B$15+'01_Inputs'!$B$16)),1,IF(MOD((179*24/6+2)-'03_Capacity_Model'!$B$95,'03_Capacity_Model'!$B$96)&gt;=('01_Inputs'!$B$14+'01_Inputs'!$B$15+'01_Inputs'!$B$16),2,0))</f>
        <v>1</v>
      </c>
    </row>
    <row r="22" ht="11" customHeight="1">
      <c r="B22" s="92" t="inlineStr">
        <is>
          <t>PQC·이송·FQC</t>
        </is>
      </c>
      <c r="C22" s="93">
        <f>IF(OR(AND(MOD((0*24/6+2)-0,'03_Capacity_Model'!$B$96)&gt;=('01_Inputs'!$B$14+'01_Inputs'!$B$15+'01_Inputs'!$B$16),MOD((0*24/6+2)-0,'03_Capacity_Model'!$B$96)&lt;(('01_Inputs'!$B$14+'01_Inputs'!$B$15+'01_Inputs'!$B$16)+'01_Inputs'!$B$17+'01_Inputs'!$B$18)),AND(MOD((0*24/6+2)-'03_Capacity_Model'!$B$95,'03_Capacity_Model'!$B$96)&gt;=('01_Inputs'!$B$14+'01_Inputs'!$B$15+'01_Inputs'!$B$16),MOD((0*24/6+2)-'03_Capacity_Model'!$B$95,'03_Capacity_Model'!$B$96)&lt;(('01_Inputs'!$B$14+'01_Inputs'!$B$15+'01_Inputs'!$B$16)+'01_Inputs'!$B$17+'01_Inputs'!$B$18))),3,0)</f>
        <v>0</v>
      </c>
      <c r="D22" s="93">
        <f>IF(OR(AND(MOD((1*24/6+2)-0,'03_Capacity_Model'!$B$96)&gt;=('01_Inputs'!$B$14+'01_Inputs'!$B$15+'01_Inputs'!$B$16),MOD((1*24/6+2)-0,'03_Capacity_Model'!$B$96)&lt;(('01_Inputs'!$B$14+'01_Inputs'!$B$15+'01_Inputs'!$B$16)+'01_Inputs'!$B$17+'01_Inputs'!$B$18)),AND(MOD((1*24/6+2)-'03_Capacity_Model'!$B$95,'03_Capacity_Model'!$B$96)&gt;=('01_Inputs'!$B$14+'01_Inputs'!$B$15+'01_Inputs'!$B$16),MOD((1*24/6+2)-'03_Capacity_Model'!$B$95,'03_Capacity_Model'!$B$96)&lt;(('01_Inputs'!$B$14+'01_Inputs'!$B$15+'01_Inputs'!$B$16)+'01_Inputs'!$B$17+'01_Inputs'!$B$18))),3,0)</f>
        <v>0</v>
      </c>
      <c r="E22" s="93">
        <f>IF(OR(AND(MOD((2*24/6+2)-0,'03_Capacity_Model'!$B$96)&gt;=('01_Inputs'!$B$14+'01_Inputs'!$B$15+'01_Inputs'!$B$16),MOD((2*24/6+2)-0,'03_Capacity_Model'!$B$96)&lt;(('01_Inputs'!$B$14+'01_Inputs'!$B$15+'01_Inputs'!$B$16)+'01_Inputs'!$B$17+'01_Inputs'!$B$18)),AND(MOD((2*24/6+2)-'03_Capacity_Model'!$B$95,'03_Capacity_Model'!$B$96)&gt;=('01_Inputs'!$B$14+'01_Inputs'!$B$15+'01_Inputs'!$B$16),MOD((2*24/6+2)-'03_Capacity_Model'!$B$95,'03_Capacity_Model'!$B$96)&lt;(('01_Inputs'!$B$14+'01_Inputs'!$B$15+'01_Inputs'!$B$16)+'01_Inputs'!$B$17+'01_Inputs'!$B$18))),3,0)</f>
        <v>0</v>
      </c>
      <c r="F22" s="93">
        <f>IF(OR(AND(MOD((3*24/6+2)-0,'03_Capacity_Model'!$B$96)&gt;=('01_Inputs'!$B$14+'01_Inputs'!$B$15+'01_Inputs'!$B$16),MOD((3*24/6+2)-0,'03_Capacity_Model'!$B$96)&lt;(('01_Inputs'!$B$14+'01_Inputs'!$B$15+'01_Inputs'!$B$16)+'01_Inputs'!$B$17+'01_Inputs'!$B$18)),AND(MOD((3*24/6+2)-'03_Capacity_Model'!$B$95,'03_Capacity_Model'!$B$96)&gt;=('01_Inputs'!$B$14+'01_Inputs'!$B$15+'01_Inputs'!$B$16),MOD((3*24/6+2)-'03_Capacity_Model'!$B$95,'03_Capacity_Model'!$B$96)&lt;(('01_Inputs'!$B$14+'01_Inputs'!$B$15+'01_Inputs'!$B$16)+'01_Inputs'!$B$17+'01_Inputs'!$B$18))),3,0)</f>
        <v>3</v>
      </c>
      <c r="G22" s="93">
        <f>IF(OR(AND(MOD((4*24/6+2)-0,'03_Capacity_Model'!$B$96)&gt;=('01_Inputs'!$B$14+'01_Inputs'!$B$15+'01_Inputs'!$B$16),MOD((4*24/6+2)-0,'03_Capacity_Model'!$B$96)&lt;(('01_Inputs'!$B$14+'01_Inputs'!$B$15+'01_Inputs'!$B$16)+'01_Inputs'!$B$17+'01_Inputs'!$B$18)),AND(MOD((4*24/6+2)-'03_Capacity_Model'!$B$95,'03_Capacity_Model'!$B$96)&gt;=('01_Inputs'!$B$14+'01_Inputs'!$B$15+'01_Inputs'!$B$16),MOD((4*24/6+2)-'03_Capacity_Model'!$B$95,'03_Capacity_Model'!$B$96)&lt;(('01_Inputs'!$B$14+'01_Inputs'!$B$15+'01_Inputs'!$B$16)+'01_Inputs'!$B$17+'01_Inputs'!$B$18))),3,0)</f>
        <v>3</v>
      </c>
      <c r="H22" s="93">
        <f>IF(OR(AND(MOD((5*24/6+2)-0,'03_Capacity_Model'!$B$96)&gt;=('01_Inputs'!$B$14+'01_Inputs'!$B$15+'01_Inputs'!$B$16),MOD((5*24/6+2)-0,'03_Capacity_Model'!$B$96)&lt;(('01_Inputs'!$B$14+'01_Inputs'!$B$15+'01_Inputs'!$B$16)+'01_Inputs'!$B$17+'01_Inputs'!$B$18)),AND(MOD((5*24/6+2)-'03_Capacity_Model'!$B$95,'03_Capacity_Model'!$B$96)&gt;=('01_Inputs'!$B$14+'01_Inputs'!$B$15+'01_Inputs'!$B$16),MOD((5*24/6+2)-'03_Capacity_Model'!$B$95,'03_Capacity_Model'!$B$96)&lt;(('01_Inputs'!$B$14+'01_Inputs'!$B$15+'01_Inputs'!$B$16)+'01_Inputs'!$B$17+'01_Inputs'!$B$18))),3,0)</f>
        <v>0</v>
      </c>
      <c r="I22" s="93">
        <f>IF(OR(AND(MOD((6*24/6+2)-0,'03_Capacity_Model'!$B$96)&gt;=('01_Inputs'!$B$14+'01_Inputs'!$B$15+'01_Inputs'!$B$16),MOD((6*24/6+2)-0,'03_Capacity_Model'!$B$96)&lt;(('01_Inputs'!$B$14+'01_Inputs'!$B$15+'01_Inputs'!$B$16)+'01_Inputs'!$B$17+'01_Inputs'!$B$18)),AND(MOD((6*24/6+2)-'03_Capacity_Model'!$B$95,'03_Capacity_Model'!$B$96)&gt;=('01_Inputs'!$B$14+'01_Inputs'!$B$15+'01_Inputs'!$B$16),MOD((6*24/6+2)-'03_Capacity_Model'!$B$95,'03_Capacity_Model'!$B$96)&lt;(('01_Inputs'!$B$14+'01_Inputs'!$B$15+'01_Inputs'!$B$16)+'01_Inputs'!$B$17+'01_Inputs'!$B$18))),3,0)</f>
        <v>0</v>
      </c>
      <c r="J22" s="93">
        <f>IF(OR(AND(MOD((7*24/6+2)-0,'03_Capacity_Model'!$B$96)&gt;=('01_Inputs'!$B$14+'01_Inputs'!$B$15+'01_Inputs'!$B$16),MOD((7*24/6+2)-0,'03_Capacity_Model'!$B$96)&lt;(('01_Inputs'!$B$14+'01_Inputs'!$B$15+'01_Inputs'!$B$16)+'01_Inputs'!$B$17+'01_Inputs'!$B$18)),AND(MOD((7*24/6+2)-'03_Capacity_Model'!$B$95,'03_Capacity_Model'!$B$96)&gt;=('01_Inputs'!$B$14+'01_Inputs'!$B$15+'01_Inputs'!$B$16),MOD((7*24/6+2)-'03_Capacity_Model'!$B$95,'03_Capacity_Model'!$B$96)&lt;(('01_Inputs'!$B$14+'01_Inputs'!$B$15+'01_Inputs'!$B$16)+'01_Inputs'!$B$17+'01_Inputs'!$B$18))),3,0)</f>
        <v>0</v>
      </c>
      <c r="K22" s="93">
        <f>IF(OR(AND(MOD((8*24/6+2)-0,'03_Capacity_Model'!$B$96)&gt;=('01_Inputs'!$B$14+'01_Inputs'!$B$15+'01_Inputs'!$B$16),MOD((8*24/6+2)-0,'03_Capacity_Model'!$B$96)&lt;(('01_Inputs'!$B$14+'01_Inputs'!$B$15+'01_Inputs'!$B$16)+'01_Inputs'!$B$17+'01_Inputs'!$B$18)),AND(MOD((8*24/6+2)-'03_Capacity_Model'!$B$95,'03_Capacity_Model'!$B$96)&gt;=('01_Inputs'!$B$14+'01_Inputs'!$B$15+'01_Inputs'!$B$16),MOD((8*24/6+2)-'03_Capacity_Model'!$B$95,'03_Capacity_Model'!$B$96)&lt;(('01_Inputs'!$B$14+'01_Inputs'!$B$15+'01_Inputs'!$B$16)+'01_Inputs'!$B$17+'01_Inputs'!$B$18))),3,0)</f>
        <v>0</v>
      </c>
      <c r="L22" s="93">
        <f>IF(OR(AND(MOD((9*24/6+2)-0,'03_Capacity_Model'!$B$96)&gt;=('01_Inputs'!$B$14+'01_Inputs'!$B$15+'01_Inputs'!$B$16),MOD((9*24/6+2)-0,'03_Capacity_Model'!$B$96)&lt;(('01_Inputs'!$B$14+'01_Inputs'!$B$15+'01_Inputs'!$B$16)+'01_Inputs'!$B$17+'01_Inputs'!$B$18)),AND(MOD((9*24/6+2)-'03_Capacity_Model'!$B$95,'03_Capacity_Model'!$B$96)&gt;=('01_Inputs'!$B$14+'01_Inputs'!$B$15+'01_Inputs'!$B$16),MOD((9*24/6+2)-'03_Capacity_Model'!$B$95,'03_Capacity_Model'!$B$96)&lt;(('01_Inputs'!$B$14+'01_Inputs'!$B$15+'01_Inputs'!$B$16)+'01_Inputs'!$B$17+'01_Inputs'!$B$18))),3,0)</f>
        <v>0</v>
      </c>
      <c r="M22" s="93">
        <f>IF(OR(AND(MOD((10*24/6+2)-0,'03_Capacity_Model'!$B$96)&gt;=('01_Inputs'!$B$14+'01_Inputs'!$B$15+'01_Inputs'!$B$16),MOD((10*24/6+2)-0,'03_Capacity_Model'!$B$96)&lt;(('01_Inputs'!$B$14+'01_Inputs'!$B$15+'01_Inputs'!$B$16)+'01_Inputs'!$B$17+'01_Inputs'!$B$18)),AND(MOD((10*24/6+2)-'03_Capacity_Model'!$B$95,'03_Capacity_Model'!$B$96)&gt;=('01_Inputs'!$B$14+'01_Inputs'!$B$15+'01_Inputs'!$B$16),MOD((10*24/6+2)-'03_Capacity_Model'!$B$95,'03_Capacity_Model'!$B$96)&lt;(('01_Inputs'!$B$14+'01_Inputs'!$B$15+'01_Inputs'!$B$16)+'01_Inputs'!$B$17+'01_Inputs'!$B$18))),3,0)</f>
        <v>0</v>
      </c>
      <c r="N22" s="93">
        <f>IF(OR(AND(MOD((11*24/6+2)-0,'03_Capacity_Model'!$B$96)&gt;=('01_Inputs'!$B$14+'01_Inputs'!$B$15+'01_Inputs'!$B$16),MOD((11*24/6+2)-0,'03_Capacity_Model'!$B$96)&lt;(('01_Inputs'!$B$14+'01_Inputs'!$B$15+'01_Inputs'!$B$16)+'01_Inputs'!$B$17+'01_Inputs'!$B$18)),AND(MOD((11*24/6+2)-'03_Capacity_Model'!$B$95,'03_Capacity_Model'!$B$96)&gt;=('01_Inputs'!$B$14+'01_Inputs'!$B$15+'01_Inputs'!$B$16),MOD((11*24/6+2)-'03_Capacity_Model'!$B$95,'03_Capacity_Model'!$B$96)&lt;(('01_Inputs'!$B$14+'01_Inputs'!$B$15+'01_Inputs'!$B$16)+'01_Inputs'!$B$17+'01_Inputs'!$B$18))),3,0)</f>
        <v>0</v>
      </c>
      <c r="O22" s="93">
        <f>IF(OR(AND(MOD((12*24/6+2)-0,'03_Capacity_Model'!$B$96)&gt;=('01_Inputs'!$B$14+'01_Inputs'!$B$15+'01_Inputs'!$B$16),MOD((12*24/6+2)-0,'03_Capacity_Model'!$B$96)&lt;(('01_Inputs'!$B$14+'01_Inputs'!$B$15+'01_Inputs'!$B$16)+'01_Inputs'!$B$17+'01_Inputs'!$B$18)),AND(MOD((12*24/6+2)-'03_Capacity_Model'!$B$95,'03_Capacity_Model'!$B$96)&gt;=('01_Inputs'!$B$14+'01_Inputs'!$B$15+'01_Inputs'!$B$16),MOD((12*24/6+2)-'03_Capacity_Model'!$B$95,'03_Capacity_Model'!$B$96)&lt;(('01_Inputs'!$B$14+'01_Inputs'!$B$15+'01_Inputs'!$B$16)+'01_Inputs'!$B$17+'01_Inputs'!$B$18))),3,0)</f>
        <v>3</v>
      </c>
      <c r="P22" s="93">
        <f>IF(OR(AND(MOD((13*24/6+2)-0,'03_Capacity_Model'!$B$96)&gt;=('01_Inputs'!$B$14+'01_Inputs'!$B$15+'01_Inputs'!$B$16),MOD((13*24/6+2)-0,'03_Capacity_Model'!$B$96)&lt;(('01_Inputs'!$B$14+'01_Inputs'!$B$15+'01_Inputs'!$B$16)+'01_Inputs'!$B$17+'01_Inputs'!$B$18)),AND(MOD((13*24/6+2)-'03_Capacity_Model'!$B$95,'03_Capacity_Model'!$B$96)&gt;=('01_Inputs'!$B$14+'01_Inputs'!$B$15+'01_Inputs'!$B$16),MOD((13*24/6+2)-'03_Capacity_Model'!$B$95,'03_Capacity_Model'!$B$96)&lt;(('01_Inputs'!$B$14+'01_Inputs'!$B$15+'01_Inputs'!$B$16)+'01_Inputs'!$B$17+'01_Inputs'!$B$18))),3,0)</f>
        <v>3</v>
      </c>
      <c r="Q22" s="93">
        <f>IF(OR(AND(MOD((14*24/6+2)-0,'03_Capacity_Model'!$B$96)&gt;=('01_Inputs'!$B$14+'01_Inputs'!$B$15+'01_Inputs'!$B$16),MOD((14*24/6+2)-0,'03_Capacity_Model'!$B$96)&lt;(('01_Inputs'!$B$14+'01_Inputs'!$B$15+'01_Inputs'!$B$16)+'01_Inputs'!$B$17+'01_Inputs'!$B$18)),AND(MOD((14*24/6+2)-'03_Capacity_Model'!$B$95,'03_Capacity_Model'!$B$96)&gt;=('01_Inputs'!$B$14+'01_Inputs'!$B$15+'01_Inputs'!$B$16),MOD((14*24/6+2)-'03_Capacity_Model'!$B$95,'03_Capacity_Model'!$B$96)&lt;(('01_Inputs'!$B$14+'01_Inputs'!$B$15+'01_Inputs'!$B$16)+'01_Inputs'!$B$17+'01_Inputs'!$B$18))),3,0)</f>
        <v>0</v>
      </c>
      <c r="R22" s="93">
        <f>IF(OR(AND(MOD((15*24/6+2)-0,'03_Capacity_Model'!$B$96)&gt;=('01_Inputs'!$B$14+'01_Inputs'!$B$15+'01_Inputs'!$B$16),MOD((15*24/6+2)-0,'03_Capacity_Model'!$B$96)&lt;(('01_Inputs'!$B$14+'01_Inputs'!$B$15+'01_Inputs'!$B$16)+'01_Inputs'!$B$17+'01_Inputs'!$B$18)),AND(MOD((15*24/6+2)-'03_Capacity_Model'!$B$95,'03_Capacity_Model'!$B$96)&gt;=('01_Inputs'!$B$14+'01_Inputs'!$B$15+'01_Inputs'!$B$16),MOD((15*24/6+2)-'03_Capacity_Model'!$B$95,'03_Capacity_Model'!$B$96)&lt;(('01_Inputs'!$B$14+'01_Inputs'!$B$15+'01_Inputs'!$B$16)+'01_Inputs'!$B$17+'01_Inputs'!$B$18))),3,0)</f>
        <v>0</v>
      </c>
      <c r="S22" s="93">
        <f>IF(OR(AND(MOD((16*24/6+2)-0,'03_Capacity_Model'!$B$96)&gt;=('01_Inputs'!$B$14+'01_Inputs'!$B$15+'01_Inputs'!$B$16),MOD((16*24/6+2)-0,'03_Capacity_Model'!$B$96)&lt;(('01_Inputs'!$B$14+'01_Inputs'!$B$15+'01_Inputs'!$B$16)+'01_Inputs'!$B$17+'01_Inputs'!$B$18)),AND(MOD((16*24/6+2)-'03_Capacity_Model'!$B$95,'03_Capacity_Model'!$B$96)&gt;=('01_Inputs'!$B$14+'01_Inputs'!$B$15+'01_Inputs'!$B$16),MOD((16*24/6+2)-'03_Capacity_Model'!$B$95,'03_Capacity_Model'!$B$96)&lt;(('01_Inputs'!$B$14+'01_Inputs'!$B$15+'01_Inputs'!$B$16)+'01_Inputs'!$B$17+'01_Inputs'!$B$18))),3,0)</f>
        <v>0</v>
      </c>
      <c r="T22" s="93">
        <f>IF(OR(AND(MOD((17*24/6+2)-0,'03_Capacity_Model'!$B$96)&gt;=('01_Inputs'!$B$14+'01_Inputs'!$B$15+'01_Inputs'!$B$16),MOD((17*24/6+2)-0,'03_Capacity_Model'!$B$96)&lt;(('01_Inputs'!$B$14+'01_Inputs'!$B$15+'01_Inputs'!$B$16)+'01_Inputs'!$B$17+'01_Inputs'!$B$18)),AND(MOD((17*24/6+2)-'03_Capacity_Model'!$B$95,'03_Capacity_Model'!$B$96)&gt;=('01_Inputs'!$B$14+'01_Inputs'!$B$15+'01_Inputs'!$B$16),MOD((17*24/6+2)-'03_Capacity_Model'!$B$95,'03_Capacity_Model'!$B$96)&lt;(('01_Inputs'!$B$14+'01_Inputs'!$B$15+'01_Inputs'!$B$16)+'01_Inputs'!$B$17+'01_Inputs'!$B$18))),3,0)</f>
        <v>0</v>
      </c>
      <c r="U22" s="93">
        <f>IF(OR(AND(MOD((18*24/6+2)-0,'03_Capacity_Model'!$B$96)&gt;=('01_Inputs'!$B$14+'01_Inputs'!$B$15+'01_Inputs'!$B$16),MOD((18*24/6+2)-0,'03_Capacity_Model'!$B$96)&lt;(('01_Inputs'!$B$14+'01_Inputs'!$B$15+'01_Inputs'!$B$16)+'01_Inputs'!$B$17+'01_Inputs'!$B$18)),AND(MOD((18*24/6+2)-'03_Capacity_Model'!$B$95,'03_Capacity_Model'!$B$96)&gt;=('01_Inputs'!$B$14+'01_Inputs'!$B$15+'01_Inputs'!$B$16),MOD((18*24/6+2)-'03_Capacity_Model'!$B$95,'03_Capacity_Model'!$B$96)&lt;(('01_Inputs'!$B$14+'01_Inputs'!$B$15+'01_Inputs'!$B$16)+'01_Inputs'!$B$17+'01_Inputs'!$B$18))),3,0)</f>
        <v>0</v>
      </c>
      <c r="V22" s="93">
        <f>IF(OR(AND(MOD((19*24/6+2)-0,'03_Capacity_Model'!$B$96)&gt;=('01_Inputs'!$B$14+'01_Inputs'!$B$15+'01_Inputs'!$B$16),MOD((19*24/6+2)-0,'03_Capacity_Model'!$B$96)&lt;(('01_Inputs'!$B$14+'01_Inputs'!$B$15+'01_Inputs'!$B$16)+'01_Inputs'!$B$17+'01_Inputs'!$B$18)),AND(MOD((19*24/6+2)-'03_Capacity_Model'!$B$95,'03_Capacity_Model'!$B$96)&gt;=('01_Inputs'!$B$14+'01_Inputs'!$B$15+'01_Inputs'!$B$16),MOD((19*24/6+2)-'03_Capacity_Model'!$B$95,'03_Capacity_Model'!$B$96)&lt;(('01_Inputs'!$B$14+'01_Inputs'!$B$15+'01_Inputs'!$B$16)+'01_Inputs'!$B$17+'01_Inputs'!$B$18))),3,0)</f>
        <v>0</v>
      </c>
      <c r="W22" s="93">
        <f>IF(OR(AND(MOD((20*24/6+2)-0,'03_Capacity_Model'!$B$96)&gt;=('01_Inputs'!$B$14+'01_Inputs'!$B$15+'01_Inputs'!$B$16),MOD((20*24/6+2)-0,'03_Capacity_Model'!$B$96)&lt;(('01_Inputs'!$B$14+'01_Inputs'!$B$15+'01_Inputs'!$B$16)+'01_Inputs'!$B$17+'01_Inputs'!$B$18)),AND(MOD((20*24/6+2)-'03_Capacity_Model'!$B$95,'03_Capacity_Model'!$B$96)&gt;=('01_Inputs'!$B$14+'01_Inputs'!$B$15+'01_Inputs'!$B$16),MOD((20*24/6+2)-'03_Capacity_Model'!$B$95,'03_Capacity_Model'!$B$96)&lt;(('01_Inputs'!$B$14+'01_Inputs'!$B$15+'01_Inputs'!$B$16)+'01_Inputs'!$B$17+'01_Inputs'!$B$18))),3,0)</f>
        <v>3</v>
      </c>
      <c r="X22" s="93">
        <f>IF(OR(AND(MOD((21*24/6+2)-0,'03_Capacity_Model'!$B$96)&gt;=('01_Inputs'!$B$14+'01_Inputs'!$B$15+'01_Inputs'!$B$16),MOD((21*24/6+2)-0,'03_Capacity_Model'!$B$96)&lt;(('01_Inputs'!$B$14+'01_Inputs'!$B$15+'01_Inputs'!$B$16)+'01_Inputs'!$B$17+'01_Inputs'!$B$18)),AND(MOD((21*24/6+2)-'03_Capacity_Model'!$B$95,'03_Capacity_Model'!$B$96)&gt;=('01_Inputs'!$B$14+'01_Inputs'!$B$15+'01_Inputs'!$B$16),MOD((21*24/6+2)-'03_Capacity_Model'!$B$95,'03_Capacity_Model'!$B$96)&lt;(('01_Inputs'!$B$14+'01_Inputs'!$B$15+'01_Inputs'!$B$16)+'01_Inputs'!$B$17+'01_Inputs'!$B$18))),3,0)</f>
        <v>3</v>
      </c>
      <c r="Y22" s="93">
        <f>IF(OR(AND(MOD((22*24/6+2)-0,'03_Capacity_Model'!$B$96)&gt;=('01_Inputs'!$B$14+'01_Inputs'!$B$15+'01_Inputs'!$B$16),MOD((22*24/6+2)-0,'03_Capacity_Model'!$B$96)&lt;(('01_Inputs'!$B$14+'01_Inputs'!$B$15+'01_Inputs'!$B$16)+'01_Inputs'!$B$17+'01_Inputs'!$B$18)),AND(MOD((22*24/6+2)-'03_Capacity_Model'!$B$95,'03_Capacity_Model'!$B$96)&gt;=('01_Inputs'!$B$14+'01_Inputs'!$B$15+'01_Inputs'!$B$16),MOD((22*24/6+2)-'03_Capacity_Model'!$B$95,'03_Capacity_Model'!$B$96)&lt;(('01_Inputs'!$B$14+'01_Inputs'!$B$15+'01_Inputs'!$B$16)+'01_Inputs'!$B$17+'01_Inputs'!$B$18))),3,0)</f>
        <v>0</v>
      </c>
      <c r="Z22" s="93">
        <f>IF(OR(AND(MOD((23*24/6+2)-0,'03_Capacity_Model'!$B$96)&gt;=('01_Inputs'!$B$14+'01_Inputs'!$B$15+'01_Inputs'!$B$16),MOD((23*24/6+2)-0,'03_Capacity_Model'!$B$96)&lt;(('01_Inputs'!$B$14+'01_Inputs'!$B$15+'01_Inputs'!$B$16)+'01_Inputs'!$B$17+'01_Inputs'!$B$18)),AND(MOD((23*24/6+2)-'03_Capacity_Model'!$B$95,'03_Capacity_Model'!$B$96)&gt;=('01_Inputs'!$B$14+'01_Inputs'!$B$15+'01_Inputs'!$B$16),MOD((23*24/6+2)-'03_Capacity_Model'!$B$95,'03_Capacity_Model'!$B$96)&lt;(('01_Inputs'!$B$14+'01_Inputs'!$B$15+'01_Inputs'!$B$16)+'01_Inputs'!$B$17+'01_Inputs'!$B$18))),3,0)</f>
        <v>0</v>
      </c>
      <c r="AA22" s="93">
        <f>IF(OR(AND(MOD((24*24/6+2)-0,'03_Capacity_Model'!$B$96)&gt;=('01_Inputs'!$B$14+'01_Inputs'!$B$15+'01_Inputs'!$B$16),MOD((24*24/6+2)-0,'03_Capacity_Model'!$B$96)&lt;(('01_Inputs'!$B$14+'01_Inputs'!$B$15+'01_Inputs'!$B$16)+'01_Inputs'!$B$17+'01_Inputs'!$B$18)),AND(MOD((24*24/6+2)-'03_Capacity_Model'!$B$95,'03_Capacity_Model'!$B$96)&gt;=('01_Inputs'!$B$14+'01_Inputs'!$B$15+'01_Inputs'!$B$16),MOD((24*24/6+2)-'03_Capacity_Model'!$B$95,'03_Capacity_Model'!$B$96)&lt;(('01_Inputs'!$B$14+'01_Inputs'!$B$15+'01_Inputs'!$B$16)+'01_Inputs'!$B$17+'01_Inputs'!$B$18))),3,0)</f>
        <v>0</v>
      </c>
      <c r="AB22" s="93">
        <f>IF(OR(AND(MOD((25*24/6+2)-0,'03_Capacity_Model'!$B$96)&gt;=('01_Inputs'!$B$14+'01_Inputs'!$B$15+'01_Inputs'!$B$16),MOD((25*24/6+2)-0,'03_Capacity_Model'!$B$96)&lt;(('01_Inputs'!$B$14+'01_Inputs'!$B$15+'01_Inputs'!$B$16)+'01_Inputs'!$B$17+'01_Inputs'!$B$18)),AND(MOD((25*24/6+2)-'03_Capacity_Model'!$B$95,'03_Capacity_Model'!$B$96)&gt;=('01_Inputs'!$B$14+'01_Inputs'!$B$15+'01_Inputs'!$B$16),MOD((25*24/6+2)-'03_Capacity_Model'!$B$95,'03_Capacity_Model'!$B$96)&lt;(('01_Inputs'!$B$14+'01_Inputs'!$B$15+'01_Inputs'!$B$16)+'01_Inputs'!$B$17+'01_Inputs'!$B$18))),3,0)</f>
        <v>0</v>
      </c>
      <c r="AC22" s="93">
        <f>IF(OR(AND(MOD((26*24/6+2)-0,'03_Capacity_Model'!$B$96)&gt;=('01_Inputs'!$B$14+'01_Inputs'!$B$15+'01_Inputs'!$B$16),MOD((26*24/6+2)-0,'03_Capacity_Model'!$B$96)&lt;(('01_Inputs'!$B$14+'01_Inputs'!$B$15+'01_Inputs'!$B$16)+'01_Inputs'!$B$17+'01_Inputs'!$B$18)),AND(MOD((26*24/6+2)-'03_Capacity_Model'!$B$95,'03_Capacity_Model'!$B$96)&gt;=('01_Inputs'!$B$14+'01_Inputs'!$B$15+'01_Inputs'!$B$16),MOD((26*24/6+2)-'03_Capacity_Model'!$B$95,'03_Capacity_Model'!$B$96)&lt;(('01_Inputs'!$B$14+'01_Inputs'!$B$15+'01_Inputs'!$B$16)+'01_Inputs'!$B$17+'01_Inputs'!$B$18))),3,0)</f>
        <v>0</v>
      </c>
      <c r="AD22" s="93">
        <f>IF(OR(AND(MOD((27*24/6+2)-0,'03_Capacity_Model'!$B$96)&gt;=('01_Inputs'!$B$14+'01_Inputs'!$B$15+'01_Inputs'!$B$16),MOD((27*24/6+2)-0,'03_Capacity_Model'!$B$96)&lt;(('01_Inputs'!$B$14+'01_Inputs'!$B$15+'01_Inputs'!$B$16)+'01_Inputs'!$B$17+'01_Inputs'!$B$18)),AND(MOD((27*24/6+2)-'03_Capacity_Model'!$B$95,'03_Capacity_Model'!$B$96)&gt;=('01_Inputs'!$B$14+'01_Inputs'!$B$15+'01_Inputs'!$B$16),MOD((27*24/6+2)-'03_Capacity_Model'!$B$95,'03_Capacity_Model'!$B$96)&lt;(('01_Inputs'!$B$14+'01_Inputs'!$B$15+'01_Inputs'!$B$16)+'01_Inputs'!$B$17+'01_Inputs'!$B$18))),3,0)</f>
        <v>0</v>
      </c>
      <c r="AE22" s="93">
        <f>IF(OR(AND(MOD((28*24/6+2)-0,'03_Capacity_Model'!$B$96)&gt;=('01_Inputs'!$B$14+'01_Inputs'!$B$15+'01_Inputs'!$B$16),MOD((28*24/6+2)-0,'03_Capacity_Model'!$B$96)&lt;(('01_Inputs'!$B$14+'01_Inputs'!$B$15+'01_Inputs'!$B$16)+'01_Inputs'!$B$17+'01_Inputs'!$B$18)),AND(MOD((28*24/6+2)-'03_Capacity_Model'!$B$95,'03_Capacity_Model'!$B$96)&gt;=('01_Inputs'!$B$14+'01_Inputs'!$B$15+'01_Inputs'!$B$16),MOD((28*24/6+2)-'03_Capacity_Model'!$B$95,'03_Capacity_Model'!$B$96)&lt;(('01_Inputs'!$B$14+'01_Inputs'!$B$15+'01_Inputs'!$B$16)+'01_Inputs'!$B$17+'01_Inputs'!$B$18))),3,0)</f>
        <v>0</v>
      </c>
      <c r="AF22" s="93">
        <f>IF(OR(AND(MOD((29*24/6+2)-0,'03_Capacity_Model'!$B$96)&gt;=('01_Inputs'!$B$14+'01_Inputs'!$B$15+'01_Inputs'!$B$16),MOD((29*24/6+2)-0,'03_Capacity_Model'!$B$96)&lt;(('01_Inputs'!$B$14+'01_Inputs'!$B$15+'01_Inputs'!$B$16)+'01_Inputs'!$B$17+'01_Inputs'!$B$18)),AND(MOD((29*24/6+2)-'03_Capacity_Model'!$B$95,'03_Capacity_Model'!$B$96)&gt;=('01_Inputs'!$B$14+'01_Inputs'!$B$15+'01_Inputs'!$B$16),MOD((29*24/6+2)-'03_Capacity_Model'!$B$95,'03_Capacity_Model'!$B$96)&lt;(('01_Inputs'!$B$14+'01_Inputs'!$B$15+'01_Inputs'!$B$16)+'01_Inputs'!$B$17+'01_Inputs'!$B$18))),3,0)</f>
        <v>3</v>
      </c>
      <c r="AG22" s="93">
        <f>IF(OR(AND(MOD((30*24/6+2)-0,'03_Capacity_Model'!$B$96)&gt;=('01_Inputs'!$B$14+'01_Inputs'!$B$15+'01_Inputs'!$B$16),MOD((30*24/6+2)-0,'03_Capacity_Model'!$B$96)&lt;(('01_Inputs'!$B$14+'01_Inputs'!$B$15+'01_Inputs'!$B$16)+'01_Inputs'!$B$17+'01_Inputs'!$B$18)),AND(MOD((30*24/6+2)-'03_Capacity_Model'!$B$95,'03_Capacity_Model'!$B$96)&gt;=('01_Inputs'!$B$14+'01_Inputs'!$B$15+'01_Inputs'!$B$16),MOD((30*24/6+2)-'03_Capacity_Model'!$B$95,'03_Capacity_Model'!$B$96)&lt;(('01_Inputs'!$B$14+'01_Inputs'!$B$15+'01_Inputs'!$B$16)+'01_Inputs'!$B$17+'01_Inputs'!$B$18))),3,0)</f>
        <v>3</v>
      </c>
      <c r="AH22" s="93">
        <f>IF(OR(AND(MOD((31*24/6+2)-0,'03_Capacity_Model'!$B$96)&gt;=('01_Inputs'!$B$14+'01_Inputs'!$B$15+'01_Inputs'!$B$16),MOD((31*24/6+2)-0,'03_Capacity_Model'!$B$96)&lt;(('01_Inputs'!$B$14+'01_Inputs'!$B$15+'01_Inputs'!$B$16)+'01_Inputs'!$B$17+'01_Inputs'!$B$18)),AND(MOD((31*24/6+2)-'03_Capacity_Model'!$B$95,'03_Capacity_Model'!$B$96)&gt;=('01_Inputs'!$B$14+'01_Inputs'!$B$15+'01_Inputs'!$B$16),MOD((31*24/6+2)-'03_Capacity_Model'!$B$95,'03_Capacity_Model'!$B$96)&lt;(('01_Inputs'!$B$14+'01_Inputs'!$B$15+'01_Inputs'!$B$16)+'01_Inputs'!$B$17+'01_Inputs'!$B$18))),3,0)</f>
        <v>0</v>
      </c>
      <c r="AI22" s="93">
        <f>IF(OR(AND(MOD((32*24/6+2)-0,'03_Capacity_Model'!$B$96)&gt;=('01_Inputs'!$B$14+'01_Inputs'!$B$15+'01_Inputs'!$B$16),MOD((32*24/6+2)-0,'03_Capacity_Model'!$B$96)&lt;(('01_Inputs'!$B$14+'01_Inputs'!$B$15+'01_Inputs'!$B$16)+'01_Inputs'!$B$17+'01_Inputs'!$B$18)),AND(MOD((32*24/6+2)-'03_Capacity_Model'!$B$95,'03_Capacity_Model'!$B$96)&gt;=('01_Inputs'!$B$14+'01_Inputs'!$B$15+'01_Inputs'!$B$16),MOD((32*24/6+2)-'03_Capacity_Model'!$B$95,'03_Capacity_Model'!$B$96)&lt;(('01_Inputs'!$B$14+'01_Inputs'!$B$15+'01_Inputs'!$B$16)+'01_Inputs'!$B$17+'01_Inputs'!$B$18))),3,0)</f>
        <v>0</v>
      </c>
      <c r="AJ22" s="93">
        <f>IF(OR(AND(MOD((33*24/6+2)-0,'03_Capacity_Model'!$B$96)&gt;=('01_Inputs'!$B$14+'01_Inputs'!$B$15+'01_Inputs'!$B$16),MOD((33*24/6+2)-0,'03_Capacity_Model'!$B$96)&lt;(('01_Inputs'!$B$14+'01_Inputs'!$B$15+'01_Inputs'!$B$16)+'01_Inputs'!$B$17+'01_Inputs'!$B$18)),AND(MOD((33*24/6+2)-'03_Capacity_Model'!$B$95,'03_Capacity_Model'!$B$96)&gt;=('01_Inputs'!$B$14+'01_Inputs'!$B$15+'01_Inputs'!$B$16),MOD((33*24/6+2)-'03_Capacity_Model'!$B$95,'03_Capacity_Model'!$B$96)&lt;(('01_Inputs'!$B$14+'01_Inputs'!$B$15+'01_Inputs'!$B$16)+'01_Inputs'!$B$17+'01_Inputs'!$B$18))),3,0)</f>
        <v>0</v>
      </c>
      <c r="AK22" s="93">
        <f>IF(OR(AND(MOD((34*24/6+2)-0,'03_Capacity_Model'!$B$96)&gt;=('01_Inputs'!$B$14+'01_Inputs'!$B$15+'01_Inputs'!$B$16),MOD((34*24/6+2)-0,'03_Capacity_Model'!$B$96)&lt;(('01_Inputs'!$B$14+'01_Inputs'!$B$15+'01_Inputs'!$B$16)+'01_Inputs'!$B$17+'01_Inputs'!$B$18)),AND(MOD((34*24/6+2)-'03_Capacity_Model'!$B$95,'03_Capacity_Model'!$B$96)&gt;=('01_Inputs'!$B$14+'01_Inputs'!$B$15+'01_Inputs'!$B$16),MOD((34*24/6+2)-'03_Capacity_Model'!$B$95,'03_Capacity_Model'!$B$96)&lt;(('01_Inputs'!$B$14+'01_Inputs'!$B$15+'01_Inputs'!$B$16)+'01_Inputs'!$B$17+'01_Inputs'!$B$18))),3,0)</f>
        <v>0</v>
      </c>
      <c r="AL22" s="93">
        <f>IF(OR(AND(MOD((35*24/6+2)-0,'03_Capacity_Model'!$B$96)&gt;=('01_Inputs'!$B$14+'01_Inputs'!$B$15+'01_Inputs'!$B$16),MOD((35*24/6+2)-0,'03_Capacity_Model'!$B$96)&lt;(('01_Inputs'!$B$14+'01_Inputs'!$B$15+'01_Inputs'!$B$16)+'01_Inputs'!$B$17+'01_Inputs'!$B$18)),AND(MOD((35*24/6+2)-'03_Capacity_Model'!$B$95,'03_Capacity_Model'!$B$96)&gt;=('01_Inputs'!$B$14+'01_Inputs'!$B$15+'01_Inputs'!$B$16),MOD((35*24/6+2)-'03_Capacity_Model'!$B$95,'03_Capacity_Model'!$B$96)&lt;(('01_Inputs'!$B$14+'01_Inputs'!$B$15+'01_Inputs'!$B$16)+'01_Inputs'!$B$17+'01_Inputs'!$B$18))),3,0)</f>
        <v>0</v>
      </c>
      <c r="AM22" s="93">
        <f>IF(OR(AND(MOD((36*24/6+2)-0,'03_Capacity_Model'!$B$96)&gt;=('01_Inputs'!$B$14+'01_Inputs'!$B$15+'01_Inputs'!$B$16),MOD((36*24/6+2)-0,'03_Capacity_Model'!$B$96)&lt;(('01_Inputs'!$B$14+'01_Inputs'!$B$15+'01_Inputs'!$B$16)+'01_Inputs'!$B$17+'01_Inputs'!$B$18)),AND(MOD((36*24/6+2)-'03_Capacity_Model'!$B$95,'03_Capacity_Model'!$B$96)&gt;=('01_Inputs'!$B$14+'01_Inputs'!$B$15+'01_Inputs'!$B$16),MOD((36*24/6+2)-'03_Capacity_Model'!$B$95,'03_Capacity_Model'!$B$96)&lt;(('01_Inputs'!$B$14+'01_Inputs'!$B$15+'01_Inputs'!$B$16)+'01_Inputs'!$B$17+'01_Inputs'!$B$18))),3,0)</f>
        <v>3</v>
      </c>
      <c r="AN22" s="93">
        <f>IF(OR(AND(MOD((37*24/6+2)-0,'03_Capacity_Model'!$B$96)&gt;=('01_Inputs'!$B$14+'01_Inputs'!$B$15+'01_Inputs'!$B$16),MOD((37*24/6+2)-0,'03_Capacity_Model'!$B$96)&lt;(('01_Inputs'!$B$14+'01_Inputs'!$B$15+'01_Inputs'!$B$16)+'01_Inputs'!$B$17+'01_Inputs'!$B$18)),AND(MOD((37*24/6+2)-'03_Capacity_Model'!$B$95,'03_Capacity_Model'!$B$96)&gt;=('01_Inputs'!$B$14+'01_Inputs'!$B$15+'01_Inputs'!$B$16),MOD((37*24/6+2)-'03_Capacity_Model'!$B$95,'03_Capacity_Model'!$B$96)&lt;(('01_Inputs'!$B$14+'01_Inputs'!$B$15+'01_Inputs'!$B$16)+'01_Inputs'!$B$17+'01_Inputs'!$B$18))),3,0)</f>
        <v>3</v>
      </c>
      <c r="AO22" s="93">
        <f>IF(OR(AND(MOD((38*24/6+2)-0,'03_Capacity_Model'!$B$96)&gt;=('01_Inputs'!$B$14+'01_Inputs'!$B$15+'01_Inputs'!$B$16),MOD((38*24/6+2)-0,'03_Capacity_Model'!$B$96)&lt;(('01_Inputs'!$B$14+'01_Inputs'!$B$15+'01_Inputs'!$B$16)+'01_Inputs'!$B$17+'01_Inputs'!$B$18)),AND(MOD((38*24/6+2)-'03_Capacity_Model'!$B$95,'03_Capacity_Model'!$B$96)&gt;=('01_Inputs'!$B$14+'01_Inputs'!$B$15+'01_Inputs'!$B$16),MOD((38*24/6+2)-'03_Capacity_Model'!$B$95,'03_Capacity_Model'!$B$96)&lt;(('01_Inputs'!$B$14+'01_Inputs'!$B$15+'01_Inputs'!$B$16)+'01_Inputs'!$B$17+'01_Inputs'!$B$18))),3,0)</f>
        <v>0</v>
      </c>
      <c r="AP22" s="93">
        <f>IF(OR(AND(MOD((39*24/6+2)-0,'03_Capacity_Model'!$B$96)&gt;=('01_Inputs'!$B$14+'01_Inputs'!$B$15+'01_Inputs'!$B$16),MOD((39*24/6+2)-0,'03_Capacity_Model'!$B$96)&lt;(('01_Inputs'!$B$14+'01_Inputs'!$B$15+'01_Inputs'!$B$16)+'01_Inputs'!$B$17+'01_Inputs'!$B$18)),AND(MOD((39*24/6+2)-'03_Capacity_Model'!$B$95,'03_Capacity_Model'!$B$96)&gt;=('01_Inputs'!$B$14+'01_Inputs'!$B$15+'01_Inputs'!$B$16),MOD((39*24/6+2)-'03_Capacity_Model'!$B$95,'03_Capacity_Model'!$B$96)&lt;(('01_Inputs'!$B$14+'01_Inputs'!$B$15+'01_Inputs'!$B$16)+'01_Inputs'!$B$17+'01_Inputs'!$B$18))),3,0)</f>
        <v>0</v>
      </c>
      <c r="AQ22" s="93">
        <f>IF(OR(AND(MOD((40*24/6+2)-0,'03_Capacity_Model'!$B$96)&gt;=('01_Inputs'!$B$14+'01_Inputs'!$B$15+'01_Inputs'!$B$16),MOD((40*24/6+2)-0,'03_Capacity_Model'!$B$96)&lt;(('01_Inputs'!$B$14+'01_Inputs'!$B$15+'01_Inputs'!$B$16)+'01_Inputs'!$B$17+'01_Inputs'!$B$18)),AND(MOD((40*24/6+2)-'03_Capacity_Model'!$B$95,'03_Capacity_Model'!$B$96)&gt;=('01_Inputs'!$B$14+'01_Inputs'!$B$15+'01_Inputs'!$B$16),MOD((40*24/6+2)-'03_Capacity_Model'!$B$95,'03_Capacity_Model'!$B$96)&lt;(('01_Inputs'!$B$14+'01_Inputs'!$B$15+'01_Inputs'!$B$16)+'01_Inputs'!$B$17+'01_Inputs'!$B$18))),3,0)</f>
        <v>0</v>
      </c>
      <c r="AR22" s="93">
        <f>IF(OR(AND(MOD((41*24/6+2)-0,'03_Capacity_Model'!$B$96)&gt;=('01_Inputs'!$B$14+'01_Inputs'!$B$15+'01_Inputs'!$B$16),MOD((41*24/6+2)-0,'03_Capacity_Model'!$B$96)&lt;(('01_Inputs'!$B$14+'01_Inputs'!$B$15+'01_Inputs'!$B$16)+'01_Inputs'!$B$17+'01_Inputs'!$B$18)),AND(MOD((41*24/6+2)-'03_Capacity_Model'!$B$95,'03_Capacity_Model'!$B$96)&gt;=('01_Inputs'!$B$14+'01_Inputs'!$B$15+'01_Inputs'!$B$16),MOD((41*24/6+2)-'03_Capacity_Model'!$B$95,'03_Capacity_Model'!$B$96)&lt;(('01_Inputs'!$B$14+'01_Inputs'!$B$15+'01_Inputs'!$B$16)+'01_Inputs'!$B$17+'01_Inputs'!$B$18))),3,0)</f>
        <v>0</v>
      </c>
      <c r="AS22" s="93">
        <f>IF(OR(AND(MOD((42*24/6+2)-0,'03_Capacity_Model'!$B$96)&gt;=('01_Inputs'!$B$14+'01_Inputs'!$B$15+'01_Inputs'!$B$16),MOD((42*24/6+2)-0,'03_Capacity_Model'!$B$96)&lt;(('01_Inputs'!$B$14+'01_Inputs'!$B$15+'01_Inputs'!$B$16)+'01_Inputs'!$B$17+'01_Inputs'!$B$18)),AND(MOD((42*24/6+2)-'03_Capacity_Model'!$B$95,'03_Capacity_Model'!$B$96)&gt;=('01_Inputs'!$B$14+'01_Inputs'!$B$15+'01_Inputs'!$B$16),MOD((42*24/6+2)-'03_Capacity_Model'!$B$95,'03_Capacity_Model'!$B$96)&lt;(('01_Inputs'!$B$14+'01_Inputs'!$B$15+'01_Inputs'!$B$16)+'01_Inputs'!$B$17+'01_Inputs'!$B$18))),3,0)</f>
        <v>0</v>
      </c>
      <c r="AT22" s="93">
        <f>IF(OR(AND(MOD((43*24/6+2)-0,'03_Capacity_Model'!$B$96)&gt;=('01_Inputs'!$B$14+'01_Inputs'!$B$15+'01_Inputs'!$B$16),MOD((43*24/6+2)-0,'03_Capacity_Model'!$B$96)&lt;(('01_Inputs'!$B$14+'01_Inputs'!$B$15+'01_Inputs'!$B$16)+'01_Inputs'!$B$17+'01_Inputs'!$B$18)),AND(MOD((43*24/6+2)-'03_Capacity_Model'!$B$95,'03_Capacity_Model'!$B$96)&gt;=('01_Inputs'!$B$14+'01_Inputs'!$B$15+'01_Inputs'!$B$16),MOD((43*24/6+2)-'03_Capacity_Model'!$B$95,'03_Capacity_Model'!$B$96)&lt;(('01_Inputs'!$B$14+'01_Inputs'!$B$15+'01_Inputs'!$B$16)+'01_Inputs'!$B$17+'01_Inputs'!$B$18))),3,0)</f>
        <v>0</v>
      </c>
      <c r="AU22" s="93">
        <f>IF(OR(AND(MOD((44*24/6+2)-0,'03_Capacity_Model'!$B$96)&gt;=('01_Inputs'!$B$14+'01_Inputs'!$B$15+'01_Inputs'!$B$16),MOD((44*24/6+2)-0,'03_Capacity_Model'!$B$96)&lt;(('01_Inputs'!$B$14+'01_Inputs'!$B$15+'01_Inputs'!$B$16)+'01_Inputs'!$B$17+'01_Inputs'!$B$18)),AND(MOD((44*24/6+2)-'03_Capacity_Model'!$B$95,'03_Capacity_Model'!$B$96)&gt;=('01_Inputs'!$B$14+'01_Inputs'!$B$15+'01_Inputs'!$B$16),MOD((44*24/6+2)-'03_Capacity_Model'!$B$95,'03_Capacity_Model'!$B$96)&lt;(('01_Inputs'!$B$14+'01_Inputs'!$B$15+'01_Inputs'!$B$16)+'01_Inputs'!$B$17+'01_Inputs'!$B$18))),3,0)</f>
        <v>0</v>
      </c>
      <c r="AV22" s="93">
        <f>IF(OR(AND(MOD((45*24/6+2)-0,'03_Capacity_Model'!$B$96)&gt;=('01_Inputs'!$B$14+'01_Inputs'!$B$15+'01_Inputs'!$B$16),MOD((45*24/6+2)-0,'03_Capacity_Model'!$B$96)&lt;(('01_Inputs'!$B$14+'01_Inputs'!$B$15+'01_Inputs'!$B$16)+'01_Inputs'!$B$17+'01_Inputs'!$B$18)),AND(MOD((45*24/6+2)-'03_Capacity_Model'!$B$95,'03_Capacity_Model'!$B$96)&gt;=('01_Inputs'!$B$14+'01_Inputs'!$B$15+'01_Inputs'!$B$16),MOD((45*24/6+2)-'03_Capacity_Model'!$B$95,'03_Capacity_Model'!$B$96)&lt;(('01_Inputs'!$B$14+'01_Inputs'!$B$15+'01_Inputs'!$B$16)+'01_Inputs'!$B$17+'01_Inputs'!$B$18))),3,0)</f>
        <v>3</v>
      </c>
      <c r="AW22" s="93">
        <f>IF(OR(AND(MOD((46*24/6+2)-0,'03_Capacity_Model'!$B$96)&gt;=('01_Inputs'!$B$14+'01_Inputs'!$B$15+'01_Inputs'!$B$16),MOD((46*24/6+2)-0,'03_Capacity_Model'!$B$96)&lt;(('01_Inputs'!$B$14+'01_Inputs'!$B$15+'01_Inputs'!$B$16)+'01_Inputs'!$B$17+'01_Inputs'!$B$18)),AND(MOD((46*24/6+2)-'03_Capacity_Model'!$B$95,'03_Capacity_Model'!$B$96)&gt;=('01_Inputs'!$B$14+'01_Inputs'!$B$15+'01_Inputs'!$B$16),MOD((46*24/6+2)-'03_Capacity_Model'!$B$95,'03_Capacity_Model'!$B$96)&lt;(('01_Inputs'!$B$14+'01_Inputs'!$B$15+'01_Inputs'!$B$16)+'01_Inputs'!$B$17+'01_Inputs'!$B$18))),3,0)</f>
        <v>3</v>
      </c>
      <c r="AX22" s="93">
        <f>IF(OR(AND(MOD((47*24/6+2)-0,'03_Capacity_Model'!$B$96)&gt;=('01_Inputs'!$B$14+'01_Inputs'!$B$15+'01_Inputs'!$B$16),MOD((47*24/6+2)-0,'03_Capacity_Model'!$B$96)&lt;(('01_Inputs'!$B$14+'01_Inputs'!$B$15+'01_Inputs'!$B$16)+'01_Inputs'!$B$17+'01_Inputs'!$B$18)),AND(MOD((47*24/6+2)-'03_Capacity_Model'!$B$95,'03_Capacity_Model'!$B$96)&gt;=('01_Inputs'!$B$14+'01_Inputs'!$B$15+'01_Inputs'!$B$16),MOD((47*24/6+2)-'03_Capacity_Model'!$B$95,'03_Capacity_Model'!$B$96)&lt;(('01_Inputs'!$B$14+'01_Inputs'!$B$15+'01_Inputs'!$B$16)+'01_Inputs'!$B$17+'01_Inputs'!$B$18))),3,0)</f>
        <v>0</v>
      </c>
      <c r="AY22" s="93">
        <f>IF(OR(AND(MOD((48*24/6+2)-0,'03_Capacity_Model'!$B$96)&gt;=('01_Inputs'!$B$14+'01_Inputs'!$B$15+'01_Inputs'!$B$16),MOD((48*24/6+2)-0,'03_Capacity_Model'!$B$96)&lt;(('01_Inputs'!$B$14+'01_Inputs'!$B$15+'01_Inputs'!$B$16)+'01_Inputs'!$B$17+'01_Inputs'!$B$18)),AND(MOD((48*24/6+2)-'03_Capacity_Model'!$B$95,'03_Capacity_Model'!$B$96)&gt;=('01_Inputs'!$B$14+'01_Inputs'!$B$15+'01_Inputs'!$B$16),MOD((48*24/6+2)-'03_Capacity_Model'!$B$95,'03_Capacity_Model'!$B$96)&lt;(('01_Inputs'!$B$14+'01_Inputs'!$B$15+'01_Inputs'!$B$16)+'01_Inputs'!$B$17+'01_Inputs'!$B$18))),3,0)</f>
        <v>0</v>
      </c>
      <c r="AZ22" s="93">
        <f>IF(OR(AND(MOD((49*24/6+2)-0,'03_Capacity_Model'!$B$96)&gt;=('01_Inputs'!$B$14+'01_Inputs'!$B$15+'01_Inputs'!$B$16),MOD((49*24/6+2)-0,'03_Capacity_Model'!$B$96)&lt;(('01_Inputs'!$B$14+'01_Inputs'!$B$15+'01_Inputs'!$B$16)+'01_Inputs'!$B$17+'01_Inputs'!$B$18)),AND(MOD((49*24/6+2)-'03_Capacity_Model'!$B$95,'03_Capacity_Model'!$B$96)&gt;=('01_Inputs'!$B$14+'01_Inputs'!$B$15+'01_Inputs'!$B$16),MOD((49*24/6+2)-'03_Capacity_Model'!$B$95,'03_Capacity_Model'!$B$96)&lt;(('01_Inputs'!$B$14+'01_Inputs'!$B$15+'01_Inputs'!$B$16)+'01_Inputs'!$B$17+'01_Inputs'!$B$18))),3,0)</f>
        <v>0</v>
      </c>
      <c r="BA22" s="93">
        <f>IF(OR(AND(MOD((50*24/6+2)-0,'03_Capacity_Model'!$B$96)&gt;=('01_Inputs'!$B$14+'01_Inputs'!$B$15+'01_Inputs'!$B$16),MOD((50*24/6+2)-0,'03_Capacity_Model'!$B$96)&lt;(('01_Inputs'!$B$14+'01_Inputs'!$B$15+'01_Inputs'!$B$16)+'01_Inputs'!$B$17+'01_Inputs'!$B$18)),AND(MOD((50*24/6+2)-'03_Capacity_Model'!$B$95,'03_Capacity_Model'!$B$96)&gt;=('01_Inputs'!$B$14+'01_Inputs'!$B$15+'01_Inputs'!$B$16),MOD((50*24/6+2)-'03_Capacity_Model'!$B$95,'03_Capacity_Model'!$B$96)&lt;(('01_Inputs'!$B$14+'01_Inputs'!$B$15+'01_Inputs'!$B$16)+'01_Inputs'!$B$17+'01_Inputs'!$B$18))),3,0)</f>
        <v>0</v>
      </c>
      <c r="BB22" s="93">
        <f>IF(OR(AND(MOD((51*24/6+2)-0,'03_Capacity_Model'!$B$96)&gt;=('01_Inputs'!$B$14+'01_Inputs'!$B$15+'01_Inputs'!$B$16),MOD((51*24/6+2)-0,'03_Capacity_Model'!$B$96)&lt;(('01_Inputs'!$B$14+'01_Inputs'!$B$15+'01_Inputs'!$B$16)+'01_Inputs'!$B$17+'01_Inputs'!$B$18)),AND(MOD((51*24/6+2)-'03_Capacity_Model'!$B$95,'03_Capacity_Model'!$B$96)&gt;=('01_Inputs'!$B$14+'01_Inputs'!$B$15+'01_Inputs'!$B$16),MOD((51*24/6+2)-'03_Capacity_Model'!$B$95,'03_Capacity_Model'!$B$96)&lt;(('01_Inputs'!$B$14+'01_Inputs'!$B$15+'01_Inputs'!$B$16)+'01_Inputs'!$B$17+'01_Inputs'!$B$18))),3,0)</f>
        <v>0</v>
      </c>
      <c r="BC22" s="93">
        <f>IF(OR(AND(MOD((52*24/6+2)-0,'03_Capacity_Model'!$B$96)&gt;=('01_Inputs'!$B$14+'01_Inputs'!$B$15+'01_Inputs'!$B$16),MOD((52*24/6+2)-0,'03_Capacity_Model'!$B$96)&lt;(('01_Inputs'!$B$14+'01_Inputs'!$B$15+'01_Inputs'!$B$16)+'01_Inputs'!$B$17+'01_Inputs'!$B$18)),AND(MOD((52*24/6+2)-'03_Capacity_Model'!$B$95,'03_Capacity_Model'!$B$96)&gt;=('01_Inputs'!$B$14+'01_Inputs'!$B$15+'01_Inputs'!$B$16),MOD((52*24/6+2)-'03_Capacity_Model'!$B$95,'03_Capacity_Model'!$B$96)&lt;(('01_Inputs'!$B$14+'01_Inputs'!$B$15+'01_Inputs'!$B$16)+'01_Inputs'!$B$17+'01_Inputs'!$B$18))),3,0)</f>
        <v>0</v>
      </c>
      <c r="BD22" s="93">
        <f>IF(OR(AND(MOD((53*24/6+2)-0,'03_Capacity_Model'!$B$96)&gt;=('01_Inputs'!$B$14+'01_Inputs'!$B$15+'01_Inputs'!$B$16),MOD((53*24/6+2)-0,'03_Capacity_Model'!$B$96)&lt;(('01_Inputs'!$B$14+'01_Inputs'!$B$15+'01_Inputs'!$B$16)+'01_Inputs'!$B$17+'01_Inputs'!$B$18)),AND(MOD((53*24/6+2)-'03_Capacity_Model'!$B$95,'03_Capacity_Model'!$B$96)&gt;=('01_Inputs'!$B$14+'01_Inputs'!$B$15+'01_Inputs'!$B$16),MOD((53*24/6+2)-'03_Capacity_Model'!$B$95,'03_Capacity_Model'!$B$96)&lt;(('01_Inputs'!$B$14+'01_Inputs'!$B$15+'01_Inputs'!$B$16)+'01_Inputs'!$B$17+'01_Inputs'!$B$18))),3,0)</f>
        <v>3</v>
      </c>
      <c r="BE22" s="93">
        <f>IF(OR(AND(MOD((54*24/6+2)-0,'03_Capacity_Model'!$B$96)&gt;=('01_Inputs'!$B$14+'01_Inputs'!$B$15+'01_Inputs'!$B$16),MOD((54*24/6+2)-0,'03_Capacity_Model'!$B$96)&lt;(('01_Inputs'!$B$14+'01_Inputs'!$B$15+'01_Inputs'!$B$16)+'01_Inputs'!$B$17+'01_Inputs'!$B$18)),AND(MOD((54*24/6+2)-'03_Capacity_Model'!$B$95,'03_Capacity_Model'!$B$96)&gt;=('01_Inputs'!$B$14+'01_Inputs'!$B$15+'01_Inputs'!$B$16),MOD((54*24/6+2)-'03_Capacity_Model'!$B$95,'03_Capacity_Model'!$B$96)&lt;(('01_Inputs'!$B$14+'01_Inputs'!$B$15+'01_Inputs'!$B$16)+'01_Inputs'!$B$17+'01_Inputs'!$B$18))),3,0)</f>
        <v>3</v>
      </c>
      <c r="BF22" s="93">
        <f>IF(OR(AND(MOD((55*24/6+2)-0,'03_Capacity_Model'!$B$96)&gt;=('01_Inputs'!$B$14+'01_Inputs'!$B$15+'01_Inputs'!$B$16),MOD((55*24/6+2)-0,'03_Capacity_Model'!$B$96)&lt;(('01_Inputs'!$B$14+'01_Inputs'!$B$15+'01_Inputs'!$B$16)+'01_Inputs'!$B$17+'01_Inputs'!$B$18)),AND(MOD((55*24/6+2)-'03_Capacity_Model'!$B$95,'03_Capacity_Model'!$B$96)&gt;=('01_Inputs'!$B$14+'01_Inputs'!$B$15+'01_Inputs'!$B$16),MOD((55*24/6+2)-'03_Capacity_Model'!$B$95,'03_Capacity_Model'!$B$96)&lt;(('01_Inputs'!$B$14+'01_Inputs'!$B$15+'01_Inputs'!$B$16)+'01_Inputs'!$B$17+'01_Inputs'!$B$18))),3,0)</f>
        <v>0</v>
      </c>
      <c r="BG22" s="93">
        <f>IF(OR(AND(MOD((56*24/6+2)-0,'03_Capacity_Model'!$B$96)&gt;=('01_Inputs'!$B$14+'01_Inputs'!$B$15+'01_Inputs'!$B$16),MOD((56*24/6+2)-0,'03_Capacity_Model'!$B$96)&lt;(('01_Inputs'!$B$14+'01_Inputs'!$B$15+'01_Inputs'!$B$16)+'01_Inputs'!$B$17+'01_Inputs'!$B$18)),AND(MOD((56*24/6+2)-'03_Capacity_Model'!$B$95,'03_Capacity_Model'!$B$96)&gt;=('01_Inputs'!$B$14+'01_Inputs'!$B$15+'01_Inputs'!$B$16),MOD((56*24/6+2)-'03_Capacity_Model'!$B$95,'03_Capacity_Model'!$B$96)&lt;(('01_Inputs'!$B$14+'01_Inputs'!$B$15+'01_Inputs'!$B$16)+'01_Inputs'!$B$17+'01_Inputs'!$B$18))),3,0)</f>
        <v>0</v>
      </c>
      <c r="BH22" s="93">
        <f>IF(OR(AND(MOD((57*24/6+2)-0,'03_Capacity_Model'!$B$96)&gt;=('01_Inputs'!$B$14+'01_Inputs'!$B$15+'01_Inputs'!$B$16),MOD((57*24/6+2)-0,'03_Capacity_Model'!$B$96)&lt;(('01_Inputs'!$B$14+'01_Inputs'!$B$15+'01_Inputs'!$B$16)+'01_Inputs'!$B$17+'01_Inputs'!$B$18)),AND(MOD((57*24/6+2)-'03_Capacity_Model'!$B$95,'03_Capacity_Model'!$B$96)&gt;=('01_Inputs'!$B$14+'01_Inputs'!$B$15+'01_Inputs'!$B$16),MOD((57*24/6+2)-'03_Capacity_Model'!$B$95,'03_Capacity_Model'!$B$96)&lt;(('01_Inputs'!$B$14+'01_Inputs'!$B$15+'01_Inputs'!$B$16)+'01_Inputs'!$B$17+'01_Inputs'!$B$18))),3,0)</f>
        <v>0</v>
      </c>
      <c r="BI22" s="93">
        <f>IF(OR(AND(MOD((58*24/6+2)-0,'03_Capacity_Model'!$B$96)&gt;=('01_Inputs'!$B$14+'01_Inputs'!$B$15+'01_Inputs'!$B$16),MOD((58*24/6+2)-0,'03_Capacity_Model'!$B$96)&lt;(('01_Inputs'!$B$14+'01_Inputs'!$B$15+'01_Inputs'!$B$16)+'01_Inputs'!$B$17+'01_Inputs'!$B$18)),AND(MOD((58*24/6+2)-'03_Capacity_Model'!$B$95,'03_Capacity_Model'!$B$96)&gt;=('01_Inputs'!$B$14+'01_Inputs'!$B$15+'01_Inputs'!$B$16),MOD((58*24/6+2)-'03_Capacity_Model'!$B$95,'03_Capacity_Model'!$B$96)&lt;(('01_Inputs'!$B$14+'01_Inputs'!$B$15+'01_Inputs'!$B$16)+'01_Inputs'!$B$17+'01_Inputs'!$B$18))),3,0)</f>
        <v>0</v>
      </c>
      <c r="BJ22" s="93">
        <f>IF(OR(AND(MOD((59*24/6+2)-0,'03_Capacity_Model'!$B$96)&gt;=('01_Inputs'!$B$14+'01_Inputs'!$B$15+'01_Inputs'!$B$16),MOD((59*24/6+2)-0,'03_Capacity_Model'!$B$96)&lt;(('01_Inputs'!$B$14+'01_Inputs'!$B$15+'01_Inputs'!$B$16)+'01_Inputs'!$B$17+'01_Inputs'!$B$18)),AND(MOD((59*24/6+2)-'03_Capacity_Model'!$B$95,'03_Capacity_Model'!$B$96)&gt;=('01_Inputs'!$B$14+'01_Inputs'!$B$15+'01_Inputs'!$B$16),MOD((59*24/6+2)-'03_Capacity_Model'!$B$95,'03_Capacity_Model'!$B$96)&lt;(('01_Inputs'!$B$14+'01_Inputs'!$B$15+'01_Inputs'!$B$16)+'01_Inputs'!$B$17+'01_Inputs'!$B$18))),3,0)</f>
        <v>0</v>
      </c>
      <c r="BK22" s="93">
        <f>IF(OR(AND(MOD((60*24/6+2)-0,'03_Capacity_Model'!$B$96)&gt;=('01_Inputs'!$B$14+'01_Inputs'!$B$15+'01_Inputs'!$B$16),MOD((60*24/6+2)-0,'03_Capacity_Model'!$B$96)&lt;(('01_Inputs'!$B$14+'01_Inputs'!$B$15+'01_Inputs'!$B$16)+'01_Inputs'!$B$17+'01_Inputs'!$B$18)),AND(MOD((60*24/6+2)-'03_Capacity_Model'!$B$95,'03_Capacity_Model'!$B$96)&gt;=('01_Inputs'!$B$14+'01_Inputs'!$B$15+'01_Inputs'!$B$16),MOD((60*24/6+2)-'03_Capacity_Model'!$B$95,'03_Capacity_Model'!$B$96)&lt;(('01_Inputs'!$B$14+'01_Inputs'!$B$15+'01_Inputs'!$B$16)+'01_Inputs'!$B$17+'01_Inputs'!$B$18))),3,0)</f>
        <v>0</v>
      </c>
      <c r="BL22" s="93">
        <f>IF(OR(AND(MOD((61*24/6+2)-0,'03_Capacity_Model'!$B$96)&gt;=('01_Inputs'!$B$14+'01_Inputs'!$B$15+'01_Inputs'!$B$16),MOD((61*24/6+2)-0,'03_Capacity_Model'!$B$96)&lt;(('01_Inputs'!$B$14+'01_Inputs'!$B$15+'01_Inputs'!$B$16)+'01_Inputs'!$B$17+'01_Inputs'!$B$18)),AND(MOD((61*24/6+2)-'03_Capacity_Model'!$B$95,'03_Capacity_Model'!$B$96)&gt;=('01_Inputs'!$B$14+'01_Inputs'!$B$15+'01_Inputs'!$B$16),MOD((61*24/6+2)-'03_Capacity_Model'!$B$95,'03_Capacity_Model'!$B$96)&lt;(('01_Inputs'!$B$14+'01_Inputs'!$B$15+'01_Inputs'!$B$16)+'01_Inputs'!$B$17+'01_Inputs'!$B$18))),3,0)</f>
        <v>0</v>
      </c>
      <c r="BM22" s="93">
        <f>IF(OR(AND(MOD((62*24/6+2)-0,'03_Capacity_Model'!$B$96)&gt;=('01_Inputs'!$B$14+'01_Inputs'!$B$15+'01_Inputs'!$B$16),MOD((62*24/6+2)-0,'03_Capacity_Model'!$B$96)&lt;(('01_Inputs'!$B$14+'01_Inputs'!$B$15+'01_Inputs'!$B$16)+'01_Inputs'!$B$17+'01_Inputs'!$B$18)),AND(MOD((62*24/6+2)-'03_Capacity_Model'!$B$95,'03_Capacity_Model'!$B$96)&gt;=('01_Inputs'!$B$14+'01_Inputs'!$B$15+'01_Inputs'!$B$16),MOD((62*24/6+2)-'03_Capacity_Model'!$B$95,'03_Capacity_Model'!$B$96)&lt;(('01_Inputs'!$B$14+'01_Inputs'!$B$15+'01_Inputs'!$B$16)+'01_Inputs'!$B$17+'01_Inputs'!$B$18))),3,0)</f>
        <v>3</v>
      </c>
      <c r="BN22" s="93">
        <f>IF(OR(AND(MOD((63*24/6+2)-0,'03_Capacity_Model'!$B$96)&gt;=('01_Inputs'!$B$14+'01_Inputs'!$B$15+'01_Inputs'!$B$16),MOD((63*24/6+2)-0,'03_Capacity_Model'!$B$96)&lt;(('01_Inputs'!$B$14+'01_Inputs'!$B$15+'01_Inputs'!$B$16)+'01_Inputs'!$B$17+'01_Inputs'!$B$18)),AND(MOD((63*24/6+2)-'03_Capacity_Model'!$B$95,'03_Capacity_Model'!$B$96)&gt;=('01_Inputs'!$B$14+'01_Inputs'!$B$15+'01_Inputs'!$B$16),MOD((63*24/6+2)-'03_Capacity_Model'!$B$95,'03_Capacity_Model'!$B$96)&lt;(('01_Inputs'!$B$14+'01_Inputs'!$B$15+'01_Inputs'!$B$16)+'01_Inputs'!$B$17+'01_Inputs'!$B$18))),3,0)</f>
        <v>3</v>
      </c>
      <c r="BO22" s="93">
        <f>IF(OR(AND(MOD((64*24/6+2)-0,'03_Capacity_Model'!$B$96)&gt;=('01_Inputs'!$B$14+'01_Inputs'!$B$15+'01_Inputs'!$B$16),MOD((64*24/6+2)-0,'03_Capacity_Model'!$B$96)&lt;(('01_Inputs'!$B$14+'01_Inputs'!$B$15+'01_Inputs'!$B$16)+'01_Inputs'!$B$17+'01_Inputs'!$B$18)),AND(MOD((64*24/6+2)-'03_Capacity_Model'!$B$95,'03_Capacity_Model'!$B$96)&gt;=('01_Inputs'!$B$14+'01_Inputs'!$B$15+'01_Inputs'!$B$16),MOD((64*24/6+2)-'03_Capacity_Model'!$B$95,'03_Capacity_Model'!$B$96)&lt;(('01_Inputs'!$B$14+'01_Inputs'!$B$15+'01_Inputs'!$B$16)+'01_Inputs'!$B$17+'01_Inputs'!$B$18))),3,0)</f>
        <v>0</v>
      </c>
      <c r="BP22" s="93">
        <f>IF(OR(AND(MOD((65*24/6+2)-0,'03_Capacity_Model'!$B$96)&gt;=('01_Inputs'!$B$14+'01_Inputs'!$B$15+'01_Inputs'!$B$16),MOD((65*24/6+2)-0,'03_Capacity_Model'!$B$96)&lt;(('01_Inputs'!$B$14+'01_Inputs'!$B$15+'01_Inputs'!$B$16)+'01_Inputs'!$B$17+'01_Inputs'!$B$18)),AND(MOD((65*24/6+2)-'03_Capacity_Model'!$B$95,'03_Capacity_Model'!$B$96)&gt;=('01_Inputs'!$B$14+'01_Inputs'!$B$15+'01_Inputs'!$B$16),MOD((65*24/6+2)-'03_Capacity_Model'!$B$95,'03_Capacity_Model'!$B$96)&lt;(('01_Inputs'!$B$14+'01_Inputs'!$B$15+'01_Inputs'!$B$16)+'01_Inputs'!$B$17+'01_Inputs'!$B$18))),3,0)</f>
        <v>0</v>
      </c>
      <c r="BQ22" s="93">
        <f>IF(OR(AND(MOD((66*24/6+2)-0,'03_Capacity_Model'!$B$96)&gt;=('01_Inputs'!$B$14+'01_Inputs'!$B$15+'01_Inputs'!$B$16),MOD((66*24/6+2)-0,'03_Capacity_Model'!$B$96)&lt;(('01_Inputs'!$B$14+'01_Inputs'!$B$15+'01_Inputs'!$B$16)+'01_Inputs'!$B$17+'01_Inputs'!$B$18)),AND(MOD((66*24/6+2)-'03_Capacity_Model'!$B$95,'03_Capacity_Model'!$B$96)&gt;=('01_Inputs'!$B$14+'01_Inputs'!$B$15+'01_Inputs'!$B$16),MOD((66*24/6+2)-'03_Capacity_Model'!$B$95,'03_Capacity_Model'!$B$96)&lt;(('01_Inputs'!$B$14+'01_Inputs'!$B$15+'01_Inputs'!$B$16)+'01_Inputs'!$B$17+'01_Inputs'!$B$18))),3,0)</f>
        <v>0</v>
      </c>
      <c r="BR22" s="93">
        <f>IF(OR(AND(MOD((67*24/6+2)-0,'03_Capacity_Model'!$B$96)&gt;=('01_Inputs'!$B$14+'01_Inputs'!$B$15+'01_Inputs'!$B$16),MOD((67*24/6+2)-0,'03_Capacity_Model'!$B$96)&lt;(('01_Inputs'!$B$14+'01_Inputs'!$B$15+'01_Inputs'!$B$16)+'01_Inputs'!$B$17+'01_Inputs'!$B$18)),AND(MOD((67*24/6+2)-'03_Capacity_Model'!$B$95,'03_Capacity_Model'!$B$96)&gt;=('01_Inputs'!$B$14+'01_Inputs'!$B$15+'01_Inputs'!$B$16),MOD((67*24/6+2)-'03_Capacity_Model'!$B$95,'03_Capacity_Model'!$B$96)&lt;(('01_Inputs'!$B$14+'01_Inputs'!$B$15+'01_Inputs'!$B$16)+'01_Inputs'!$B$17+'01_Inputs'!$B$18))),3,0)</f>
        <v>0</v>
      </c>
      <c r="BS22" s="93">
        <f>IF(OR(AND(MOD((68*24/6+2)-0,'03_Capacity_Model'!$B$96)&gt;=('01_Inputs'!$B$14+'01_Inputs'!$B$15+'01_Inputs'!$B$16),MOD((68*24/6+2)-0,'03_Capacity_Model'!$B$96)&lt;(('01_Inputs'!$B$14+'01_Inputs'!$B$15+'01_Inputs'!$B$16)+'01_Inputs'!$B$17+'01_Inputs'!$B$18)),AND(MOD((68*24/6+2)-'03_Capacity_Model'!$B$95,'03_Capacity_Model'!$B$96)&gt;=('01_Inputs'!$B$14+'01_Inputs'!$B$15+'01_Inputs'!$B$16),MOD((68*24/6+2)-'03_Capacity_Model'!$B$95,'03_Capacity_Model'!$B$96)&lt;(('01_Inputs'!$B$14+'01_Inputs'!$B$15+'01_Inputs'!$B$16)+'01_Inputs'!$B$17+'01_Inputs'!$B$18))),3,0)</f>
        <v>0</v>
      </c>
      <c r="BT22" s="93">
        <f>IF(OR(AND(MOD((69*24/6+2)-0,'03_Capacity_Model'!$B$96)&gt;=('01_Inputs'!$B$14+'01_Inputs'!$B$15+'01_Inputs'!$B$16),MOD((69*24/6+2)-0,'03_Capacity_Model'!$B$96)&lt;(('01_Inputs'!$B$14+'01_Inputs'!$B$15+'01_Inputs'!$B$16)+'01_Inputs'!$B$17+'01_Inputs'!$B$18)),AND(MOD((69*24/6+2)-'03_Capacity_Model'!$B$95,'03_Capacity_Model'!$B$96)&gt;=('01_Inputs'!$B$14+'01_Inputs'!$B$15+'01_Inputs'!$B$16),MOD((69*24/6+2)-'03_Capacity_Model'!$B$95,'03_Capacity_Model'!$B$96)&lt;(('01_Inputs'!$B$14+'01_Inputs'!$B$15+'01_Inputs'!$B$16)+'01_Inputs'!$B$17+'01_Inputs'!$B$18))),3,0)</f>
        <v>3</v>
      </c>
      <c r="BU22" s="93">
        <f>IF(OR(AND(MOD((70*24/6+2)-0,'03_Capacity_Model'!$B$96)&gt;=('01_Inputs'!$B$14+'01_Inputs'!$B$15+'01_Inputs'!$B$16),MOD((70*24/6+2)-0,'03_Capacity_Model'!$B$96)&lt;(('01_Inputs'!$B$14+'01_Inputs'!$B$15+'01_Inputs'!$B$16)+'01_Inputs'!$B$17+'01_Inputs'!$B$18)),AND(MOD((70*24/6+2)-'03_Capacity_Model'!$B$95,'03_Capacity_Model'!$B$96)&gt;=('01_Inputs'!$B$14+'01_Inputs'!$B$15+'01_Inputs'!$B$16),MOD((70*24/6+2)-'03_Capacity_Model'!$B$95,'03_Capacity_Model'!$B$96)&lt;(('01_Inputs'!$B$14+'01_Inputs'!$B$15+'01_Inputs'!$B$16)+'01_Inputs'!$B$17+'01_Inputs'!$B$18))),3,0)</f>
        <v>3</v>
      </c>
      <c r="BV22" s="93">
        <f>IF(OR(AND(MOD((71*24/6+2)-0,'03_Capacity_Model'!$B$96)&gt;=('01_Inputs'!$B$14+'01_Inputs'!$B$15+'01_Inputs'!$B$16),MOD((71*24/6+2)-0,'03_Capacity_Model'!$B$96)&lt;(('01_Inputs'!$B$14+'01_Inputs'!$B$15+'01_Inputs'!$B$16)+'01_Inputs'!$B$17+'01_Inputs'!$B$18)),AND(MOD((71*24/6+2)-'03_Capacity_Model'!$B$95,'03_Capacity_Model'!$B$96)&gt;=('01_Inputs'!$B$14+'01_Inputs'!$B$15+'01_Inputs'!$B$16),MOD((71*24/6+2)-'03_Capacity_Model'!$B$95,'03_Capacity_Model'!$B$96)&lt;(('01_Inputs'!$B$14+'01_Inputs'!$B$15+'01_Inputs'!$B$16)+'01_Inputs'!$B$17+'01_Inputs'!$B$18))),3,0)</f>
        <v>0</v>
      </c>
      <c r="BW22" s="93">
        <f>IF(OR(AND(MOD((72*24/6+2)-0,'03_Capacity_Model'!$B$96)&gt;=('01_Inputs'!$B$14+'01_Inputs'!$B$15+'01_Inputs'!$B$16),MOD((72*24/6+2)-0,'03_Capacity_Model'!$B$96)&lt;(('01_Inputs'!$B$14+'01_Inputs'!$B$15+'01_Inputs'!$B$16)+'01_Inputs'!$B$17+'01_Inputs'!$B$18)),AND(MOD((72*24/6+2)-'03_Capacity_Model'!$B$95,'03_Capacity_Model'!$B$96)&gt;=('01_Inputs'!$B$14+'01_Inputs'!$B$15+'01_Inputs'!$B$16),MOD((72*24/6+2)-'03_Capacity_Model'!$B$95,'03_Capacity_Model'!$B$96)&lt;(('01_Inputs'!$B$14+'01_Inputs'!$B$15+'01_Inputs'!$B$16)+'01_Inputs'!$B$17+'01_Inputs'!$B$18))),3,0)</f>
        <v>0</v>
      </c>
      <c r="BX22" s="93">
        <f>IF(OR(AND(MOD((73*24/6+2)-0,'03_Capacity_Model'!$B$96)&gt;=('01_Inputs'!$B$14+'01_Inputs'!$B$15+'01_Inputs'!$B$16),MOD((73*24/6+2)-0,'03_Capacity_Model'!$B$96)&lt;(('01_Inputs'!$B$14+'01_Inputs'!$B$15+'01_Inputs'!$B$16)+'01_Inputs'!$B$17+'01_Inputs'!$B$18)),AND(MOD((73*24/6+2)-'03_Capacity_Model'!$B$95,'03_Capacity_Model'!$B$96)&gt;=('01_Inputs'!$B$14+'01_Inputs'!$B$15+'01_Inputs'!$B$16),MOD((73*24/6+2)-'03_Capacity_Model'!$B$95,'03_Capacity_Model'!$B$96)&lt;(('01_Inputs'!$B$14+'01_Inputs'!$B$15+'01_Inputs'!$B$16)+'01_Inputs'!$B$17+'01_Inputs'!$B$18))),3,0)</f>
        <v>0</v>
      </c>
      <c r="BY22" s="93">
        <f>IF(OR(AND(MOD((74*24/6+2)-0,'03_Capacity_Model'!$B$96)&gt;=('01_Inputs'!$B$14+'01_Inputs'!$B$15+'01_Inputs'!$B$16),MOD((74*24/6+2)-0,'03_Capacity_Model'!$B$96)&lt;(('01_Inputs'!$B$14+'01_Inputs'!$B$15+'01_Inputs'!$B$16)+'01_Inputs'!$B$17+'01_Inputs'!$B$18)),AND(MOD((74*24/6+2)-'03_Capacity_Model'!$B$95,'03_Capacity_Model'!$B$96)&gt;=('01_Inputs'!$B$14+'01_Inputs'!$B$15+'01_Inputs'!$B$16),MOD((74*24/6+2)-'03_Capacity_Model'!$B$95,'03_Capacity_Model'!$B$96)&lt;(('01_Inputs'!$B$14+'01_Inputs'!$B$15+'01_Inputs'!$B$16)+'01_Inputs'!$B$17+'01_Inputs'!$B$18))),3,0)</f>
        <v>0</v>
      </c>
      <c r="BZ22" s="93">
        <f>IF(OR(AND(MOD((75*24/6+2)-0,'03_Capacity_Model'!$B$96)&gt;=('01_Inputs'!$B$14+'01_Inputs'!$B$15+'01_Inputs'!$B$16),MOD((75*24/6+2)-0,'03_Capacity_Model'!$B$96)&lt;(('01_Inputs'!$B$14+'01_Inputs'!$B$15+'01_Inputs'!$B$16)+'01_Inputs'!$B$17+'01_Inputs'!$B$18)),AND(MOD((75*24/6+2)-'03_Capacity_Model'!$B$95,'03_Capacity_Model'!$B$96)&gt;=('01_Inputs'!$B$14+'01_Inputs'!$B$15+'01_Inputs'!$B$16),MOD((75*24/6+2)-'03_Capacity_Model'!$B$95,'03_Capacity_Model'!$B$96)&lt;(('01_Inputs'!$B$14+'01_Inputs'!$B$15+'01_Inputs'!$B$16)+'01_Inputs'!$B$17+'01_Inputs'!$B$18))),3,0)</f>
        <v>0</v>
      </c>
      <c r="CA22" s="93">
        <f>IF(OR(AND(MOD((76*24/6+2)-0,'03_Capacity_Model'!$B$96)&gt;=('01_Inputs'!$B$14+'01_Inputs'!$B$15+'01_Inputs'!$B$16),MOD((76*24/6+2)-0,'03_Capacity_Model'!$B$96)&lt;(('01_Inputs'!$B$14+'01_Inputs'!$B$15+'01_Inputs'!$B$16)+'01_Inputs'!$B$17+'01_Inputs'!$B$18)),AND(MOD((76*24/6+2)-'03_Capacity_Model'!$B$95,'03_Capacity_Model'!$B$96)&gt;=('01_Inputs'!$B$14+'01_Inputs'!$B$15+'01_Inputs'!$B$16),MOD((76*24/6+2)-'03_Capacity_Model'!$B$95,'03_Capacity_Model'!$B$96)&lt;(('01_Inputs'!$B$14+'01_Inputs'!$B$15+'01_Inputs'!$B$16)+'01_Inputs'!$B$17+'01_Inputs'!$B$18))),3,0)</f>
        <v>0</v>
      </c>
      <c r="CB22" s="93">
        <f>IF(OR(AND(MOD((77*24/6+2)-0,'03_Capacity_Model'!$B$96)&gt;=('01_Inputs'!$B$14+'01_Inputs'!$B$15+'01_Inputs'!$B$16),MOD((77*24/6+2)-0,'03_Capacity_Model'!$B$96)&lt;(('01_Inputs'!$B$14+'01_Inputs'!$B$15+'01_Inputs'!$B$16)+'01_Inputs'!$B$17+'01_Inputs'!$B$18)),AND(MOD((77*24/6+2)-'03_Capacity_Model'!$B$95,'03_Capacity_Model'!$B$96)&gt;=('01_Inputs'!$B$14+'01_Inputs'!$B$15+'01_Inputs'!$B$16),MOD((77*24/6+2)-'03_Capacity_Model'!$B$95,'03_Capacity_Model'!$B$96)&lt;(('01_Inputs'!$B$14+'01_Inputs'!$B$15+'01_Inputs'!$B$16)+'01_Inputs'!$B$17+'01_Inputs'!$B$18))),3,0)</f>
        <v>0</v>
      </c>
      <c r="CC22" s="93">
        <f>IF(OR(AND(MOD((78*24/6+2)-0,'03_Capacity_Model'!$B$96)&gt;=('01_Inputs'!$B$14+'01_Inputs'!$B$15+'01_Inputs'!$B$16),MOD((78*24/6+2)-0,'03_Capacity_Model'!$B$96)&lt;(('01_Inputs'!$B$14+'01_Inputs'!$B$15+'01_Inputs'!$B$16)+'01_Inputs'!$B$17+'01_Inputs'!$B$18)),AND(MOD((78*24/6+2)-'03_Capacity_Model'!$B$95,'03_Capacity_Model'!$B$96)&gt;=('01_Inputs'!$B$14+'01_Inputs'!$B$15+'01_Inputs'!$B$16),MOD((78*24/6+2)-'03_Capacity_Model'!$B$95,'03_Capacity_Model'!$B$96)&lt;(('01_Inputs'!$B$14+'01_Inputs'!$B$15+'01_Inputs'!$B$16)+'01_Inputs'!$B$17+'01_Inputs'!$B$18))),3,0)</f>
        <v>0</v>
      </c>
      <c r="CD22" s="93">
        <f>IF(OR(AND(MOD((79*24/6+2)-0,'03_Capacity_Model'!$B$96)&gt;=('01_Inputs'!$B$14+'01_Inputs'!$B$15+'01_Inputs'!$B$16),MOD((79*24/6+2)-0,'03_Capacity_Model'!$B$96)&lt;(('01_Inputs'!$B$14+'01_Inputs'!$B$15+'01_Inputs'!$B$16)+'01_Inputs'!$B$17+'01_Inputs'!$B$18)),AND(MOD((79*24/6+2)-'03_Capacity_Model'!$B$95,'03_Capacity_Model'!$B$96)&gt;=('01_Inputs'!$B$14+'01_Inputs'!$B$15+'01_Inputs'!$B$16),MOD((79*24/6+2)-'03_Capacity_Model'!$B$95,'03_Capacity_Model'!$B$96)&lt;(('01_Inputs'!$B$14+'01_Inputs'!$B$15+'01_Inputs'!$B$16)+'01_Inputs'!$B$17+'01_Inputs'!$B$18))),3,0)</f>
        <v>3</v>
      </c>
      <c r="CE22" s="93">
        <f>IF(OR(AND(MOD((80*24/6+2)-0,'03_Capacity_Model'!$B$96)&gt;=('01_Inputs'!$B$14+'01_Inputs'!$B$15+'01_Inputs'!$B$16),MOD((80*24/6+2)-0,'03_Capacity_Model'!$B$96)&lt;(('01_Inputs'!$B$14+'01_Inputs'!$B$15+'01_Inputs'!$B$16)+'01_Inputs'!$B$17+'01_Inputs'!$B$18)),AND(MOD((80*24/6+2)-'03_Capacity_Model'!$B$95,'03_Capacity_Model'!$B$96)&gt;=('01_Inputs'!$B$14+'01_Inputs'!$B$15+'01_Inputs'!$B$16),MOD((80*24/6+2)-'03_Capacity_Model'!$B$95,'03_Capacity_Model'!$B$96)&lt;(('01_Inputs'!$B$14+'01_Inputs'!$B$15+'01_Inputs'!$B$16)+'01_Inputs'!$B$17+'01_Inputs'!$B$18))),3,0)</f>
        <v>3</v>
      </c>
      <c r="CF22" s="93">
        <f>IF(OR(AND(MOD((81*24/6+2)-0,'03_Capacity_Model'!$B$96)&gt;=('01_Inputs'!$B$14+'01_Inputs'!$B$15+'01_Inputs'!$B$16),MOD((81*24/6+2)-0,'03_Capacity_Model'!$B$96)&lt;(('01_Inputs'!$B$14+'01_Inputs'!$B$15+'01_Inputs'!$B$16)+'01_Inputs'!$B$17+'01_Inputs'!$B$18)),AND(MOD((81*24/6+2)-'03_Capacity_Model'!$B$95,'03_Capacity_Model'!$B$96)&gt;=('01_Inputs'!$B$14+'01_Inputs'!$B$15+'01_Inputs'!$B$16),MOD((81*24/6+2)-'03_Capacity_Model'!$B$95,'03_Capacity_Model'!$B$96)&lt;(('01_Inputs'!$B$14+'01_Inputs'!$B$15+'01_Inputs'!$B$16)+'01_Inputs'!$B$17+'01_Inputs'!$B$18))),3,0)</f>
        <v>0</v>
      </c>
      <c r="CG22" s="93">
        <f>IF(OR(AND(MOD((82*24/6+2)-0,'03_Capacity_Model'!$B$96)&gt;=('01_Inputs'!$B$14+'01_Inputs'!$B$15+'01_Inputs'!$B$16),MOD((82*24/6+2)-0,'03_Capacity_Model'!$B$96)&lt;(('01_Inputs'!$B$14+'01_Inputs'!$B$15+'01_Inputs'!$B$16)+'01_Inputs'!$B$17+'01_Inputs'!$B$18)),AND(MOD((82*24/6+2)-'03_Capacity_Model'!$B$95,'03_Capacity_Model'!$B$96)&gt;=('01_Inputs'!$B$14+'01_Inputs'!$B$15+'01_Inputs'!$B$16),MOD((82*24/6+2)-'03_Capacity_Model'!$B$95,'03_Capacity_Model'!$B$96)&lt;(('01_Inputs'!$B$14+'01_Inputs'!$B$15+'01_Inputs'!$B$16)+'01_Inputs'!$B$17+'01_Inputs'!$B$18))),3,0)</f>
        <v>0</v>
      </c>
      <c r="CH22" s="93">
        <f>IF(OR(AND(MOD((83*24/6+2)-0,'03_Capacity_Model'!$B$96)&gt;=('01_Inputs'!$B$14+'01_Inputs'!$B$15+'01_Inputs'!$B$16),MOD((83*24/6+2)-0,'03_Capacity_Model'!$B$96)&lt;(('01_Inputs'!$B$14+'01_Inputs'!$B$15+'01_Inputs'!$B$16)+'01_Inputs'!$B$17+'01_Inputs'!$B$18)),AND(MOD((83*24/6+2)-'03_Capacity_Model'!$B$95,'03_Capacity_Model'!$B$96)&gt;=('01_Inputs'!$B$14+'01_Inputs'!$B$15+'01_Inputs'!$B$16),MOD((83*24/6+2)-'03_Capacity_Model'!$B$95,'03_Capacity_Model'!$B$96)&lt;(('01_Inputs'!$B$14+'01_Inputs'!$B$15+'01_Inputs'!$B$16)+'01_Inputs'!$B$17+'01_Inputs'!$B$18))),3,0)</f>
        <v>0</v>
      </c>
      <c r="CI22" s="93">
        <f>IF(OR(AND(MOD((84*24/6+2)-0,'03_Capacity_Model'!$B$96)&gt;=('01_Inputs'!$B$14+'01_Inputs'!$B$15+'01_Inputs'!$B$16),MOD((84*24/6+2)-0,'03_Capacity_Model'!$B$96)&lt;(('01_Inputs'!$B$14+'01_Inputs'!$B$15+'01_Inputs'!$B$16)+'01_Inputs'!$B$17+'01_Inputs'!$B$18)),AND(MOD((84*24/6+2)-'03_Capacity_Model'!$B$95,'03_Capacity_Model'!$B$96)&gt;=('01_Inputs'!$B$14+'01_Inputs'!$B$15+'01_Inputs'!$B$16),MOD((84*24/6+2)-'03_Capacity_Model'!$B$95,'03_Capacity_Model'!$B$96)&lt;(('01_Inputs'!$B$14+'01_Inputs'!$B$15+'01_Inputs'!$B$16)+'01_Inputs'!$B$17+'01_Inputs'!$B$18))),3,0)</f>
        <v>0</v>
      </c>
      <c r="CJ22" s="93">
        <f>IF(OR(AND(MOD((85*24/6+2)-0,'03_Capacity_Model'!$B$96)&gt;=('01_Inputs'!$B$14+'01_Inputs'!$B$15+'01_Inputs'!$B$16),MOD((85*24/6+2)-0,'03_Capacity_Model'!$B$96)&lt;(('01_Inputs'!$B$14+'01_Inputs'!$B$15+'01_Inputs'!$B$16)+'01_Inputs'!$B$17+'01_Inputs'!$B$18)),AND(MOD((85*24/6+2)-'03_Capacity_Model'!$B$95,'03_Capacity_Model'!$B$96)&gt;=('01_Inputs'!$B$14+'01_Inputs'!$B$15+'01_Inputs'!$B$16),MOD((85*24/6+2)-'03_Capacity_Model'!$B$95,'03_Capacity_Model'!$B$96)&lt;(('01_Inputs'!$B$14+'01_Inputs'!$B$15+'01_Inputs'!$B$16)+'01_Inputs'!$B$17+'01_Inputs'!$B$18))),3,0)</f>
        <v>0</v>
      </c>
      <c r="CK22" s="93">
        <f>IF(OR(AND(MOD((86*24/6+2)-0,'03_Capacity_Model'!$B$96)&gt;=('01_Inputs'!$B$14+'01_Inputs'!$B$15+'01_Inputs'!$B$16),MOD((86*24/6+2)-0,'03_Capacity_Model'!$B$96)&lt;(('01_Inputs'!$B$14+'01_Inputs'!$B$15+'01_Inputs'!$B$16)+'01_Inputs'!$B$17+'01_Inputs'!$B$18)),AND(MOD((86*24/6+2)-'03_Capacity_Model'!$B$95,'03_Capacity_Model'!$B$96)&gt;=('01_Inputs'!$B$14+'01_Inputs'!$B$15+'01_Inputs'!$B$16),MOD((86*24/6+2)-'03_Capacity_Model'!$B$95,'03_Capacity_Model'!$B$96)&lt;(('01_Inputs'!$B$14+'01_Inputs'!$B$15+'01_Inputs'!$B$16)+'01_Inputs'!$B$17+'01_Inputs'!$B$18))),3,0)</f>
        <v>3</v>
      </c>
      <c r="CL22" s="93">
        <f>IF(OR(AND(MOD((87*24/6+2)-0,'03_Capacity_Model'!$B$96)&gt;=('01_Inputs'!$B$14+'01_Inputs'!$B$15+'01_Inputs'!$B$16),MOD((87*24/6+2)-0,'03_Capacity_Model'!$B$96)&lt;(('01_Inputs'!$B$14+'01_Inputs'!$B$15+'01_Inputs'!$B$16)+'01_Inputs'!$B$17+'01_Inputs'!$B$18)),AND(MOD((87*24/6+2)-'03_Capacity_Model'!$B$95,'03_Capacity_Model'!$B$96)&gt;=('01_Inputs'!$B$14+'01_Inputs'!$B$15+'01_Inputs'!$B$16),MOD((87*24/6+2)-'03_Capacity_Model'!$B$95,'03_Capacity_Model'!$B$96)&lt;(('01_Inputs'!$B$14+'01_Inputs'!$B$15+'01_Inputs'!$B$16)+'01_Inputs'!$B$17+'01_Inputs'!$B$18))),3,0)</f>
        <v>3</v>
      </c>
      <c r="CM22" s="93">
        <f>IF(OR(AND(MOD((88*24/6+2)-0,'03_Capacity_Model'!$B$96)&gt;=('01_Inputs'!$B$14+'01_Inputs'!$B$15+'01_Inputs'!$B$16),MOD((88*24/6+2)-0,'03_Capacity_Model'!$B$96)&lt;(('01_Inputs'!$B$14+'01_Inputs'!$B$15+'01_Inputs'!$B$16)+'01_Inputs'!$B$17+'01_Inputs'!$B$18)),AND(MOD((88*24/6+2)-'03_Capacity_Model'!$B$95,'03_Capacity_Model'!$B$96)&gt;=('01_Inputs'!$B$14+'01_Inputs'!$B$15+'01_Inputs'!$B$16),MOD((88*24/6+2)-'03_Capacity_Model'!$B$95,'03_Capacity_Model'!$B$96)&lt;(('01_Inputs'!$B$14+'01_Inputs'!$B$15+'01_Inputs'!$B$16)+'01_Inputs'!$B$17+'01_Inputs'!$B$18))),3,0)</f>
        <v>0</v>
      </c>
      <c r="CN22" s="93">
        <f>IF(OR(AND(MOD((89*24/6+2)-0,'03_Capacity_Model'!$B$96)&gt;=('01_Inputs'!$B$14+'01_Inputs'!$B$15+'01_Inputs'!$B$16),MOD((89*24/6+2)-0,'03_Capacity_Model'!$B$96)&lt;(('01_Inputs'!$B$14+'01_Inputs'!$B$15+'01_Inputs'!$B$16)+'01_Inputs'!$B$17+'01_Inputs'!$B$18)),AND(MOD((89*24/6+2)-'03_Capacity_Model'!$B$95,'03_Capacity_Model'!$B$96)&gt;=('01_Inputs'!$B$14+'01_Inputs'!$B$15+'01_Inputs'!$B$16),MOD((89*24/6+2)-'03_Capacity_Model'!$B$95,'03_Capacity_Model'!$B$96)&lt;(('01_Inputs'!$B$14+'01_Inputs'!$B$15+'01_Inputs'!$B$16)+'01_Inputs'!$B$17+'01_Inputs'!$B$18))),3,0)</f>
        <v>0</v>
      </c>
      <c r="CO22" s="93">
        <f>IF(OR(AND(MOD((90*24/6+2)-0,'03_Capacity_Model'!$B$96)&gt;=('01_Inputs'!$B$14+'01_Inputs'!$B$15+'01_Inputs'!$B$16),MOD((90*24/6+2)-0,'03_Capacity_Model'!$B$96)&lt;(('01_Inputs'!$B$14+'01_Inputs'!$B$15+'01_Inputs'!$B$16)+'01_Inputs'!$B$17+'01_Inputs'!$B$18)),AND(MOD((90*24/6+2)-'03_Capacity_Model'!$B$95,'03_Capacity_Model'!$B$96)&gt;=('01_Inputs'!$B$14+'01_Inputs'!$B$15+'01_Inputs'!$B$16),MOD((90*24/6+2)-'03_Capacity_Model'!$B$95,'03_Capacity_Model'!$B$96)&lt;(('01_Inputs'!$B$14+'01_Inputs'!$B$15+'01_Inputs'!$B$16)+'01_Inputs'!$B$17+'01_Inputs'!$B$18))),3,0)</f>
        <v>0</v>
      </c>
      <c r="CP22" s="93">
        <f>IF(OR(AND(MOD((91*24/6+2)-0,'03_Capacity_Model'!$B$96)&gt;=('01_Inputs'!$B$14+'01_Inputs'!$B$15+'01_Inputs'!$B$16),MOD((91*24/6+2)-0,'03_Capacity_Model'!$B$96)&lt;(('01_Inputs'!$B$14+'01_Inputs'!$B$15+'01_Inputs'!$B$16)+'01_Inputs'!$B$17+'01_Inputs'!$B$18)),AND(MOD((91*24/6+2)-'03_Capacity_Model'!$B$95,'03_Capacity_Model'!$B$96)&gt;=('01_Inputs'!$B$14+'01_Inputs'!$B$15+'01_Inputs'!$B$16),MOD((91*24/6+2)-'03_Capacity_Model'!$B$95,'03_Capacity_Model'!$B$96)&lt;(('01_Inputs'!$B$14+'01_Inputs'!$B$15+'01_Inputs'!$B$16)+'01_Inputs'!$B$17+'01_Inputs'!$B$18))),3,0)</f>
        <v>0</v>
      </c>
      <c r="CQ22" s="93">
        <f>IF(OR(AND(MOD((92*24/6+2)-0,'03_Capacity_Model'!$B$96)&gt;=('01_Inputs'!$B$14+'01_Inputs'!$B$15+'01_Inputs'!$B$16),MOD((92*24/6+2)-0,'03_Capacity_Model'!$B$96)&lt;(('01_Inputs'!$B$14+'01_Inputs'!$B$15+'01_Inputs'!$B$16)+'01_Inputs'!$B$17+'01_Inputs'!$B$18)),AND(MOD((92*24/6+2)-'03_Capacity_Model'!$B$95,'03_Capacity_Model'!$B$96)&gt;=('01_Inputs'!$B$14+'01_Inputs'!$B$15+'01_Inputs'!$B$16),MOD((92*24/6+2)-'03_Capacity_Model'!$B$95,'03_Capacity_Model'!$B$96)&lt;(('01_Inputs'!$B$14+'01_Inputs'!$B$15+'01_Inputs'!$B$16)+'01_Inputs'!$B$17+'01_Inputs'!$B$18))),3,0)</f>
        <v>0</v>
      </c>
      <c r="CR22" s="93">
        <f>IF(OR(AND(MOD((93*24/6+2)-0,'03_Capacity_Model'!$B$96)&gt;=('01_Inputs'!$B$14+'01_Inputs'!$B$15+'01_Inputs'!$B$16),MOD((93*24/6+2)-0,'03_Capacity_Model'!$B$96)&lt;(('01_Inputs'!$B$14+'01_Inputs'!$B$15+'01_Inputs'!$B$16)+'01_Inputs'!$B$17+'01_Inputs'!$B$18)),AND(MOD((93*24/6+2)-'03_Capacity_Model'!$B$95,'03_Capacity_Model'!$B$96)&gt;=('01_Inputs'!$B$14+'01_Inputs'!$B$15+'01_Inputs'!$B$16),MOD((93*24/6+2)-'03_Capacity_Model'!$B$95,'03_Capacity_Model'!$B$96)&lt;(('01_Inputs'!$B$14+'01_Inputs'!$B$15+'01_Inputs'!$B$16)+'01_Inputs'!$B$17+'01_Inputs'!$B$18))),3,0)</f>
        <v>0</v>
      </c>
      <c r="CS22" s="93">
        <f>IF(OR(AND(MOD((94*24/6+2)-0,'03_Capacity_Model'!$B$96)&gt;=('01_Inputs'!$B$14+'01_Inputs'!$B$15+'01_Inputs'!$B$16),MOD((94*24/6+2)-0,'03_Capacity_Model'!$B$96)&lt;(('01_Inputs'!$B$14+'01_Inputs'!$B$15+'01_Inputs'!$B$16)+'01_Inputs'!$B$17+'01_Inputs'!$B$18)),AND(MOD((94*24/6+2)-'03_Capacity_Model'!$B$95,'03_Capacity_Model'!$B$96)&gt;=('01_Inputs'!$B$14+'01_Inputs'!$B$15+'01_Inputs'!$B$16),MOD((94*24/6+2)-'03_Capacity_Model'!$B$95,'03_Capacity_Model'!$B$96)&lt;(('01_Inputs'!$B$14+'01_Inputs'!$B$15+'01_Inputs'!$B$16)+'01_Inputs'!$B$17+'01_Inputs'!$B$18))),3,0)</f>
        <v>0</v>
      </c>
      <c r="CT22" s="93">
        <f>IF(OR(AND(MOD((95*24/6+2)-0,'03_Capacity_Model'!$B$96)&gt;=('01_Inputs'!$B$14+'01_Inputs'!$B$15+'01_Inputs'!$B$16),MOD((95*24/6+2)-0,'03_Capacity_Model'!$B$96)&lt;(('01_Inputs'!$B$14+'01_Inputs'!$B$15+'01_Inputs'!$B$16)+'01_Inputs'!$B$17+'01_Inputs'!$B$18)),AND(MOD((95*24/6+2)-'03_Capacity_Model'!$B$95,'03_Capacity_Model'!$B$96)&gt;=('01_Inputs'!$B$14+'01_Inputs'!$B$15+'01_Inputs'!$B$16),MOD((95*24/6+2)-'03_Capacity_Model'!$B$95,'03_Capacity_Model'!$B$96)&lt;(('01_Inputs'!$B$14+'01_Inputs'!$B$15+'01_Inputs'!$B$16)+'01_Inputs'!$B$17+'01_Inputs'!$B$18))),3,0)</f>
        <v>3</v>
      </c>
      <c r="CU22" s="93">
        <f>IF(OR(AND(MOD((96*24/6+2)-0,'03_Capacity_Model'!$B$96)&gt;=('01_Inputs'!$B$14+'01_Inputs'!$B$15+'01_Inputs'!$B$16),MOD((96*24/6+2)-0,'03_Capacity_Model'!$B$96)&lt;(('01_Inputs'!$B$14+'01_Inputs'!$B$15+'01_Inputs'!$B$16)+'01_Inputs'!$B$17+'01_Inputs'!$B$18)),AND(MOD((96*24/6+2)-'03_Capacity_Model'!$B$95,'03_Capacity_Model'!$B$96)&gt;=('01_Inputs'!$B$14+'01_Inputs'!$B$15+'01_Inputs'!$B$16),MOD((96*24/6+2)-'03_Capacity_Model'!$B$95,'03_Capacity_Model'!$B$96)&lt;(('01_Inputs'!$B$14+'01_Inputs'!$B$15+'01_Inputs'!$B$16)+'01_Inputs'!$B$17+'01_Inputs'!$B$18))),3,0)</f>
        <v>3</v>
      </c>
      <c r="CV22" s="93">
        <f>IF(OR(AND(MOD((97*24/6+2)-0,'03_Capacity_Model'!$B$96)&gt;=('01_Inputs'!$B$14+'01_Inputs'!$B$15+'01_Inputs'!$B$16),MOD((97*24/6+2)-0,'03_Capacity_Model'!$B$96)&lt;(('01_Inputs'!$B$14+'01_Inputs'!$B$15+'01_Inputs'!$B$16)+'01_Inputs'!$B$17+'01_Inputs'!$B$18)),AND(MOD((97*24/6+2)-'03_Capacity_Model'!$B$95,'03_Capacity_Model'!$B$96)&gt;=('01_Inputs'!$B$14+'01_Inputs'!$B$15+'01_Inputs'!$B$16),MOD((97*24/6+2)-'03_Capacity_Model'!$B$95,'03_Capacity_Model'!$B$96)&lt;(('01_Inputs'!$B$14+'01_Inputs'!$B$15+'01_Inputs'!$B$16)+'01_Inputs'!$B$17+'01_Inputs'!$B$18))),3,0)</f>
        <v>0</v>
      </c>
      <c r="CW22" s="93">
        <f>IF(OR(AND(MOD((98*24/6+2)-0,'03_Capacity_Model'!$B$96)&gt;=('01_Inputs'!$B$14+'01_Inputs'!$B$15+'01_Inputs'!$B$16),MOD((98*24/6+2)-0,'03_Capacity_Model'!$B$96)&lt;(('01_Inputs'!$B$14+'01_Inputs'!$B$15+'01_Inputs'!$B$16)+'01_Inputs'!$B$17+'01_Inputs'!$B$18)),AND(MOD((98*24/6+2)-'03_Capacity_Model'!$B$95,'03_Capacity_Model'!$B$96)&gt;=('01_Inputs'!$B$14+'01_Inputs'!$B$15+'01_Inputs'!$B$16),MOD((98*24/6+2)-'03_Capacity_Model'!$B$95,'03_Capacity_Model'!$B$96)&lt;(('01_Inputs'!$B$14+'01_Inputs'!$B$15+'01_Inputs'!$B$16)+'01_Inputs'!$B$17+'01_Inputs'!$B$18))),3,0)</f>
        <v>0</v>
      </c>
      <c r="CX22" s="93">
        <f>IF(OR(AND(MOD((99*24/6+2)-0,'03_Capacity_Model'!$B$96)&gt;=('01_Inputs'!$B$14+'01_Inputs'!$B$15+'01_Inputs'!$B$16),MOD((99*24/6+2)-0,'03_Capacity_Model'!$B$96)&lt;(('01_Inputs'!$B$14+'01_Inputs'!$B$15+'01_Inputs'!$B$16)+'01_Inputs'!$B$17+'01_Inputs'!$B$18)),AND(MOD((99*24/6+2)-'03_Capacity_Model'!$B$95,'03_Capacity_Model'!$B$96)&gt;=('01_Inputs'!$B$14+'01_Inputs'!$B$15+'01_Inputs'!$B$16),MOD((99*24/6+2)-'03_Capacity_Model'!$B$95,'03_Capacity_Model'!$B$96)&lt;(('01_Inputs'!$B$14+'01_Inputs'!$B$15+'01_Inputs'!$B$16)+'01_Inputs'!$B$17+'01_Inputs'!$B$18))),3,0)</f>
        <v>0</v>
      </c>
      <c r="CY22" s="93">
        <f>IF(OR(AND(MOD((100*24/6+2)-0,'03_Capacity_Model'!$B$96)&gt;=('01_Inputs'!$B$14+'01_Inputs'!$B$15+'01_Inputs'!$B$16),MOD((100*24/6+2)-0,'03_Capacity_Model'!$B$96)&lt;(('01_Inputs'!$B$14+'01_Inputs'!$B$15+'01_Inputs'!$B$16)+'01_Inputs'!$B$17+'01_Inputs'!$B$18)),AND(MOD((100*24/6+2)-'03_Capacity_Model'!$B$95,'03_Capacity_Model'!$B$96)&gt;=('01_Inputs'!$B$14+'01_Inputs'!$B$15+'01_Inputs'!$B$16),MOD((100*24/6+2)-'03_Capacity_Model'!$B$95,'03_Capacity_Model'!$B$96)&lt;(('01_Inputs'!$B$14+'01_Inputs'!$B$15+'01_Inputs'!$B$16)+'01_Inputs'!$B$17+'01_Inputs'!$B$18))),3,0)</f>
        <v>0</v>
      </c>
      <c r="CZ22" s="93">
        <f>IF(OR(AND(MOD((101*24/6+2)-0,'03_Capacity_Model'!$B$96)&gt;=('01_Inputs'!$B$14+'01_Inputs'!$B$15+'01_Inputs'!$B$16),MOD((101*24/6+2)-0,'03_Capacity_Model'!$B$96)&lt;(('01_Inputs'!$B$14+'01_Inputs'!$B$15+'01_Inputs'!$B$16)+'01_Inputs'!$B$17+'01_Inputs'!$B$18)),AND(MOD((101*24/6+2)-'03_Capacity_Model'!$B$95,'03_Capacity_Model'!$B$96)&gt;=('01_Inputs'!$B$14+'01_Inputs'!$B$15+'01_Inputs'!$B$16),MOD((101*24/6+2)-'03_Capacity_Model'!$B$95,'03_Capacity_Model'!$B$96)&lt;(('01_Inputs'!$B$14+'01_Inputs'!$B$15+'01_Inputs'!$B$16)+'01_Inputs'!$B$17+'01_Inputs'!$B$18))),3,0)</f>
        <v>0</v>
      </c>
      <c r="DA22" s="93">
        <f>IF(OR(AND(MOD((102*24/6+2)-0,'03_Capacity_Model'!$B$96)&gt;=('01_Inputs'!$B$14+'01_Inputs'!$B$15+'01_Inputs'!$B$16),MOD((102*24/6+2)-0,'03_Capacity_Model'!$B$96)&lt;(('01_Inputs'!$B$14+'01_Inputs'!$B$15+'01_Inputs'!$B$16)+'01_Inputs'!$B$17+'01_Inputs'!$B$18)),AND(MOD((102*24/6+2)-'03_Capacity_Model'!$B$95,'03_Capacity_Model'!$B$96)&gt;=('01_Inputs'!$B$14+'01_Inputs'!$B$15+'01_Inputs'!$B$16),MOD((102*24/6+2)-'03_Capacity_Model'!$B$95,'03_Capacity_Model'!$B$96)&lt;(('01_Inputs'!$B$14+'01_Inputs'!$B$15+'01_Inputs'!$B$16)+'01_Inputs'!$B$17+'01_Inputs'!$B$18))),3,0)</f>
        <v>0</v>
      </c>
      <c r="DB22" s="93">
        <f>IF(OR(AND(MOD((103*24/6+2)-0,'03_Capacity_Model'!$B$96)&gt;=('01_Inputs'!$B$14+'01_Inputs'!$B$15+'01_Inputs'!$B$16),MOD((103*24/6+2)-0,'03_Capacity_Model'!$B$96)&lt;(('01_Inputs'!$B$14+'01_Inputs'!$B$15+'01_Inputs'!$B$16)+'01_Inputs'!$B$17+'01_Inputs'!$B$18)),AND(MOD((103*24/6+2)-'03_Capacity_Model'!$B$95,'03_Capacity_Model'!$B$96)&gt;=('01_Inputs'!$B$14+'01_Inputs'!$B$15+'01_Inputs'!$B$16),MOD((103*24/6+2)-'03_Capacity_Model'!$B$95,'03_Capacity_Model'!$B$96)&lt;(('01_Inputs'!$B$14+'01_Inputs'!$B$15+'01_Inputs'!$B$16)+'01_Inputs'!$B$17+'01_Inputs'!$B$18))),3,0)</f>
        <v>3</v>
      </c>
      <c r="DC22" s="93">
        <f>IF(OR(AND(MOD((104*24/6+2)-0,'03_Capacity_Model'!$B$96)&gt;=('01_Inputs'!$B$14+'01_Inputs'!$B$15+'01_Inputs'!$B$16),MOD((104*24/6+2)-0,'03_Capacity_Model'!$B$96)&lt;(('01_Inputs'!$B$14+'01_Inputs'!$B$15+'01_Inputs'!$B$16)+'01_Inputs'!$B$17+'01_Inputs'!$B$18)),AND(MOD((104*24/6+2)-'03_Capacity_Model'!$B$95,'03_Capacity_Model'!$B$96)&gt;=('01_Inputs'!$B$14+'01_Inputs'!$B$15+'01_Inputs'!$B$16),MOD((104*24/6+2)-'03_Capacity_Model'!$B$95,'03_Capacity_Model'!$B$96)&lt;(('01_Inputs'!$B$14+'01_Inputs'!$B$15+'01_Inputs'!$B$16)+'01_Inputs'!$B$17+'01_Inputs'!$B$18))),3,0)</f>
        <v>3</v>
      </c>
      <c r="DD22" s="93">
        <f>IF(OR(AND(MOD((105*24/6+2)-0,'03_Capacity_Model'!$B$96)&gt;=('01_Inputs'!$B$14+'01_Inputs'!$B$15+'01_Inputs'!$B$16),MOD((105*24/6+2)-0,'03_Capacity_Model'!$B$96)&lt;(('01_Inputs'!$B$14+'01_Inputs'!$B$15+'01_Inputs'!$B$16)+'01_Inputs'!$B$17+'01_Inputs'!$B$18)),AND(MOD((105*24/6+2)-'03_Capacity_Model'!$B$95,'03_Capacity_Model'!$B$96)&gt;=('01_Inputs'!$B$14+'01_Inputs'!$B$15+'01_Inputs'!$B$16),MOD((105*24/6+2)-'03_Capacity_Model'!$B$95,'03_Capacity_Model'!$B$96)&lt;(('01_Inputs'!$B$14+'01_Inputs'!$B$15+'01_Inputs'!$B$16)+'01_Inputs'!$B$17+'01_Inputs'!$B$18))),3,0)</f>
        <v>0</v>
      </c>
      <c r="DE22" s="93">
        <f>IF(OR(AND(MOD((106*24/6+2)-0,'03_Capacity_Model'!$B$96)&gt;=('01_Inputs'!$B$14+'01_Inputs'!$B$15+'01_Inputs'!$B$16),MOD((106*24/6+2)-0,'03_Capacity_Model'!$B$96)&lt;(('01_Inputs'!$B$14+'01_Inputs'!$B$15+'01_Inputs'!$B$16)+'01_Inputs'!$B$17+'01_Inputs'!$B$18)),AND(MOD((106*24/6+2)-'03_Capacity_Model'!$B$95,'03_Capacity_Model'!$B$96)&gt;=('01_Inputs'!$B$14+'01_Inputs'!$B$15+'01_Inputs'!$B$16),MOD((106*24/6+2)-'03_Capacity_Model'!$B$95,'03_Capacity_Model'!$B$96)&lt;(('01_Inputs'!$B$14+'01_Inputs'!$B$15+'01_Inputs'!$B$16)+'01_Inputs'!$B$17+'01_Inputs'!$B$18))),3,0)</f>
        <v>0</v>
      </c>
      <c r="DF22" s="93">
        <f>IF(OR(AND(MOD((107*24/6+2)-0,'03_Capacity_Model'!$B$96)&gt;=('01_Inputs'!$B$14+'01_Inputs'!$B$15+'01_Inputs'!$B$16),MOD((107*24/6+2)-0,'03_Capacity_Model'!$B$96)&lt;(('01_Inputs'!$B$14+'01_Inputs'!$B$15+'01_Inputs'!$B$16)+'01_Inputs'!$B$17+'01_Inputs'!$B$18)),AND(MOD((107*24/6+2)-'03_Capacity_Model'!$B$95,'03_Capacity_Model'!$B$96)&gt;=('01_Inputs'!$B$14+'01_Inputs'!$B$15+'01_Inputs'!$B$16),MOD((107*24/6+2)-'03_Capacity_Model'!$B$95,'03_Capacity_Model'!$B$96)&lt;(('01_Inputs'!$B$14+'01_Inputs'!$B$15+'01_Inputs'!$B$16)+'01_Inputs'!$B$17+'01_Inputs'!$B$18))),3,0)</f>
        <v>0</v>
      </c>
      <c r="DG22" s="93">
        <f>IF(OR(AND(MOD((108*24/6+2)-0,'03_Capacity_Model'!$B$96)&gt;=('01_Inputs'!$B$14+'01_Inputs'!$B$15+'01_Inputs'!$B$16),MOD((108*24/6+2)-0,'03_Capacity_Model'!$B$96)&lt;(('01_Inputs'!$B$14+'01_Inputs'!$B$15+'01_Inputs'!$B$16)+'01_Inputs'!$B$17+'01_Inputs'!$B$18)),AND(MOD((108*24/6+2)-'03_Capacity_Model'!$B$95,'03_Capacity_Model'!$B$96)&gt;=('01_Inputs'!$B$14+'01_Inputs'!$B$15+'01_Inputs'!$B$16),MOD((108*24/6+2)-'03_Capacity_Model'!$B$95,'03_Capacity_Model'!$B$96)&lt;(('01_Inputs'!$B$14+'01_Inputs'!$B$15+'01_Inputs'!$B$16)+'01_Inputs'!$B$17+'01_Inputs'!$B$18))),3,0)</f>
        <v>0</v>
      </c>
      <c r="DH22" s="93">
        <f>IF(OR(AND(MOD((109*24/6+2)-0,'03_Capacity_Model'!$B$96)&gt;=('01_Inputs'!$B$14+'01_Inputs'!$B$15+'01_Inputs'!$B$16),MOD((109*24/6+2)-0,'03_Capacity_Model'!$B$96)&lt;(('01_Inputs'!$B$14+'01_Inputs'!$B$15+'01_Inputs'!$B$16)+'01_Inputs'!$B$17+'01_Inputs'!$B$18)),AND(MOD((109*24/6+2)-'03_Capacity_Model'!$B$95,'03_Capacity_Model'!$B$96)&gt;=('01_Inputs'!$B$14+'01_Inputs'!$B$15+'01_Inputs'!$B$16),MOD((109*24/6+2)-'03_Capacity_Model'!$B$95,'03_Capacity_Model'!$B$96)&lt;(('01_Inputs'!$B$14+'01_Inputs'!$B$15+'01_Inputs'!$B$16)+'01_Inputs'!$B$17+'01_Inputs'!$B$18))),3,0)</f>
        <v>0</v>
      </c>
      <c r="DI22" s="93">
        <f>IF(OR(AND(MOD((110*24/6+2)-0,'03_Capacity_Model'!$B$96)&gt;=('01_Inputs'!$B$14+'01_Inputs'!$B$15+'01_Inputs'!$B$16),MOD((110*24/6+2)-0,'03_Capacity_Model'!$B$96)&lt;(('01_Inputs'!$B$14+'01_Inputs'!$B$15+'01_Inputs'!$B$16)+'01_Inputs'!$B$17+'01_Inputs'!$B$18)),AND(MOD((110*24/6+2)-'03_Capacity_Model'!$B$95,'03_Capacity_Model'!$B$96)&gt;=('01_Inputs'!$B$14+'01_Inputs'!$B$15+'01_Inputs'!$B$16),MOD((110*24/6+2)-'03_Capacity_Model'!$B$95,'03_Capacity_Model'!$B$96)&lt;(('01_Inputs'!$B$14+'01_Inputs'!$B$15+'01_Inputs'!$B$16)+'01_Inputs'!$B$17+'01_Inputs'!$B$18))),3,0)</f>
        <v>0</v>
      </c>
      <c r="DJ22" s="93">
        <f>IF(OR(AND(MOD((111*24/6+2)-0,'03_Capacity_Model'!$B$96)&gt;=('01_Inputs'!$B$14+'01_Inputs'!$B$15+'01_Inputs'!$B$16),MOD((111*24/6+2)-0,'03_Capacity_Model'!$B$96)&lt;(('01_Inputs'!$B$14+'01_Inputs'!$B$15+'01_Inputs'!$B$16)+'01_Inputs'!$B$17+'01_Inputs'!$B$18)),AND(MOD((111*24/6+2)-'03_Capacity_Model'!$B$95,'03_Capacity_Model'!$B$96)&gt;=('01_Inputs'!$B$14+'01_Inputs'!$B$15+'01_Inputs'!$B$16),MOD((111*24/6+2)-'03_Capacity_Model'!$B$95,'03_Capacity_Model'!$B$96)&lt;(('01_Inputs'!$B$14+'01_Inputs'!$B$15+'01_Inputs'!$B$16)+'01_Inputs'!$B$17+'01_Inputs'!$B$18))),3,0)</f>
        <v>0</v>
      </c>
      <c r="DK22" s="93">
        <f>IF(OR(AND(MOD((112*24/6+2)-0,'03_Capacity_Model'!$B$96)&gt;=('01_Inputs'!$B$14+'01_Inputs'!$B$15+'01_Inputs'!$B$16),MOD((112*24/6+2)-0,'03_Capacity_Model'!$B$96)&lt;(('01_Inputs'!$B$14+'01_Inputs'!$B$15+'01_Inputs'!$B$16)+'01_Inputs'!$B$17+'01_Inputs'!$B$18)),AND(MOD((112*24/6+2)-'03_Capacity_Model'!$B$95,'03_Capacity_Model'!$B$96)&gt;=('01_Inputs'!$B$14+'01_Inputs'!$B$15+'01_Inputs'!$B$16),MOD((112*24/6+2)-'03_Capacity_Model'!$B$95,'03_Capacity_Model'!$B$96)&lt;(('01_Inputs'!$B$14+'01_Inputs'!$B$15+'01_Inputs'!$B$16)+'01_Inputs'!$B$17+'01_Inputs'!$B$18))),3,0)</f>
        <v>3</v>
      </c>
      <c r="DL22" s="93">
        <f>IF(OR(AND(MOD((113*24/6+2)-0,'03_Capacity_Model'!$B$96)&gt;=('01_Inputs'!$B$14+'01_Inputs'!$B$15+'01_Inputs'!$B$16),MOD((113*24/6+2)-0,'03_Capacity_Model'!$B$96)&lt;(('01_Inputs'!$B$14+'01_Inputs'!$B$15+'01_Inputs'!$B$16)+'01_Inputs'!$B$17+'01_Inputs'!$B$18)),AND(MOD((113*24/6+2)-'03_Capacity_Model'!$B$95,'03_Capacity_Model'!$B$96)&gt;=('01_Inputs'!$B$14+'01_Inputs'!$B$15+'01_Inputs'!$B$16),MOD((113*24/6+2)-'03_Capacity_Model'!$B$95,'03_Capacity_Model'!$B$96)&lt;(('01_Inputs'!$B$14+'01_Inputs'!$B$15+'01_Inputs'!$B$16)+'01_Inputs'!$B$17+'01_Inputs'!$B$18))),3,0)</f>
        <v>3</v>
      </c>
      <c r="DM22" s="93">
        <f>IF(OR(AND(MOD((114*24/6+2)-0,'03_Capacity_Model'!$B$96)&gt;=('01_Inputs'!$B$14+'01_Inputs'!$B$15+'01_Inputs'!$B$16),MOD((114*24/6+2)-0,'03_Capacity_Model'!$B$96)&lt;(('01_Inputs'!$B$14+'01_Inputs'!$B$15+'01_Inputs'!$B$16)+'01_Inputs'!$B$17+'01_Inputs'!$B$18)),AND(MOD((114*24/6+2)-'03_Capacity_Model'!$B$95,'03_Capacity_Model'!$B$96)&gt;=('01_Inputs'!$B$14+'01_Inputs'!$B$15+'01_Inputs'!$B$16),MOD((114*24/6+2)-'03_Capacity_Model'!$B$95,'03_Capacity_Model'!$B$96)&lt;(('01_Inputs'!$B$14+'01_Inputs'!$B$15+'01_Inputs'!$B$16)+'01_Inputs'!$B$17+'01_Inputs'!$B$18))),3,0)</f>
        <v>0</v>
      </c>
      <c r="DN22" s="93">
        <f>IF(OR(AND(MOD((115*24/6+2)-0,'03_Capacity_Model'!$B$96)&gt;=('01_Inputs'!$B$14+'01_Inputs'!$B$15+'01_Inputs'!$B$16),MOD((115*24/6+2)-0,'03_Capacity_Model'!$B$96)&lt;(('01_Inputs'!$B$14+'01_Inputs'!$B$15+'01_Inputs'!$B$16)+'01_Inputs'!$B$17+'01_Inputs'!$B$18)),AND(MOD((115*24/6+2)-'03_Capacity_Model'!$B$95,'03_Capacity_Model'!$B$96)&gt;=('01_Inputs'!$B$14+'01_Inputs'!$B$15+'01_Inputs'!$B$16),MOD((115*24/6+2)-'03_Capacity_Model'!$B$95,'03_Capacity_Model'!$B$96)&lt;(('01_Inputs'!$B$14+'01_Inputs'!$B$15+'01_Inputs'!$B$16)+'01_Inputs'!$B$17+'01_Inputs'!$B$18))),3,0)</f>
        <v>0</v>
      </c>
      <c r="DO22" s="93">
        <f>IF(OR(AND(MOD((116*24/6+2)-0,'03_Capacity_Model'!$B$96)&gt;=('01_Inputs'!$B$14+'01_Inputs'!$B$15+'01_Inputs'!$B$16),MOD((116*24/6+2)-0,'03_Capacity_Model'!$B$96)&lt;(('01_Inputs'!$B$14+'01_Inputs'!$B$15+'01_Inputs'!$B$16)+'01_Inputs'!$B$17+'01_Inputs'!$B$18)),AND(MOD((116*24/6+2)-'03_Capacity_Model'!$B$95,'03_Capacity_Model'!$B$96)&gt;=('01_Inputs'!$B$14+'01_Inputs'!$B$15+'01_Inputs'!$B$16),MOD((116*24/6+2)-'03_Capacity_Model'!$B$95,'03_Capacity_Model'!$B$96)&lt;(('01_Inputs'!$B$14+'01_Inputs'!$B$15+'01_Inputs'!$B$16)+'01_Inputs'!$B$17+'01_Inputs'!$B$18))),3,0)</f>
        <v>0</v>
      </c>
      <c r="DP22" s="93">
        <f>IF(OR(AND(MOD((117*24/6+2)-0,'03_Capacity_Model'!$B$96)&gt;=('01_Inputs'!$B$14+'01_Inputs'!$B$15+'01_Inputs'!$B$16),MOD((117*24/6+2)-0,'03_Capacity_Model'!$B$96)&lt;(('01_Inputs'!$B$14+'01_Inputs'!$B$15+'01_Inputs'!$B$16)+'01_Inputs'!$B$17+'01_Inputs'!$B$18)),AND(MOD((117*24/6+2)-'03_Capacity_Model'!$B$95,'03_Capacity_Model'!$B$96)&gt;=('01_Inputs'!$B$14+'01_Inputs'!$B$15+'01_Inputs'!$B$16),MOD((117*24/6+2)-'03_Capacity_Model'!$B$95,'03_Capacity_Model'!$B$96)&lt;(('01_Inputs'!$B$14+'01_Inputs'!$B$15+'01_Inputs'!$B$16)+'01_Inputs'!$B$17+'01_Inputs'!$B$18))),3,0)</f>
        <v>0</v>
      </c>
      <c r="DQ22" s="93">
        <f>IF(OR(AND(MOD((118*24/6+2)-0,'03_Capacity_Model'!$B$96)&gt;=('01_Inputs'!$B$14+'01_Inputs'!$B$15+'01_Inputs'!$B$16),MOD((118*24/6+2)-0,'03_Capacity_Model'!$B$96)&lt;(('01_Inputs'!$B$14+'01_Inputs'!$B$15+'01_Inputs'!$B$16)+'01_Inputs'!$B$17+'01_Inputs'!$B$18)),AND(MOD((118*24/6+2)-'03_Capacity_Model'!$B$95,'03_Capacity_Model'!$B$96)&gt;=('01_Inputs'!$B$14+'01_Inputs'!$B$15+'01_Inputs'!$B$16),MOD((118*24/6+2)-'03_Capacity_Model'!$B$95,'03_Capacity_Model'!$B$96)&lt;(('01_Inputs'!$B$14+'01_Inputs'!$B$15+'01_Inputs'!$B$16)+'01_Inputs'!$B$17+'01_Inputs'!$B$18))),3,0)</f>
        <v>0</v>
      </c>
      <c r="DR22" s="93">
        <f>IF(OR(AND(MOD((119*24/6+2)-0,'03_Capacity_Model'!$B$96)&gt;=('01_Inputs'!$B$14+'01_Inputs'!$B$15+'01_Inputs'!$B$16),MOD((119*24/6+2)-0,'03_Capacity_Model'!$B$96)&lt;(('01_Inputs'!$B$14+'01_Inputs'!$B$15+'01_Inputs'!$B$16)+'01_Inputs'!$B$17+'01_Inputs'!$B$18)),AND(MOD((119*24/6+2)-'03_Capacity_Model'!$B$95,'03_Capacity_Model'!$B$96)&gt;=('01_Inputs'!$B$14+'01_Inputs'!$B$15+'01_Inputs'!$B$16),MOD((119*24/6+2)-'03_Capacity_Model'!$B$95,'03_Capacity_Model'!$B$96)&lt;(('01_Inputs'!$B$14+'01_Inputs'!$B$15+'01_Inputs'!$B$16)+'01_Inputs'!$B$17+'01_Inputs'!$B$18))),3,0)</f>
        <v>3</v>
      </c>
      <c r="DS22" s="93">
        <f>IF(OR(AND(MOD((120*24/6+2)-0,'03_Capacity_Model'!$B$96)&gt;=('01_Inputs'!$B$14+'01_Inputs'!$B$15+'01_Inputs'!$B$16),MOD((120*24/6+2)-0,'03_Capacity_Model'!$B$96)&lt;(('01_Inputs'!$B$14+'01_Inputs'!$B$15+'01_Inputs'!$B$16)+'01_Inputs'!$B$17+'01_Inputs'!$B$18)),AND(MOD((120*24/6+2)-'03_Capacity_Model'!$B$95,'03_Capacity_Model'!$B$96)&gt;=('01_Inputs'!$B$14+'01_Inputs'!$B$15+'01_Inputs'!$B$16),MOD((120*24/6+2)-'03_Capacity_Model'!$B$95,'03_Capacity_Model'!$B$96)&lt;(('01_Inputs'!$B$14+'01_Inputs'!$B$15+'01_Inputs'!$B$16)+'01_Inputs'!$B$17+'01_Inputs'!$B$18))),3,0)</f>
        <v>3</v>
      </c>
      <c r="DT22" s="93">
        <f>IF(OR(AND(MOD((121*24/6+2)-0,'03_Capacity_Model'!$B$96)&gt;=('01_Inputs'!$B$14+'01_Inputs'!$B$15+'01_Inputs'!$B$16),MOD((121*24/6+2)-0,'03_Capacity_Model'!$B$96)&lt;(('01_Inputs'!$B$14+'01_Inputs'!$B$15+'01_Inputs'!$B$16)+'01_Inputs'!$B$17+'01_Inputs'!$B$18)),AND(MOD((121*24/6+2)-'03_Capacity_Model'!$B$95,'03_Capacity_Model'!$B$96)&gt;=('01_Inputs'!$B$14+'01_Inputs'!$B$15+'01_Inputs'!$B$16),MOD((121*24/6+2)-'03_Capacity_Model'!$B$95,'03_Capacity_Model'!$B$96)&lt;(('01_Inputs'!$B$14+'01_Inputs'!$B$15+'01_Inputs'!$B$16)+'01_Inputs'!$B$17+'01_Inputs'!$B$18))),3,0)</f>
        <v>0</v>
      </c>
      <c r="DU22" s="93">
        <f>IF(OR(AND(MOD((122*24/6+2)-0,'03_Capacity_Model'!$B$96)&gt;=('01_Inputs'!$B$14+'01_Inputs'!$B$15+'01_Inputs'!$B$16),MOD((122*24/6+2)-0,'03_Capacity_Model'!$B$96)&lt;(('01_Inputs'!$B$14+'01_Inputs'!$B$15+'01_Inputs'!$B$16)+'01_Inputs'!$B$17+'01_Inputs'!$B$18)),AND(MOD((122*24/6+2)-'03_Capacity_Model'!$B$95,'03_Capacity_Model'!$B$96)&gt;=('01_Inputs'!$B$14+'01_Inputs'!$B$15+'01_Inputs'!$B$16),MOD((122*24/6+2)-'03_Capacity_Model'!$B$95,'03_Capacity_Model'!$B$96)&lt;(('01_Inputs'!$B$14+'01_Inputs'!$B$15+'01_Inputs'!$B$16)+'01_Inputs'!$B$17+'01_Inputs'!$B$18))),3,0)</f>
        <v>0</v>
      </c>
      <c r="DV22" s="93">
        <f>IF(OR(AND(MOD((123*24/6+2)-0,'03_Capacity_Model'!$B$96)&gt;=('01_Inputs'!$B$14+'01_Inputs'!$B$15+'01_Inputs'!$B$16),MOD((123*24/6+2)-0,'03_Capacity_Model'!$B$96)&lt;(('01_Inputs'!$B$14+'01_Inputs'!$B$15+'01_Inputs'!$B$16)+'01_Inputs'!$B$17+'01_Inputs'!$B$18)),AND(MOD((123*24/6+2)-'03_Capacity_Model'!$B$95,'03_Capacity_Model'!$B$96)&gt;=('01_Inputs'!$B$14+'01_Inputs'!$B$15+'01_Inputs'!$B$16),MOD((123*24/6+2)-'03_Capacity_Model'!$B$95,'03_Capacity_Model'!$B$96)&lt;(('01_Inputs'!$B$14+'01_Inputs'!$B$15+'01_Inputs'!$B$16)+'01_Inputs'!$B$17+'01_Inputs'!$B$18))),3,0)</f>
        <v>0</v>
      </c>
      <c r="DW22" s="93">
        <f>IF(OR(AND(MOD((124*24/6+2)-0,'03_Capacity_Model'!$B$96)&gt;=('01_Inputs'!$B$14+'01_Inputs'!$B$15+'01_Inputs'!$B$16),MOD((124*24/6+2)-0,'03_Capacity_Model'!$B$96)&lt;(('01_Inputs'!$B$14+'01_Inputs'!$B$15+'01_Inputs'!$B$16)+'01_Inputs'!$B$17+'01_Inputs'!$B$18)),AND(MOD((124*24/6+2)-'03_Capacity_Model'!$B$95,'03_Capacity_Model'!$B$96)&gt;=('01_Inputs'!$B$14+'01_Inputs'!$B$15+'01_Inputs'!$B$16),MOD((124*24/6+2)-'03_Capacity_Model'!$B$95,'03_Capacity_Model'!$B$96)&lt;(('01_Inputs'!$B$14+'01_Inputs'!$B$15+'01_Inputs'!$B$16)+'01_Inputs'!$B$17+'01_Inputs'!$B$18))),3,0)</f>
        <v>0</v>
      </c>
      <c r="DX22" s="93">
        <f>IF(OR(AND(MOD((125*24/6+2)-0,'03_Capacity_Model'!$B$96)&gt;=('01_Inputs'!$B$14+'01_Inputs'!$B$15+'01_Inputs'!$B$16),MOD((125*24/6+2)-0,'03_Capacity_Model'!$B$96)&lt;(('01_Inputs'!$B$14+'01_Inputs'!$B$15+'01_Inputs'!$B$16)+'01_Inputs'!$B$17+'01_Inputs'!$B$18)),AND(MOD((125*24/6+2)-'03_Capacity_Model'!$B$95,'03_Capacity_Model'!$B$96)&gt;=('01_Inputs'!$B$14+'01_Inputs'!$B$15+'01_Inputs'!$B$16),MOD((125*24/6+2)-'03_Capacity_Model'!$B$95,'03_Capacity_Model'!$B$96)&lt;(('01_Inputs'!$B$14+'01_Inputs'!$B$15+'01_Inputs'!$B$16)+'01_Inputs'!$B$17+'01_Inputs'!$B$18))),3,0)</f>
        <v>0</v>
      </c>
      <c r="DY22" s="93">
        <f>IF(OR(AND(MOD((126*24/6+2)-0,'03_Capacity_Model'!$B$96)&gt;=('01_Inputs'!$B$14+'01_Inputs'!$B$15+'01_Inputs'!$B$16),MOD((126*24/6+2)-0,'03_Capacity_Model'!$B$96)&lt;(('01_Inputs'!$B$14+'01_Inputs'!$B$15+'01_Inputs'!$B$16)+'01_Inputs'!$B$17+'01_Inputs'!$B$18)),AND(MOD((126*24/6+2)-'03_Capacity_Model'!$B$95,'03_Capacity_Model'!$B$96)&gt;=('01_Inputs'!$B$14+'01_Inputs'!$B$15+'01_Inputs'!$B$16),MOD((126*24/6+2)-'03_Capacity_Model'!$B$95,'03_Capacity_Model'!$B$96)&lt;(('01_Inputs'!$B$14+'01_Inputs'!$B$15+'01_Inputs'!$B$16)+'01_Inputs'!$B$17+'01_Inputs'!$B$18))),3,0)</f>
        <v>0</v>
      </c>
      <c r="DZ22" s="93">
        <f>IF(OR(AND(MOD((127*24/6+2)-0,'03_Capacity_Model'!$B$96)&gt;=('01_Inputs'!$B$14+'01_Inputs'!$B$15+'01_Inputs'!$B$16),MOD((127*24/6+2)-0,'03_Capacity_Model'!$B$96)&lt;(('01_Inputs'!$B$14+'01_Inputs'!$B$15+'01_Inputs'!$B$16)+'01_Inputs'!$B$17+'01_Inputs'!$B$18)),AND(MOD((127*24/6+2)-'03_Capacity_Model'!$B$95,'03_Capacity_Model'!$B$96)&gt;=('01_Inputs'!$B$14+'01_Inputs'!$B$15+'01_Inputs'!$B$16),MOD((127*24/6+2)-'03_Capacity_Model'!$B$95,'03_Capacity_Model'!$B$96)&lt;(('01_Inputs'!$B$14+'01_Inputs'!$B$15+'01_Inputs'!$B$16)+'01_Inputs'!$B$17+'01_Inputs'!$B$18))),3,0)</f>
        <v>0</v>
      </c>
      <c r="EA22" s="93">
        <f>IF(OR(AND(MOD((128*24/6+2)-0,'03_Capacity_Model'!$B$96)&gt;=('01_Inputs'!$B$14+'01_Inputs'!$B$15+'01_Inputs'!$B$16),MOD((128*24/6+2)-0,'03_Capacity_Model'!$B$96)&lt;(('01_Inputs'!$B$14+'01_Inputs'!$B$15+'01_Inputs'!$B$16)+'01_Inputs'!$B$17+'01_Inputs'!$B$18)),AND(MOD((128*24/6+2)-'03_Capacity_Model'!$B$95,'03_Capacity_Model'!$B$96)&gt;=('01_Inputs'!$B$14+'01_Inputs'!$B$15+'01_Inputs'!$B$16),MOD((128*24/6+2)-'03_Capacity_Model'!$B$95,'03_Capacity_Model'!$B$96)&lt;(('01_Inputs'!$B$14+'01_Inputs'!$B$15+'01_Inputs'!$B$16)+'01_Inputs'!$B$17+'01_Inputs'!$B$18))),3,0)</f>
        <v>3</v>
      </c>
      <c r="EB22" s="93">
        <f>IF(OR(AND(MOD((129*24/6+2)-0,'03_Capacity_Model'!$B$96)&gt;=('01_Inputs'!$B$14+'01_Inputs'!$B$15+'01_Inputs'!$B$16),MOD((129*24/6+2)-0,'03_Capacity_Model'!$B$96)&lt;(('01_Inputs'!$B$14+'01_Inputs'!$B$15+'01_Inputs'!$B$16)+'01_Inputs'!$B$17+'01_Inputs'!$B$18)),AND(MOD((129*24/6+2)-'03_Capacity_Model'!$B$95,'03_Capacity_Model'!$B$96)&gt;=('01_Inputs'!$B$14+'01_Inputs'!$B$15+'01_Inputs'!$B$16),MOD((129*24/6+2)-'03_Capacity_Model'!$B$95,'03_Capacity_Model'!$B$96)&lt;(('01_Inputs'!$B$14+'01_Inputs'!$B$15+'01_Inputs'!$B$16)+'01_Inputs'!$B$17+'01_Inputs'!$B$18))),3,0)</f>
        <v>3</v>
      </c>
      <c r="EC22" s="93">
        <f>IF(OR(AND(MOD((130*24/6+2)-0,'03_Capacity_Model'!$B$96)&gt;=('01_Inputs'!$B$14+'01_Inputs'!$B$15+'01_Inputs'!$B$16),MOD((130*24/6+2)-0,'03_Capacity_Model'!$B$96)&lt;(('01_Inputs'!$B$14+'01_Inputs'!$B$15+'01_Inputs'!$B$16)+'01_Inputs'!$B$17+'01_Inputs'!$B$18)),AND(MOD((130*24/6+2)-'03_Capacity_Model'!$B$95,'03_Capacity_Model'!$B$96)&gt;=('01_Inputs'!$B$14+'01_Inputs'!$B$15+'01_Inputs'!$B$16),MOD((130*24/6+2)-'03_Capacity_Model'!$B$95,'03_Capacity_Model'!$B$96)&lt;(('01_Inputs'!$B$14+'01_Inputs'!$B$15+'01_Inputs'!$B$16)+'01_Inputs'!$B$17+'01_Inputs'!$B$18))),3,0)</f>
        <v>0</v>
      </c>
      <c r="ED22" s="93">
        <f>IF(OR(AND(MOD((131*24/6+2)-0,'03_Capacity_Model'!$B$96)&gt;=('01_Inputs'!$B$14+'01_Inputs'!$B$15+'01_Inputs'!$B$16),MOD((131*24/6+2)-0,'03_Capacity_Model'!$B$96)&lt;(('01_Inputs'!$B$14+'01_Inputs'!$B$15+'01_Inputs'!$B$16)+'01_Inputs'!$B$17+'01_Inputs'!$B$18)),AND(MOD((131*24/6+2)-'03_Capacity_Model'!$B$95,'03_Capacity_Model'!$B$96)&gt;=('01_Inputs'!$B$14+'01_Inputs'!$B$15+'01_Inputs'!$B$16),MOD((131*24/6+2)-'03_Capacity_Model'!$B$95,'03_Capacity_Model'!$B$96)&lt;(('01_Inputs'!$B$14+'01_Inputs'!$B$15+'01_Inputs'!$B$16)+'01_Inputs'!$B$17+'01_Inputs'!$B$18))),3,0)</f>
        <v>0</v>
      </c>
      <c r="EE22" s="93">
        <f>IF(OR(AND(MOD((132*24/6+2)-0,'03_Capacity_Model'!$B$96)&gt;=('01_Inputs'!$B$14+'01_Inputs'!$B$15+'01_Inputs'!$B$16),MOD((132*24/6+2)-0,'03_Capacity_Model'!$B$96)&lt;(('01_Inputs'!$B$14+'01_Inputs'!$B$15+'01_Inputs'!$B$16)+'01_Inputs'!$B$17+'01_Inputs'!$B$18)),AND(MOD((132*24/6+2)-'03_Capacity_Model'!$B$95,'03_Capacity_Model'!$B$96)&gt;=('01_Inputs'!$B$14+'01_Inputs'!$B$15+'01_Inputs'!$B$16),MOD((132*24/6+2)-'03_Capacity_Model'!$B$95,'03_Capacity_Model'!$B$96)&lt;(('01_Inputs'!$B$14+'01_Inputs'!$B$15+'01_Inputs'!$B$16)+'01_Inputs'!$B$17+'01_Inputs'!$B$18))),3,0)</f>
        <v>0</v>
      </c>
      <c r="EF22" s="93">
        <f>IF(OR(AND(MOD((133*24/6+2)-0,'03_Capacity_Model'!$B$96)&gt;=('01_Inputs'!$B$14+'01_Inputs'!$B$15+'01_Inputs'!$B$16),MOD((133*24/6+2)-0,'03_Capacity_Model'!$B$96)&lt;(('01_Inputs'!$B$14+'01_Inputs'!$B$15+'01_Inputs'!$B$16)+'01_Inputs'!$B$17+'01_Inputs'!$B$18)),AND(MOD((133*24/6+2)-'03_Capacity_Model'!$B$95,'03_Capacity_Model'!$B$96)&gt;=('01_Inputs'!$B$14+'01_Inputs'!$B$15+'01_Inputs'!$B$16),MOD((133*24/6+2)-'03_Capacity_Model'!$B$95,'03_Capacity_Model'!$B$96)&lt;(('01_Inputs'!$B$14+'01_Inputs'!$B$15+'01_Inputs'!$B$16)+'01_Inputs'!$B$17+'01_Inputs'!$B$18))),3,0)</f>
        <v>0</v>
      </c>
      <c r="EG22" s="93">
        <f>IF(OR(AND(MOD((134*24/6+2)-0,'03_Capacity_Model'!$B$96)&gt;=('01_Inputs'!$B$14+'01_Inputs'!$B$15+'01_Inputs'!$B$16),MOD((134*24/6+2)-0,'03_Capacity_Model'!$B$96)&lt;(('01_Inputs'!$B$14+'01_Inputs'!$B$15+'01_Inputs'!$B$16)+'01_Inputs'!$B$17+'01_Inputs'!$B$18)),AND(MOD((134*24/6+2)-'03_Capacity_Model'!$B$95,'03_Capacity_Model'!$B$96)&gt;=('01_Inputs'!$B$14+'01_Inputs'!$B$15+'01_Inputs'!$B$16),MOD((134*24/6+2)-'03_Capacity_Model'!$B$95,'03_Capacity_Model'!$B$96)&lt;(('01_Inputs'!$B$14+'01_Inputs'!$B$15+'01_Inputs'!$B$16)+'01_Inputs'!$B$17+'01_Inputs'!$B$18))),3,0)</f>
        <v>0</v>
      </c>
      <c r="EH22" s="93">
        <f>IF(OR(AND(MOD((135*24/6+2)-0,'03_Capacity_Model'!$B$96)&gt;=('01_Inputs'!$B$14+'01_Inputs'!$B$15+'01_Inputs'!$B$16),MOD((135*24/6+2)-0,'03_Capacity_Model'!$B$96)&lt;(('01_Inputs'!$B$14+'01_Inputs'!$B$15+'01_Inputs'!$B$16)+'01_Inputs'!$B$17+'01_Inputs'!$B$18)),AND(MOD((135*24/6+2)-'03_Capacity_Model'!$B$95,'03_Capacity_Model'!$B$96)&gt;=('01_Inputs'!$B$14+'01_Inputs'!$B$15+'01_Inputs'!$B$16),MOD((135*24/6+2)-'03_Capacity_Model'!$B$95,'03_Capacity_Model'!$B$96)&lt;(('01_Inputs'!$B$14+'01_Inputs'!$B$15+'01_Inputs'!$B$16)+'01_Inputs'!$B$17+'01_Inputs'!$B$18))),3,0)</f>
        <v>0</v>
      </c>
      <c r="EI22" s="93">
        <f>IF(OR(AND(MOD((136*24/6+2)-0,'03_Capacity_Model'!$B$96)&gt;=('01_Inputs'!$B$14+'01_Inputs'!$B$15+'01_Inputs'!$B$16),MOD((136*24/6+2)-0,'03_Capacity_Model'!$B$96)&lt;(('01_Inputs'!$B$14+'01_Inputs'!$B$15+'01_Inputs'!$B$16)+'01_Inputs'!$B$17+'01_Inputs'!$B$18)),AND(MOD((136*24/6+2)-'03_Capacity_Model'!$B$95,'03_Capacity_Model'!$B$96)&gt;=('01_Inputs'!$B$14+'01_Inputs'!$B$15+'01_Inputs'!$B$16),MOD((136*24/6+2)-'03_Capacity_Model'!$B$95,'03_Capacity_Model'!$B$96)&lt;(('01_Inputs'!$B$14+'01_Inputs'!$B$15+'01_Inputs'!$B$16)+'01_Inputs'!$B$17+'01_Inputs'!$B$18))),3,0)</f>
        <v>3</v>
      </c>
      <c r="EJ22" s="93">
        <f>IF(OR(AND(MOD((137*24/6+2)-0,'03_Capacity_Model'!$B$96)&gt;=('01_Inputs'!$B$14+'01_Inputs'!$B$15+'01_Inputs'!$B$16),MOD((137*24/6+2)-0,'03_Capacity_Model'!$B$96)&lt;(('01_Inputs'!$B$14+'01_Inputs'!$B$15+'01_Inputs'!$B$16)+'01_Inputs'!$B$17+'01_Inputs'!$B$18)),AND(MOD((137*24/6+2)-'03_Capacity_Model'!$B$95,'03_Capacity_Model'!$B$96)&gt;=('01_Inputs'!$B$14+'01_Inputs'!$B$15+'01_Inputs'!$B$16),MOD((137*24/6+2)-'03_Capacity_Model'!$B$95,'03_Capacity_Model'!$B$96)&lt;(('01_Inputs'!$B$14+'01_Inputs'!$B$15+'01_Inputs'!$B$16)+'01_Inputs'!$B$17+'01_Inputs'!$B$18))),3,0)</f>
        <v>3</v>
      </c>
      <c r="EK22" s="93">
        <f>IF(OR(AND(MOD((138*24/6+2)-0,'03_Capacity_Model'!$B$96)&gt;=('01_Inputs'!$B$14+'01_Inputs'!$B$15+'01_Inputs'!$B$16),MOD((138*24/6+2)-0,'03_Capacity_Model'!$B$96)&lt;(('01_Inputs'!$B$14+'01_Inputs'!$B$15+'01_Inputs'!$B$16)+'01_Inputs'!$B$17+'01_Inputs'!$B$18)),AND(MOD((138*24/6+2)-'03_Capacity_Model'!$B$95,'03_Capacity_Model'!$B$96)&gt;=('01_Inputs'!$B$14+'01_Inputs'!$B$15+'01_Inputs'!$B$16),MOD((138*24/6+2)-'03_Capacity_Model'!$B$95,'03_Capacity_Model'!$B$96)&lt;(('01_Inputs'!$B$14+'01_Inputs'!$B$15+'01_Inputs'!$B$16)+'01_Inputs'!$B$17+'01_Inputs'!$B$18))),3,0)</f>
        <v>0</v>
      </c>
      <c r="EL22" s="93">
        <f>IF(OR(AND(MOD((139*24/6+2)-0,'03_Capacity_Model'!$B$96)&gt;=('01_Inputs'!$B$14+'01_Inputs'!$B$15+'01_Inputs'!$B$16),MOD((139*24/6+2)-0,'03_Capacity_Model'!$B$96)&lt;(('01_Inputs'!$B$14+'01_Inputs'!$B$15+'01_Inputs'!$B$16)+'01_Inputs'!$B$17+'01_Inputs'!$B$18)),AND(MOD((139*24/6+2)-'03_Capacity_Model'!$B$95,'03_Capacity_Model'!$B$96)&gt;=('01_Inputs'!$B$14+'01_Inputs'!$B$15+'01_Inputs'!$B$16),MOD((139*24/6+2)-'03_Capacity_Model'!$B$95,'03_Capacity_Model'!$B$96)&lt;(('01_Inputs'!$B$14+'01_Inputs'!$B$15+'01_Inputs'!$B$16)+'01_Inputs'!$B$17+'01_Inputs'!$B$18))),3,0)</f>
        <v>0</v>
      </c>
      <c r="EM22" s="93">
        <f>IF(OR(AND(MOD((140*24/6+2)-0,'03_Capacity_Model'!$B$96)&gt;=('01_Inputs'!$B$14+'01_Inputs'!$B$15+'01_Inputs'!$B$16),MOD((140*24/6+2)-0,'03_Capacity_Model'!$B$96)&lt;(('01_Inputs'!$B$14+'01_Inputs'!$B$15+'01_Inputs'!$B$16)+'01_Inputs'!$B$17+'01_Inputs'!$B$18)),AND(MOD((140*24/6+2)-'03_Capacity_Model'!$B$95,'03_Capacity_Model'!$B$96)&gt;=('01_Inputs'!$B$14+'01_Inputs'!$B$15+'01_Inputs'!$B$16),MOD((140*24/6+2)-'03_Capacity_Model'!$B$95,'03_Capacity_Model'!$B$96)&lt;(('01_Inputs'!$B$14+'01_Inputs'!$B$15+'01_Inputs'!$B$16)+'01_Inputs'!$B$17+'01_Inputs'!$B$18))),3,0)</f>
        <v>0</v>
      </c>
      <c r="EN22" s="93">
        <f>IF(OR(AND(MOD((141*24/6+2)-0,'03_Capacity_Model'!$B$96)&gt;=('01_Inputs'!$B$14+'01_Inputs'!$B$15+'01_Inputs'!$B$16),MOD((141*24/6+2)-0,'03_Capacity_Model'!$B$96)&lt;(('01_Inputs'!$B$14+'01_Inputs'!$B$15+'01_Inputs'!$B$16)+'01_Inputs'!$B$17+'01_Inputs'!$B$18)),AND(MOD((141*24/6+2)-'03_Capacity_Model'!$B$95,'03_Capacity_Model'!$B$96)&gt;=('01_Inputs'!$B$14+'01_Inputs'!$B$15+'01_Inputs'!$B$16),MOD((141*24/6+2)-'03_Capacity_Model'!$B$95,'03_Capacity_Model'!$B$96)&lt;(('01_Inputs'!$B$14+'01_Inputs'!$B$15+'01_Inputs'!$B$16)+'01_Inputs'!$B$17+'01_Inputs'!$B$18))),3,0)</f>
        <v>0</v>
      </c>
      <c r="EO22" s="93">
        <f>IF(OR(AND(MOD((142*24/6+2)-0,'03_Capacity_Model'!$B$96)&gt;=('01_Inputs'!$B$14+'01_Inputs'!$B$15+'01_Inputs'!$B$16),MOD((142*24/6+2)-0,'03_Capacity_Model'!$B$96)&lt;(('01_Inputs'!$B$14+'01_Inputs'!$B$15+'01_Inputs'!$B$16)+'01_Inputs'!$B$17+'01_Inputs'!$B$18)),AND(MOD((142*24/6+2)-'03_Capacity_Model'!$B$95,'03_Capacity_Model'!$B$96)&gt;=('01_Inputs'!$B$14+'01_Inputs'!$B$15+'01_Inputs'!$B$16),MOD((142*24/6+2)-'03_Capacity_Model'!$B$95,'03_Capacity_Model'!$B$96)&lt;(('01_Inputs'!$B$14+'01_Inputs'!$B$15+'01_Inputs'!$B$16)+'01_Inputs'!$B$17+'01_Inputs'!$B$18))),3,0)</f>
        <v>0</v>
      </c>
      <c r="EP22" s="93">
        <f>IF(OR(AND(MOD((143*24/6+2)-0,'03_Capacity_Model'!$B$96)&gt;=('01_Inputs'!$B$14+'01_Inputs'!$B$15+'01_Inputs'!$B$16),MOD((143*24/6+2)-0,'03_Capacity_Model'!$B$96)&lt;(('01_Inputs'!$B$14+'01_Inputs'!$B$15+'01_Inputs'!$B$16)+'01_Inputs'!$B$17+'01_Inputs'!$B$18)),AND(MOD((143*24/6+2)-'03_Capacity_Model'!$B$95,'03_Capacity_Model'!$B$96)&gt;=('01_Inputs'!$B$14+'01_Inputs'!$B$15+'01_Inputs'!$B$16),MOD((143*24/6+2)-'03_Capacity_Model'!$B$95,'03_Capacity_Model'!$B$96)&lt;(('01_Inputs'!$B$14+'01_Inputs'!$B$15+'01_Inputs'!$B$16)+'01_Inputs'!$B$17+'01_Inputs'!$B$18))),3,0)</f>
        <v>0</v>
      </c>
      <c r="EQ22" s="93">
        <f>IF(OR(AND(MOD((144*24/6+2)-0,'03_Capacity_Model'!$B$96)&gt;=('01_Inputs'!$B$14+'01_Inputs'!$B$15+'01_Inputs'!$B$16),MOD((144*24/6+2)-0,'03_Capacity_Model'!$B$96)&lt;(('01_Inputs'!$B$14+'01_Inputs'!$B$15+'01_Inputs'!$B$16)+'01_Inputs'!$B$17+'01_Inputs'!$B$18)),AND(MOD((144*24/6+2)-'03_Capacity_Model'!$B$95,'03_Capacity_Model'!$B$96)&gt;=('01_Inputs'!$B$14+'01_Inputs'!$B$15+'01_Inputs'!$B$16),MOD((144*24/6+2)-'03_Capacity_Model'!$B$95,'03_Capacity_Model'!$B$96)&lt;(('01_Inputs'!$B$14+'01_Inputs'!$B$15+'01_Inputs'!$B$16)+'01_Inputs'!$B$17+'01_Inputs'!$B$18))),3,0)</f>
        <v>0</v>
      </c>
      <c r="ER22" s="93">
        <f>IF(OR(AND(MOD((145*24/6+2)-0,'03_Capacity_Model'!$B$96)&gt;=('01_Inputs'!$B$14+'01_Inputs'!$B$15+'01_Inputs'!$B$16),MOD((145*24/6+2)-0,'03_Capacity_Model'!$B$96)&lt;(('01_Inputs'!$B$14+'01_Inputs'!$B$15+'01_Inputs'!$B$16)+'01_Inputs'!$B$17+'01_Inputs'!$B$18)),AND(MOD((145*24/6+2)-'03_Capacity_Model'!$B$95,'03_Capacity_Model'!$B$96)&gt;=('01_Inputs'!$B$14+'01_Inputs'!$B$15+'01_Inputs'!$B$16),MOD((145*24/6+2)-'03_Capacity_Model'!$B$95,'03_Capacity_Model'!$B$96)&lt;(('01_Inputs'!$B$14+'01_Inputs'!$B$15+'01_Inputs'!$B$16)+'01_Inputs'!$B$17+'01_Inputs'!$B$18))),3,0)</f>
        <v>3</v>
      </c>
      <c r="ES22" s="93">
        <f>IF(OR(AND(MOD((146*24/6+2)-0,'03_Capacity_Model'!$B$96)&gt;=('01_Inputs'!$B$14+'01_Inputs'!$B$15+'01_Inputs'!$B$16),MOD((146*24/6+2)-0,'03_Capacity_Model'!$B$96)&lt;(('01_Inputs'!$B$14+'01_Inputs'!$B$15+'01_Inputs'!$B$16)+'01_Inputs'!$B$17+'01_Inputs'!$B$18)),AND(MOD((146*24/6+2)-'03_Capacity_Model'!$B$95,'03_Capacity_Model'!$B$96)&gt;=('01_Inputs'!$B$14+'01_Inputs'!$B$15+'01_Inputs'!$B$16),MOD((146*24/6+2)-'03_Capacity_Model'!$B$95,'03_Capacity_Model'!$B$96)&lt;(('01_Inputs'!$B$14+'01_Inputs'!$B$15+'01_Inputs'!$B$16)+'01_Inputs'!$B$17+'01_Inputs'!$B$18))),3,0)</f>
        <v>3</v>
      </c>
      <c r="ET22" s="93">
        <f>IF(OR(AND(MOD((147*24/6+2)-0,'03_Capacity_Model'!$B$96)&gt;=('01_Inputs'!$B$14+'01_Inputs'!$B$15+'01_Inputs'!$B$16),MOD((147*24/6+2)-0,'03_Capacity_Model'!$B$96)&lt;(('01_Inputs'!$B$14+'01_Inputs'!$B$15+'01_Inputs'!$B$16)+'01_Inputs'!$B$17+'01_Inputs'!$B$18)),AND(MOD((147*24/6+2)-'03_Capacity_Model'!$B$95,'03_Capacity_Model'!$B$96)&gt;=('01_Inputs'!$B$14+'01_Inputs'!$B$15+'01_Inputs'!$B$16),MOD((147*24/6+2)-'03_Capacity_Model'!$B$95,'03_Capacity_Model'!$B$96)&lt;(('01_Inputs'!$B$14+'01_Inputs'!$B$15+'01_Inputs'!$B$16)+'01_Inputs'!$B$17+'01_Inputs'!$B$18))),3,0)</f>
        <v>0</v>
      </c>
      <c r="EU22" s="93">
        <f>IF(OR(AND(MOD((148*24/6+2)-0,'03_Capacity_Model'!$B$96)&gt;=('01_Inputs'!$B$14+'01_Inputs'!$B$15+'01_Inputs'!$B$16),MOD((148*24/6+2)-0,'03_Capacity_Model'!$B$96)&lt;(('01_Inputs'!$B$14+'01_Inputs'!$B$15+'01_Inputs'!$B$16)+'01_Inputs'!$B$17+'01_Inputs'!$B$18)),AND(MOD((148*24/6+2)-'03_Capacity_Model'!$B$95,'03_Capacity_Model'!$B$96)&gt;=('01_Inputs'!$B$14+'01_Inputs'!$B$15+'01_Inputs'!$B$16),MOD((148*24/6+2)-'03_Capacity_Model'!$B$95,'03_Capacity_Model'!$B$96)&lt;(('01_Inputs'!$B$14+'01_Inputs'!$B$15+'01_Inputs'!$B$16)+'01_Inputs'!$B$17+'01_Inputs'!$B$18))),3,0)</f>
        <v>0</v>
      </c>
      <c r="EV22" s="93">
        <f>IF(OR(AND(MOD((149*24/6+2)-0,'03_Capacity_Model'!$B$96)&gt;=('01_Inputs'!$B$14+'01_Inputs'!$B$15+'01_Inputs'!$B$16),MOD((149*24/6+2)-0,'03_Capacity_Model'!$B$96)&lt;(('01_Inputs'!$B$14+'01_Inputs'!$B$15+'01_Inputs'!$B$16)+'01_Inputs'!$B$17+'01_Inputs'!$B$18)),AND(MOD((149*24/6+2)-'03_Capacity_Model'!$B$95,'03_Capacity_Model'!$B$96)&gt;=('01_Inputs'!$B$14+'01_Inputs'!$B$15+'01_Inputs'!$B$16),MOD((149*24/6+2)-'03_Capacity_Model'!$B$95,'03_Capacity_Model'!$B$96)&lt;(('01_Inputs'!$B$14+'01_Inputs'!$B$15+'01_Inputs'!$B$16)+'01_Inputs'!$B$17+'01_Inputs'!$B$18))),3,0)</f>
        <v>0</v>
      </c>
      <c r="EW22" s="93">
        <f>IF(OR(AND(MOD((150*24/6+2)-0,'03_Capacity_Model'!$B$96)&gt;=('01_Inputs'!$B$14+'01_Inputs'!$B$15+'01_Inputs'!$B$16),MOD((150*24/6+2)-0,'03_Capacity_Model'!$B$96)&lt;(('01_Inputs'!$B$14+'01_Inputs'!$B$15+'01_Inputs'!$B$16)+'01_Inputs'!$B$17+'01_Inputs'!$B$18)),AND(MOD((150*24/6+2)-'03_Capacity_Model'!$B$95,'03_Capacity_Model'!$B$96)&gt;=('01_Inputs'!$B$14+'01_Inputs'!$B$15+'01_Inputs'!$B$16),MOD((150*24/6+2)-'03_Capacity_Model'!$B$95,'03_Capacity_Model'!$B$96)&lt;(('01_Inputs'!$B$14+'01_Inputs'!$B$15+'01_Inputs'!$B$16)+'01_Inputs'!$B$17+'01_Inputs'!$B$18))),3,0)</f>
        <v>0</v>
      </c>
      <c r="EX22" s="93">
        <f>IF(OR(AND(MOD((151*24/6+2)-0,'03_Capacity_Model'!$B$96)&gt;=('01_Inputs'!$B$14+'01_Inputs'!$B$15+'01_Inputs'!$B$16),MOD((151*24/6+2)-0,'03_Capacity_Model'!$B$96)&lt;(('01_Inputs'!$B$14+'01_Inputs'!$B$15+'01_Inputs'!$B$16)+'01_Inputs'!$B$17+'01_Inputs'!$B$18)),AND(MOD((151*24/6+2)-'03_Capacity_Model'!$B$95,'03_Capacity_Model'!$B$96)&gt;=('01_Inputs'!$B$14+'01_Inputs'!$B$15+'01_Inputs'!$B$16),MOD((151*24/6+2)-'03_Capacity_Model'!$B$95,'03_Capacity_Model'!$B$96)&lt;(('01_Inputs'!$B$14+'01_Inputs'!$B$15+'01_Inputs'!$B$16)+'01_Inputs'!$B$17+'01_Inputs'!$B$18))),3,0)</f>
        <v>0</v>
      </c>
      <c r="EY22" s="93">
        <f>IF(OR(AND(MOD((152*24/6+2)-0,'03_Capacity_Model'!$B$96)&gt;=('01_Inputs'!$B$14+'01_Inputs'!$B$15+'01_Inputs'!$B$16),MOD((152*24/6+2)-0,'03_Capacity_Model'!$B$96)&lt;(('01_Inputs'!$B$14+'01_Inputs'!$B$15+'01_Inputs'!$B$16)+'01_Inputs'!$B$17+'01_Inputs'!$B$18)),AND(MOD((152*24/6+2)-'03_Capacity_Model'!$B$95,'03_Capacity_Model'!$B$96)&gt;=('01_Inputs'!$B$14+'01_Inputs'!$B$15+'01_Inputs'!$B$16),MOD((152*24/6+2)-'03_Capacity_Model'!$B$95,'03_Capacity_Model'!$B$96)&lt;(('01_Inputs'!$B$14+'01_Inputs'!$B$15+'01_Inputs'!$B$16)+'01_Inputs'!$B$17+'01_Inputs'!$B$18))),3,0)</f>
        <v>3</v>
      </c>
      <c r="EZ22" s="93">
        <f>IF(OR(AND(MOD((153*24/6+2)-0,'03_Capacity_Model'!$B$96)&gt;=('01_Inputs'!$B$14+'01_Inputs'!$B$15+'01_Inputs'!$B$16),MOD((153*24/6+2)-0,'03_Capacity_Model'!$B$96)&lt;(('01_Inputs'!$B$14+'01_Inputs'!$B$15+'01_Inputs'!$B$16)+'01_Inputs'!$B$17+'01_Inputs'!$B$18)),AND(MOD((153*24/6+2)-'03_Capacity_Model'!$B$95,'03_Capacity_Model'!$B$96)&gt;=('01_Inputs'!$B$14+'01_Inputs'!$B$15+'01_Inputs'!$B$16),MOD((153*24/6+2)-'03_Capacity_Model'!$B$95,'03_Capacity_Model'!$B$96)&lt;(('01_Inputs'!$B$14+'01_Inputs'!$B$15+'01_Inputs'!$B$16)+'01_Inputs'!$B$17+'01_Inputs'!$B$18))),3,0)</f>
        <v>3</v>
      </c>
      <c r="FA22" s="93">
        <f>IF(OR(AND(MOD((154*24/6+2)-0,'03_Capacity_Model'!$B$96)&gt;=('01_Inputs'!$B$14+'01_Inputs'!$B$15+'01_Inputs'!$B$16),MOD((154*24/6+2)-0,'03_Capacity_Model'!$B$96)&lt;(('01_Inputs'!$B$14+'01_Inputs'!$B$15+'01_Inputs'!$B$16)+'01_Inputs'!$B$17+'01_Inputs'!$B$18)),AND(MOD((154*24/6+2)-'03_Capacity_Model'!$B$95,'03_Capacity_Model'!$B$96)&gt;=('01_Inputs'!$B$14+'01_Inputs'!$B$15+'01_Inputs'!$B$16),MOD((154*24/6+2)-'03_Capacity_Model'!$B$95,'03_Capacity_Model'!$B$96)&lt;(('01_Inputs'!$B$14+'01_Inputs'!$B$15+'01_Inputs'!$B$16)+'01_Inputs'!$B$17+'01_Inputs'!$B$18))),3,0)</f>
        <v>0</v>
      </c>
      <c r="FB22" s="93">
        <f>IF(OR(AND(MOD((155*24/6+2)-0,'03_Capacity_Model'!$B$96)&gt;=('01_Inputs'!$B$14+'01_Inputs'!$B$15+'01_Inputs'!$B$16),MOD((155*24/6+2)-0,'03_Capacity_Model'!$B$96)&lt;(('01_Inputs'!$B$14+'01_Inputs'!$B$15+'01_Inputs'!$B$16)+'01_Inputs'!$B$17+'01_Inputs'!$B$18)),AND(MOD((155*24/6+2)-'03_Capacity_Model'!$B$95,'03_Capacity_Model'!$B$96)&gt;=('01_Inputs'!$B$14+'01_Inputs'!$B$15+'01_Inputs'!$B$16),MOD((155*24/6+2)-'03_Capacity_Model'!$B$95,'03_Capacity_Model'!$B$96)&lt;(('01_Inputs'!$B$14+'01_Inputs'!$B$15+'01_Inputs'!$B$16)+'01_Inputs'!$B$17+'01_Inputs'!$B$18))),3,0)</f>
        <v>0</v>
      </c>
      <c r="FC22" s="93">
        <f>IF(OR(AND(MOD((156*24/6+2)-0,'03_Capacity_Model'!$B$96)&gt;=('01_Inputs'!$B$14+'01_Inputs'!$B$15+'01_Inputs'!$B$16),MOD((156*24/6+2)-0,'03_Capacity_Model'!$B$96)&lt;(('01_Inputs'!$B$14+'01_Inputs'!$B$15+'01_Inputs'!$B$16)+'01_Inputs'!$B$17+'01_Inputs'!$B$18)),AND(MOD((156*24/6+2)-'03_Capacity_Model'!$B$95,'03_Capacity_Model'!$B$96)&gt;=('01_Inputs'!$B$14+'01_Inputs'!$B$15+'01_Inputs'!$B$16),MOD((156*24/6+2)-'03_Capacity_Model'!$B$95,'03_Capacity_Model'!$B$96)&lt;(('01_Inputs'!$B$14+'01_Inputs'!$B$15+'01_Inputs'!$B$16)+'01_Inputs'!$B$17+'01_Inputs'!$B$18))),3,0)</f>
        <v>0</v>
      </c>
      <c r="FD22" s="93">
        <f>IF(OR(AND(MOD((157*24/6+2)-0,'03_Capacity_Model'!$B$96)&gt;=('01_Inputs'!$B$14+'01_Inputs'!$B$15+'01_Inputs'!$B$16),MOD((157*24/6+2)-0,'03_Capacity_Model'!$B$96)&lt;(('01_Inputs'!$B$14+'01_Inputs'!$B$15+'01_Inputs'!$B$16)+'01_Inputs'!$B$17+'01_Inputs'!$B$18)),AND(MOD((157*24/6+2)-'03_Capacity_Model'!$B$95,'03_Capacity_Model'!$B$96)&gt;=('01_Inputs'!$B$14+'01_Inputs'!$B$15+'01_Inputs'!$B$16),MOD((157*24/6+2)-'03_Capacity_Model'!$B$95,'03_Capacity_Model'!$B$96)&lt;(('01_Inputs'!$B$14+'01_Inputs'!$B$15+'01_Inputs'!$B$16)+'01_Inputs'!$B$17+'01_Inputs'!$B$18))),3,0)</f>
        <v>0</v>
      </c>
      <c r="FE22" s="93">
        <f>IF(OR(AND(MOD((158*24/6+2)-0,'03_Capacity_Model'!$B$96)&gt;=('01_Inputs'!$B$14+'01_Inputs'!$B$15+'01_Inputs'!$B$16),MOD((158*24/6+2)-0,'03_Capacity_Model'!$B$96)&lt;(('01_Inputs'!$B$14+'01_Inputs'!$B$15+'01_Inputs'!$B$16)+'01_Inputs'!$B$17+'01_Inputs'!$B$18)),AND(MOD((158*24/6+2)-'03_Capacity_Model'!$B$95,'03_Capacity_Model'!$B$96)&gt;=('01_Inputs'!$B$14+'01_Inputs'!$B$15+'01_Inputs'!$B$16),MOD((158*24/6+2)-'03_Capacity_Model'!$B$95,'03_Capacity_Model'!$B$96)&lt;(('01_Inputs'!$B$14+'01_Inputs'!$B$15+'01_Inputs'!$B$16)+'01_Inputs'!$B$17+'01_Inputs'!$B$18))),3,0)</f>
        <v>0</v>
      </c>
      <c r="FF22" s="93">
        <f>IF(OR(AND(MOD((159*24/6+2)-0,'03_Capacity_Model'!$B$96)&gt;=('01_Inputs'!$B$14+'01_Inputs'!$B$15+'01_Inputs'!$B$16),MOD((159*24/6+2)-0,'03_Capacity_Model'!$B$96)&lt;(('01_Inputs'!$B$14+'01_Inputs'!$B$15+'01_Inputs'!$B$16)+'01_Inputs'!$B$17+'01_Inputs'!$B$18)),AND(MOD((159*24/6+2)-'03_Capacity_Model'!$B$95,'03_Capacity_Model'!$B$96)&gt;=('01_Inputs'!$B$14+'01_Inputs'!$B$15+'01_Inputs'!$B$16),MOD((159*24/6+2)-'03_Capacity_Model'!$B$95,'03_Capacity_Model'!$B$96)&lt;(('01_Inputs'!$B$14+'01_Inputs'!$B$15+'01_Inputs'!$B$16)+'01_Inputs'!$B$17+'01_Inputs'!$B$18))),3,0)</f>
        <v>0</v>
      </c>
      <c r="FG22" s="93">
        <f>IF(OR(AND(MOD((160*24/6+2)-0,'03_Capacity_Model'!$B$96)&gt;=('01_Inputs'!$B$14+'01_Inputs'!$B$15+'01_Inputs'!$B$16),MOD((160*24/6+2)-0,'03_Capacity_Model'!$B$96)&lt;(('01_Inputs'!$B$14+'01_Inputs'!$B$15+'01_Inputs'!$B$16)+'01_Inputs'!$B$17+'01_Inputs'!$B$18)),AND(MOD((160*24/6+2)-'03_Capacity_Model'!$B$95,'03_Capacity_Model'!$B$96)&gt;=('01_Inputs'!$B$14+'01_Inputs'!$B$15+'01_Inputs'!$B$16),MOD((160*24/6+2)-'03_Capacity_Model'!$B$95,'03_Capacity_Model'!$B$96)&lt;(('01_Inputs'!$B$14+'01_Inputs'!$B$15+'01_Inputs'!$B$16)+'01_Inputs'!$B$17+'01_Inputs'!$B$18))),3,0)</f>
        <v>0</v>
      </c>
      <c r="FH22" s="93">
        <f>IF(OR(AND(MOD((161*24/6+2)-0,'03_Capacity_Model'!$B$96)&gt;=('01_Inputs'!$B$14+'01_Inputs'!$B$15+'01_Inputs'!$B$16),MOD((161*24/6+2)-0,'03_Capacity_Model'!$B$96)&lt;(('01_Inputs'!$B$14+'01_Inputs'!$B$15+'01_Inputs'!$B$16)+'01_Inputs'!$B$17+'01_Inputs'!$B$18)),AND(MOD((161*24/6+2)-'03_Capacity_Model'!$B$95,'03_Capacity_Model'!$B$96)&gt;=('01_Inputs'!$B$14+'01_Inputs'!$B$15+'01_Inputs'!$B$16),MOD((161*24/6+2)-'03_Capacity_Model'!$B$95,'03_Capacity_Model'!$B$96)&lt;(('01_Inputs'!$B$14+'01_Inputs'!$B$15+'01_Inputs'!$B$16)+'01_Inputs'!$B$17+'01_Inputs'!$B$18))),3,0)</f>
        <v>3</v>
      </c>
      <c r="FI22" s="93">
        <f>IF(OR(AND(MOD((162*24/6+2)-0,'03_Capacity_Model'!$B$96)&gt;=('01_Inputs'!$B$14+'01_Inputs'!$B$15+'01_Inputs'!$B$16),MOD((162*24/6+2)-0,'03_Capacity_Model'!$B$96)&lt;(('01_Inputs'!$B$14+'01_Inputs'!$B$15+'01_Inputs'!$B$16)+'01_Inputs'!$B$17+'01_Inputs'!$B$18)),AND(MOD((162*24/6+2)-'03_Capacity_Model'!$B$95,'03_Capacity_Model'!$B$96)&gt;=('01_Inputs'!$B$14+'01_Inputs'!$B$15+'01_Inputs'!$B$16),MOD((162*24/6+2)-'03_Capacity_Model'!$B$95,'03_Capacity_Model'!$B$96)&lt;(('01_Inputs'!$B$14+'01_Inputs'!$B$15+'01_Inputs'!$B$16)+'01_Inputs'!$B$17+'01_Inputs'!$B$18))),3,0)</f>
        <v>3</v>
      </c>
      <c r="FJ22" s="93">
        <f>IF(OR(AND(MOD((163*24/6+2)-0,'03_Capacity_Model'!$B$96)&gt;=('01_Inputs'!$B$14+'01_Inputs'!$B$15+'01_Inputs'!$B$16),MOD((163*24/6+2)-0,'03_Capacity_Model'!$B$96)&lt;(('01_Inputs'!$B$14+'01_Inputs'!$B$15+'01_Inputs'!$B$16)+'01_Inputs'!$B$17+'01_Inputs'!$B$18)),AND(MOD((163*24/6+2)-'03_Capacity_Model'!$B$95,'03_Capacity_Model'!$B$96)&gt;=('01_Inputs'!$B$14+'01_Inputs'!$B$15+'01_Inputs'!$B$16),MOD((163*24/6+2)-'03_Capacity_Model'!$B$95,'03_Capacity_Model'!$B$96)&lt;(('01_Inputs'!$B$14+'01_Inputs'!$B$15+'01_Inputs'!$B$16)+'01_Inputs'!$B$17+'01_Inputs'!$B$18))),3,0)</f>
        <v>0</v>
      </c>
      <c r="FK22" s="93">
        <f>IF(OR(AND(MOD((164*24/6+2)-0,'03_Capacity_Model'!$B$96)&gt;=('01_Inputs'!$B$14+'01_Inputs'!$B$15+'01_Inputs'!$B$16),MOD((164*24/6+2)-0,'03_Capacity_Model'!$B$96)&lt;(('01_Inputs'!$B$14+'01_Inputs'!$B$15+'01_Inputs'!$B$16)+'01_Inputs'!$B$17+'01_Inputs'!$B$18)),AND(MOD((164*24/6+2)-'03_Capacity_Model'!$B$95,'03_Capacity_Model'!$B$96)&gt;=('01_Inputs'!$B$14+'01_Inputs'!$B$15+'01_Inputs'!$B$16),MOD((164*24/6+2)-'03_Capacity_Model'!$B$95,'03_Capacity_Model'!$B$96)&lt;(('01_Inputs'!$B$14+'01_Inputs'!$B$15+'01_Inputs'!$B$16)+'01_Inputs'!$B$17+'01_Inputs'!$B$18))),3,0)</f>
        <v>0</v>
      </c>
      <c r="FL22" s="93">
        <f>IF(OR(AND(MOD((165*24/6+2)-0,'03_Capacity_Model'!$B$96)&gt;=('01_Inputs'!$B$14+'01_Inputs'!$B$15+'01_Inputs'!$B$16),MOD((165*24/6+2)-0,'03_Capacity_Model'!$B$96)&lt;(('01_Inputs'!$B$14+'01_Inputs'!$B$15+'01_Inputs'!$B$16)+'01_Inputs'!$B$17+'01_Inputs'!$B$18)),AND(MOD((165*24/6+2)-'03_Capacity_Model'!$B$95,'03_Capacity_Model'!$B$96)&gt;=('01_Inputs'!$B$14+'01_Inputs'!$B$15+'01_Inputs'!$B$16),MOD((165*24/6+2)-'03_Capacity_Model'!$B$95,'03_Capacity_Model'!$B$96)&lt;(('01_Inputs'!$B$14+'01_Inputs'!$B$15+'01_Inputs'!$B$16)+'01_Inputs'!$B$17+'01_Inputs'!$B$18))),3,0)</f>
        <v>0</v>
      </c>
      <c r="FM22" s="93">
        <f>IF(OR(AND(MOD((166*24/6+2)-0,'03_Capacity_Model'!$B$96)&gt;=('01_Inputs'!$B$14+'01_Inputs'!$B$15+'01_Inputs'!$B$16),MOD((166*24/6+2)-0,'03_Capacity_Model'!$B$96)&lt;(('01_Inputs'!$B$14+'01_Inputs'!$B$15+'01_Inputs'!$B$16)+'01_Inputs'!$B$17+'01_Inputs'!$B$18)),AND(MOD((166*24/6+2)-'03_Capacity_Model'!$B$95,'03_Capacity_Model'!$B$96)&gt;=('01_Inputs'!$B$14+'01_Inputs'!$B$15+'01_Inputs'!$B$16),MOD((166*24/6+2)-'03_Capacity_Model'!$B$95,'03_Capacity_Model'!$B$96)&lt;(('01_Inputs'!$B$14+'01_Inputs'!$B$15+'01_Inputs'!$B$16)+'01_Inputs'!$B$17+'01_Inputs'!$B$18))),3,0)</f>
        <v>0</v>
      </c>
      <c r="FN22" s="93">
        <f>IF(OR(AND(MOD((167*24/6+2)-0,'03_Capacity_Model'!$B$96)&gt;=('01_Inputs'!$B$14+'01_Inputs'!$B$15+'01_Inputs'!$B$16),MOD((167*24/6+2)-0,'03_Capacity_Model'!$B$96)&lt;(('01_Inputs'!$B$14+'01_Inputs'!$B$15+'01_Inputs'!$B$16)+'01_Inputs'!$B$17+'01_Inputs'!$B$18)),AND(MOD((167*24/6+2)-'03_Capacity_Model'!$B$95,'03_Capacity_Model'!$B$96)&gt;=('01_Inputs'!$B$14+'01_Inputs'!$B$15+'01_Inputs'!$B$16),MOD((167*24/6+2)-'03_Capacity_Model'!$B$95,'03_Capacity_Model'!$B$96)&lt;(('01_Inputs'!$B$14+'01_Inputs'!$B$15+'01_Inputs'!$B$16)+'01_Inputs'!$B$17+'01_Inputs'!$B$18))),3,0)</f>
        <v>0</v>
      </c>
      <c r="FO22" s="93">
        <f>IF(OR(AND(MOD((168*24/6+2)-0,'03_Capacity_Model'!$B$96)&gt;=('01_Inputs'!$B$14+'01_Inputs'!$B$15+'01_Inputs'!$B$16),MOD((168*24/6+2)-0,'03_Capacity_Model'!$B$96)&lt;(('01_Inputs'!$B$14+'01_Inputs'!$B$15+'01_Inputs'!$B$16)+'01_Inputs'!$B$17+'01_Inputs'!$B$18)),AND(MOD((168*24/6+2)-'03_Capacity_Model'!$B$95,'03_Capacity_Model'!$B$96)&gt;=('01_Inputs'!$B$14+'01_Inputs'!$B$15+'01_Inputs'!$B$16),MOD((168*24/6+2)-'03_Capacity_Model'!$B$95,'03_Capacity_Model'!$B$96)&lt;(('01_Inputs'!$B$14+'01_Inputs'!$B$15+'01_Inputs'!$B$16)+'01_Inputs'!$B$17+'01_Inputs'!$B$18))),3,0)</f>
        <v>0</v>
      </c>
      <c r="FP22" s="93">
        <f>IF(OR(AND(MOD((169*24/6+2)-0,'03_Capacity_Model'!$B$96)&gt;=('01_Inputs'!$B$14+'01_Inputs'!$B$15+'01_Inputs'!$B$16),MOD((169*24/6+2)-0,'03_Capacity_Model'!$B$96)&lt;(('01_Inputs'!$B$14+'01_Inputs'!$B$15+'01_Inputs'!$B$16)+'01_Inputs'!$B$17+'01_Inputs'!$B$18)),AND(MOD((169*24/6+2)-'03_Capacity_Model'!$B$95,'03_Capacity_Model'!$B$96)&gt;=('01_Inputs'!$B$14+'01_Inputs'!$B$15+'01_Inputs'!$B$16),MOD((169*24/6+2)-'03_Capacity_Model'!$B$95,'03_Capacity_Model'!$B$96)&lt;(('01_Inputs'!$B$14+'01_Inputs'!$B$15+'01_Inputs'!$B$16)+'01_Inputs'!$B$17+'01_Inputs'!$B$18))),3,0)</f>
        <v>3</v>
      </c>
      <c r="FQ22" s="93">
        <f>IF(OR(AND(MOD((170*24/6+2)-0,'03_Capacity_Model'!$B$96)&gt;=('01_Inputs'!$B$14+'01_Inputs'!$B$15+'01_Inputs'!$B$16),MOD((170*24/6+2)-0,'03_Capacity_Model'!$B$96)&lt;(('01_Inputs'!$B$14+'01_Inputs'!$B$15+'01_Inputs'!$B$16)+'01_Inputs'!$B$17+'01_Inputs'!$B$18)),AND(MOD((170*24/6+2)-'03_Capacity_Model'!$B$95,'03_Capacity_Model'!$B$96)&gt;=('01_Inputs'!$B$14+'01_Inputs'!$B$15+'01_Inputs'!$B$16),MOD((170*24/6+2)-'03_Capacity_Model'!$B$95,'03_Capacity_Model'!$B$96)&lt;(('01_Inputs'!$B$14+'01_Inputs'!$B$15+'01_Inputs'!$B$16)+'01_Inputs'!$B$17+'01_Inputs'!$B$18))),3,0)</f>
        <v>3</v>
      </c>
      <c r="FR22" s="93">
        <f>IF(OR(AND(MOD((171*24/6+2)-0,'03_Capacity_Model'!$B$96)&gt;=('01_Inputs'!$B$14+'01_Inputs'!$B$15+'01_Inputs'!$B$16),MOD((171*24/6+2)-0,'03_Capacity_Model'!$B$96)&lt;(('01_Inputs'!$B$14+'01_Inputs'!$B$15+'01_Inputs'!$B$16)+'01_Inputs'!$B$17+'01_Inputs'!$B$18)),AND(MOD((171*24/6+2)-'03_Capacity_Model'!$B$95,'03_Capacity_Model'!$B$96)&gt;=('01_Inputs'!$B$14+'01_Inputs'!$B$15+'01_Inputs'!$B$16),MOD((171*24/6+2)-'03_Capacity_Model'!$B$95,'03_Capacity_Model'!$B$96)&lt;(('01_Inputs'!$B$14+'01_Inputs'!$B$15+'01_Inputs'!$B$16)+'01_Inputs'!$B$17+'01_Inputs'!$B$18))),3,0)</f>
        <v>0</v>
      </c>
      <c r="FS22" s="93">
        <f>IF(OR(AND(MOD((172*24/6+2)-0,'03_Capacity_Model'!$B$96)&gt;=('01_Inputs'!$B$14+'01_Inputs'!$B$15+'01_Inputs'!$B$16),MOD((172*24/6+2)-0,'03_Capacity_Model'!$B$96)&lt;(('01_Inputs'!$B$14+'01_Inputs'!$B$15+'01_Inputs'!$B$16)+'01_Inputs'!$B$17+'01_Inputs'!$B$18)),AND(MOD((172*24/6+2)-'03_Capacity_Model'!$B$95,'03_Capacity_Model'!$B$96)&gt;=('01_Inputs'!$B$14+'01_Inputs'!$B$15+'01_Inputs'!$B$16),MOD((172*24/6+2)-'03_Capacity_Model'!$B$95,'03_Capacity_Model'!$B$96)&lt;(('01_Inputs'!$B$14+'01_Inputs'!$B$15+'01_Inputs'!$B$16)+'01_Inputs'!$B$17+'01_Inputs'!$B$18))),3,0)</f>
        <v>0</v>
      </c>
      <c r="FT22" s="93">
        <f>IF(OR(AND(MOD((173*24/6+2)-0,'03_Capacity_Model'!$B$96)&gt;=('01_Inputs'!$B$14+'01_Inputs'!$B$15+'01_Inputs'!$B$16),MOD((173*24/6+2)-0,'03_Capacity_Model'!$B$96)&lt;(('01_Inputs'!$B$14+'01_Inputs'!$B$15+'01_Inputs'!$B$16)+'01_Inputs'!$B$17+'01_Inputs'!$B$18)),AND(MOD((173*24/6+2)-'03_Capacity_Model'!$B$95,'03_Capacity_Model'!$B$96)&gt;=('01_Inputs'!$B$14+'01_Inputs'!$B$15+'01_Inputs'!$B$16),MOD((173*24/6+2)-'03_Capacity_Model'!$B$95,'03_Capacity_Model'!$B$96)&lt;(('01_Inputs'!$B$14+'01_Inputs'!$B$15+'01_Inputs'!$B$16)+'01_Inputs'!$B$17+'01_Inputs'!$B$18))),3,0)</f>
        <v>0</v>
      </c>
      <c r="FU22" s="93">
        <f>IF(OR(AND(MOD((174*24/6+2)-0,'03_Capacity_Model'!$B$96)&gt;=('01_Inputs'!$B$14+'01_Inputs'!$B$15+'01_Inputs'!$B$16),MOD((174*24/6+2)-0,'03_Capacity_Model'!$B$96)&lt;(('01_Inputs'!$B$14+'01_Inputs'!$B$15+'01_Inputs'!$B$16)+'01_Inputs'!$B$17+'01_Inputs'!$B$18)),AND(MOD((174*24/6+2)-'03_Capacity_Model'!$B$95,'03_Capacity_Model'!$B$96)&gt;=('01_Inputs'!$B$14+'01_Inputs'!$B$15+'01_Inputs'!$B$16),MOD((174*24/6+2)-'03_Capacity_Model'!$B$95,'03_Capacity_Model'!$B$96)&lt;(('01_Inputs'!$B$14+'01_Inputs'!$B$15+'01_Inputs'!$B$16)+'01_Inputs'!$B$17+'01_Inputs'!$B$18))),3,0)</f>
        <v>0</v>
      </c>
      <c r="FV22" s="93">
        <f>IF(OR(AND(MOD((175*24/6+2)-0,'03_Capacity_Model'!$B$96)&gt;=('01_Inputs'!$B$14+'01_Inputs'!$B$15+'01_Inputs'!$B$16),MOD((175*24/6+2)-0,'03_Capacity_Model'!$B$96)&lt;(('01_Inputs'!$B$14+'01_Inputs'!$B$15+'01_Inputs'!$B$16)+'01_Inputs'!$B$17+'01_Inputs'!$B$18)),AND(MOD((175*24/6+2)-'03_Capacity_Model'!$B$95,'03_Capacity_Model'!$B$96)&gt;=('01_Inputs'!$B$14+'01_Inputs'!$B$15+'01_Inputs'!$B$16),MOD((175*24/6+2)-'03_Capacity_Model'!$B$95,'03_Capacity_Model'!$B$96)&lt;(('01_Inputs'!$B$14+'01_Inputs'!$B$15+'01_Inputs'!$B$16)+'01_Inputs'!$B$17+'01_Inputs'!$B$18))),3,0)</f>
        <v>0</v>
      </c>
      <c r="FW22" s="93">
        <f>IF(OR(AND(MOD((176*24/6+2)-0,'03_Capacity_Model'!$B$96)&gt;=('01_Inputs'!$B$14+'01_Inputs'!$B$15+'01_Inputs'!$B$16),MOD((176*24/6+2)-0,'03_Capacity_Model'!$B$96)&lt;(('01_Inputs'!$B$14+'01_Inputs'!$B$15+'01_Inputs'!$B$16)+'01_Inputs'!$B$17+'01_Inputs'!$B$18)),AND(MOD((176*24/6+2)-'03_Capacity_Model'!$B$95,'03_Capacity_Model'!$B$96)&gt;=('01_Inputs'!$B$14+'01_Inputs'!$B$15+'01_Inputs'!$B$16),MOD((176*24/6+2)-'03_Capacity_Model'!$B$95,'03_Capacity_Model'!$B$96)&lt;(('01_Inputs'!$B$14+'01_Inputs'!$B$15+'01_Inputs'!$B$16)+'01_Inputs'!$B$17+'01_Inputs'!$B$18))),3,0)</f>
        <v>0</v>
      </c>
      <c r="FX22" s="93">
        <f>IF(OR(AND(MOD((177*24/6+2)-0,'03_Capacity_Model'!$B$96)&gt;=('01_Inputs'!$B$14+'01_Inputs'!$B$15+'01_Inputs'!$B$16),MOD((177*24/6+2)-0,'03_Capacity_Model'!$B$96)&lt;(('01_Inputs'!$B$14+'01_Inputs'!$B$15+'01_Inputs'!$B$16)+'01_Inputs'!$B$17+'01_Inputs'!$B$18)),AND(MOD((177*24/6+2)-'03_Capacity_Model'!$B$95,'03_Capacity_Model'!$B$96)&gt;=('01_Inputs'!$B$14+'01_Inputs'!$B$15+'01_Inputs'!$B$16),MOD((177*24/6+2)-'03_Capacity_Model'!$B$95,'03_Capacity_Model'!$B$96)&lt;(('01_Inputs'!$B$14+'01_Inputs'!$B$15+'01_Inputs'!$B$16)+'01_Inputs'!$B$17+'01_Inputs'!$B$18))),3,0)</f>
        <v>0</v>
      </c>
      <c r="FY22" s="93">
        <f>IF(OR(AND(MOD((178*24/6+2)-0,'03_Capacity_Model'!$B$96)&gt;=('01_Inputs'!$B$14+'01_Inputs'!$B$15+'01_Inputs'!$B$16),MOD((178*24/6+2)-0,'03_Capacity_Model'!$B$96)&lt;(('01_Inputs'!$B$14+'01_Inputs'!$B$15+'01_Inputs'!$B$16)+'01_Inputs'!$B$17+'01_Inputs'!$B$18)),AND(MOD((178*24/6+2)-'03_Capacity_Model'!$B$95,'03_Capacity_Model'!$B$96)&gt;=('01_Inputs'!$B$14+'01_Inputs'!$B$15+'01_Inputs'!$B$16),MOD((178*24/6+2)-'03_Capacity_Model'!$B$95,'03_Capacity_Model'!$B$96)&lt;(('01_Inputs'!$B$14+'01_Inputs'!$B$15+'01_Inputs'!$B$16)+'01_Inputs'!$B$17+'01_Inputs'!$B$18))),3,0)</f>
        <v>3</v>
      </c>
      <c r="FZ22" s="93">
        <f>IF(OR(AND(MOD((179*24/6+2)-0,'03_Capacity_Model'!$B$96)&gt;=('01_Inputs'!$B$14+'01_Inputs'!$B$15+'01_Inputs'!$B$16),MOD((179*24/6+2)-0,'03_Capacity_Model'!$B$96)&lt;(('01_Inputs'!$B$14+'01_Inputs'!$B$15+'01_Inputs'!$B$16)+'01_Inputs'!$B$17+'01_Inputs'!$B$18)),AND(MOD((179*24/6+2)-'03_Capacity_Model'!$B$95,'03_Capacity_Model'!$B$96)&gt;=('01_Inputs'!$B$14+'01_Inputs'!$B$15+'01_Inputs'!$B$16),MOD((179*24/6+2)-'03_Capacity_Model'!$B$95,'03_Capacity_Model'!$B$96)&lt;(('01_Inputs'!$B$14+'01_Inputs'!$B$15+'01_Inputs'!$B$16)+'01_Inputs'!$B$17+'01_Inputs'!$B$18))),3,0)</f>
        <v>3</v>
      </c>
    </row>
    <row r="23" ht="11" customHeight="1">
      <c r="B23" s="92" t="inlineStr">
        <is>
          <t>5 Gal 충진 (공용)</t>
        </is>
      </c>
      <c r="C23" s="93">
        <f>IF(OR(AND(MOD((0*24/6+2)-0,'03_Capacity_Model'!$B$96)&gt;=(('01_Inputs'!$B$14+'01_Inputs'!$B$15+'01_Inputs'!$B$16)+'01_Inputs'!$B$17+'01_Inputs'!$B$18),MOD((0*24/6+2)-0,'03_Capacity_Model'!$B$96)&lt;((('01_Inputs'!$B$14+'01_Inputs'!$B$15+'01_Inputs'!$B$16)+'01_Inputs'!$B$17+'01_Inputs'!$B$18)+'01_Inputs'!$B$29*'01_Inputs'!$B$28)),AND(MOD((0*24/6+2)-'03_Capacity_Model'!$B$95,'03_Capacity_Model'!$B$96)&gt;=(('01_Inputs'!$B$14+'01_Inputs'!$B$15+'01_Inputs'!$B$16)+'01_Inputs'!$B$17+'01_Inputs'!$B$18),MOD((0*24/6+2)-'03_Capacity_Model'!$B$95,'03_Capacity_Model'!$B$96)&lt;((('01_Inputs'!$B$14+'01_Inputs'!$B$15+'01_Inputs'!$B$16)+'01_Inputs'!$B$17+'01_Inputs'!$B$18)+'01_Inputs'!$B$29*'01_Inputs'!$B$28))),4,0)</f>
        <v>0</v>
      </c>
      <c r="D23" s="93">
        <f>IF(OR(AND(MOD((1*24/6+2)-0,'03_Capacity_Model'!$B$96)&gt;=(('01_Inputs'!$B$14+'01_Inputs'!$B$15+'01_Inputs'!$B$16)+'01_Inputs'!$B$17+'01_Inputs'!$B$18),MOD((1*24/6+2)-0,'03_Capacity_Model'!$B$96)&lt;((('01_Inputs'!$B$14+'01_Inputs'!$B$15+'01_Inputs'!$B$16)+'01_Inputs'!$B$17+'01_Inputs'!$B$18)+'01_Inputs'!$B$29*'01_Inputs'!$B$28)),AND(MOD((1*24/6+2)-'03_Capacity_Model'!$B$95,'03_Capacity_Model'!$B$96)&gt;=(('01_Inputs'!$B$14+'01_Inputs'!$B$15+'01_Inputs'!$B$16)+'01_Inputs'!$B$17+'01_Inputs'!$B$18),MOD((1*24/6+2)-'03_Capacity_Model'!$B$95,'03_Capacity_Model'!$B$96)&lt;((('01_Inputs'!$B$14+'01_Inputs'!$B$15+'01_Inputs'!$B$16)+'01_Inputs'!$B$17+'01_Inputs'!$B$18)+'01_Inputs'!$B$29*'01_Inputs'!$B$28))),4,0)</f>
        <v>0</v>
      </c>
      <c r="E23" s="93">
        <f>IF(OR(AND(MOD((2*24/6+2)-0,'03_Capacity_Model'!$B$96)&gt;=(('01_Inputs'!$B$14+'01_Inputs'!$B$15+'01_Inputs'!$B$16)+'01_Inputs'!$B$17+'01_Inputs'!$B$18),MOD((2*24/6+2)-0,'03_Capacity_Model'!$B$96)&lt;((('01_Inputs'!$B$14+'01_Inputs'!$B$15+'01_Inputs'!$B$16)+'01_Inputs'!$B$17+'01_Inputs'!$B$18)+'01_Inputs'!$B$29*'01_Inputs'!$B$28)),AND(MOD((2*24/6+2)-'03_Capacity_Model'!$B$95,'03_Capacity_Model'!$B$96)&gt;=(('01_Inputs'!$B$14+'01_Inputs'!$B$15+'01_Inputs'!$B$16)+'01_Inputs'!$B$17+'01_Inputs'!$B$18),MOD((2*24/6+2)-'03_Capacity_Model'!$B$95,'03_Capacity_Model'!$B$96)&lt;((('01_Inputs'!$B$14+'01_Inputs'!$B$15+'01_Inputs'!$B$16)+'01_Inputs'!$B$17+'01_Inputs'!$B$18)+'01_Inputs'!$B$29*'01_Inputs'!$B$28))),4,0)</f>
        <v>0</v>
      </c>
      <c r="F23" s="93">
        <f>IF(OR(AND(MOD((3*24/6+2)-0,'03_Capacity_Model'!$B$96)&gt;=(('01_Inputs'!$B$14+'01_Inputs'!$B$15+'01_Inputs'!$B$16)+'01_Inputs'!$B$17+'01_Inputs'!$B$18),MOD((3*24/6+2)-0,'03_Capacity_Model'!$B$96)&lt;((('01_Inputs'!$B$14+'01_Inputs'!$B$15+'01_Inputs'!$B$16)+'01_Inputs'!$B$17+'01_Inputs'!$B$18)+'01_Inputs'!$B$29*'01_Inputs'!$B$28)),AND(MOD((3*24/6+2)-'03_Capacity_Model'!$B$95,'03_Capacity_Model'!$B$96)&gt;=(('01_Inputs'!$B$14+'01_Inputs'!$B$15+'01_Inputs'!$B$16)+'01_Inputs'!$B$17+'01_Inputs'!$B$18),MOD((3*24/6+2)-'03_Capacity_Model'!$B$95,'03_Capacity_Model'!$B$96)&lt;((('01_Inputs'!$B$14+'01_Inputs'!$B$15+'01_Inputs'!$B$16)+'01_Inputs'!$B$17+'01_Inputs'!$B$18)+'01_Inputs'!$B$29*'01_Inputs'!$B$28))),4,0)</f>
        <v>0</v>
      </c>
      <c r="G23" s="93">
        <f>IF(OR(AND(MOD((4*24/6+2)-0,'03_Capacity_Model'!$B$96)&gt;=(('01_Inputs'!$B$14+'01_Inputs'!$B$15+'01_Inputs'!$B$16)+'01_Inputs'!$B$17+'01_Inputs'!$B$18),MOD((4*24/6+2)-0,'03_Capacity_Model'!$B$96)&lt;((('01_Inputs'!$B$14+'01_Inputs'!$B$15+'01_Inputs'!$B$16)+'01_Inputs'!$B$17+'01_Inputs'!$B$18)+'01_Inputs'!$B$29*'01_Inputs'!$B$28)),AND(MOD((4*24/6+2)-'03_Capacity_Model'!$B$95,'03_Capacity_Model'!$B$96)&gt;=(('01_Inputs'!$B$14+'01_Inputs'!$B$15+'01_Inputs'!$B$16)+'01_Inputs'!$B$17+'01_Inputs'!$B$18),MOD((4*24/6+2)-'03_Capacity_Model'!$B$95,'03_Capacity_Model'!$B$96)&lt;((('01_Inputs'!$B$14+'01_Inputs'!$B$15+'01_Inputs'!$B$16)+'01_Inputs'!$B$17+'01_Inputs'!$B$18)+'01_Inputs'!$B$29*'01_Inputs'!$B$28))),4,0)</f>
        <v>0</v>
      </c>
      <c r="H23" s="93">
        <f>IF(OR(AND(MOD((5*24/6+2)-0,'03_Capacity_Model'!$B$96)&gt;=(('01_Inputs'!$B$14+'01_Inputs'!$B$15+'01_Inputs'!$B$16)+'01_Inputs'!$B$17+'01_Inputs'!$B$18),MOD((5*24/6+2)-0,'03_Capacity_Model'!$B$96)&lt;((('01_Inputs'!$B$14+'01_Inputs'!$B$15+'01_Inputs'!$B$16)+'01_Inputs'!$B$17+'01_Inputs'!$B$18)+'01_Inputs'!$B$29*'01_Inputs'!$B$28)),AND(MOD((5*24/6+2)-'03_Capacity_Model'!$B$95,'03_Capacity_Model'!$B$96)&gt;=(('01_Inputs'!$B$14+'01_Inputs'!$B$15+'01_Inputs'!$B$16)+'01_Inputs'!$B$17+'01_Inputs'!$B$18),MOD((5*24/6+2)-'03_Capacity_Model'!$B$95,'03_Capacity_Model'!$B$96)&lt;((('01_Inputs'!$B$14+'01_Inputs'!$B$15+'01_Inputs'!$B$16)+'01_Inputs'!$B$17+'01_Inputs'!$B$18)+'01_Inputs'!$B$29*'01_Inputs'!$B$28))),4,0)</f>
        <v>4</v>
      </c>
      <c r="I23" s="93">
        <f>IF(OR(AND(MOD((6*24/6+2)-0,'03_Capacity_Model'!$B$96)&gt;=(('01_Inputs'!$B$14+'01_Inputs'!$B$15+'01_Inputs'!$B$16)+'01_Inputs'!$B$17+'01_Inputs'!$B$18),MOD((6*24/6+2)-0,'03_Capacity_Model'!$B$96)&lt;((('01_Inputs'!$B$14+'01_Inputs'!$B$15+'01_Inputs'!$B$16)+'01_Inputs'!$B$17+'01_Inputs'!$B$18)+'01_Inputs'!$B$29*'01_Inputs'!$B$28)),AND(MOD((6*24/6+2)-'03_Capacity_Model'!$B$95,'03_Capacity_Model'!$B$96)&gt;=(('01_Inputs'!$B$14+'01_Inputs'!$B$15+'01_Inputs'!$B$16)+'01_Inputs'!$B$17+'01_Inputs'!$B$18),MOD((6*24/6+2)-'03_Capacity_Model'!$B$95,'03_Capacity_Model'!$B$96)&lt;((('01_Inputs'!$B$14+'01_Inputs'!$B$15+'01_Inputs'!$B$16)+'01_Inputs'!$B$17+'01_Inputs'!$B$18)+'01_Inputs'!$B$29*'01_Inputs'!$B$28))),4,0)</f>
        <v>4</v>
      </c>
      <c r="J23" s="93">
        <f>IF(OR(AND(MOD((7*24/6+2)-0,'03_Capacity_Model'!$B$96)&gt;=(('01_Inputs'!$B$14+'01_Inputs'!$B$15+'01_Inputs'!$B$16)+'01_Inputs'!$B$17+'01_Inputs'!$B$18),MOD((7*24/6+2)-0,'03_Capacity_Model'!$B$96)&lt;((('01_Inputs'!$B$14+'01_Inputs'!$B$15+'01_Inputs'!$B$16)+'01_Inputs'!$B$17+'01_Inputs'!$B$18)+'01_Inputs'!$B$29*'01_Inputs'!$B$28)),AND(MOD((7*24/6+2)-'03_Capacity_Model'!$B$95,'03_Capacity_Model'!$B$96)&gt;=(('01_Inputs'!$B$14+'01_Inputs'!$B$15+'01_Inputs'!$B$16)+'01_Inputs'!$B$17+'01_Inputs'!$B$18),MOD((7*24/6+2)-'03_Capacity_Model'!$B$95,'03_Capacity_Model'!$B$96)&lt;((('01_Inputs'!$B$14+'01_Inputs'!$B$15+'01_Inputs'!$B$16)+'01_Inputs'!$B$17+'01_Inputs'!$B$18)+'01_Inputs'!$B$29*'01_Inputs'!$B$28))),4,0)</f>
        <v>0</v>
      </c>
      <c r="K23" s="93">
        <f>IF(OR(AND(MOD((8*24/6+2)-0,'03_Capacity_Model'!$B$96)&gt;=(('01_Inputs'!$B$14+'01_Inputs'!$B$15+'01_Inputs'!$B$16)+'01_Inputs'!$B$17+'01_Inputs'!$B$18),MOD((8*24/6+2)-0,'03_Capacity_Model'!$B$96)&lt;((('01_Inputs'!$B$14+'01_Inputs'!$B$15+'01_Inputs'!$B$16)+'01_Inputs'!$B$17+'01_Inputs'!$B$18)+'01_Inputs'!$B$29*'01_Inputs'!$B$28)),AND(MOD((8*24/6+2)-'03_Capacity_Model'!$B$95,'03_Capacity_Model'!$B$96)&gt;=(('01_Inputs'!$B$14+'01_Inputs'!$B$15+'01_Inputs'!$B$16)+'01_Inputs'!$B$17+'01_Inputs'!$B$18),MOD((8*24/6+2)-'03_Capacity_Model'!$B$95,'03_Capacity_Model'!$B$96)&lt;((('01_Inputs'!$B$14+'01_Inputs'!$B$15+'01_Inputs'!$B$16)+'01_Inputs'!$B$17+'01_Inputs'!$B$18)+'01_Inputs'!$B$29*'01_Inputs'!$B$28))),4,0)</f>
        <v>0</v>
      </c>
      <c r="L23" s="93">
        <f>IF(OR(AND(MOD((9*24/6+2)-0,'03_Capacity_Model'!$B$96)&gt;=(('01_Inputs'!$B$14+'01_Inputs'!$B$15+'01_Inputs'!$B$16)+'01_Inputs'!$B$17+'01_Inputs'!$B$18),MOD((9*24/6+2)-0,'03_Capacity_Model'!$B$96)&lt;((('01_Inputs'!$B$14+'01_Inputs'!$B$15+'01_Inputs'!$B$16)+'01_Inputs'!$B$17+'01_Inputs'!$B$18)+'01_Inputs'!$B$29*'01_Inputs'!$B$28)),AND(MOD((9*24/6+2)-'03_Capacity_Model'!$B$95,'03_Capacity_Model'!$B$96)&gt;=(('01_Inputs'!$B$14+'01_Inputs'!$B$15+'01_Inputs'!$B$16)+'01_Inputs'!$B$17+'01_Inputs'!$B$18),MOD((9*24/6+2)-'03_Capacity_Model'!$B$95,'03_Capacity_Model'!$B$96)&lt;((('01_Inputs'!$B$14+'01_Inputs'!$B$15+'01_Inputs'!$B$16)+'01_Inputs'!$B$17+'01_Inputs'!$B$18)+'01_Inputs'!$B$29*'01_Inputs'!$B$28))),4,0)</f>
        <v>0</v>
      </c>
      <c r="M23" s="93">
        <f>IF(OR(AND(MOD((10*24/6+2)-0,'03_Capacity_Model'!$B$96)&gt;=(('01_Inputs'!$B$14+'01_Inputs'!$B$15+'01_Inputs'!$B$16)+'01_Inputs'!$B$17+'01_Inputs'!$B$18),MOD((10*24/6+2)-0,'03_Capacity_Model'!$B$96)&lt;((('01_Inputs'!$B$14+'01_Inputs'!$B$15+'01_Inputs'!$B$16)+'01_Inputs'!$B$17+'01_Inputs'!$B$18)+'01_Inputs'!$B$29*'01_Inputs'!$B$28)),AND(MOD((10*24/6+2)-'03_Capacity_Model'!$B$95,'03_Capacity_Model'!$B$96)&gt;=(('01_Inputs'!$B$14+'01_Inputs'!$B$15+'01_Inputs'!$B$16)+'01_Inputs'!$B$17+'01_Inputs'!$B$18),MOD((10*24/6+2)-'03_Capacity_Model'!$B$95,'03_Capacity_Model'!$B$96)&lt;((('01_Inputs'!$B$14+'01_Inputs'!$B$15+'01_Inputs'!$B$16)+'01_Inputs'!$B$17+'01_Inputs'!$B$18)+'01_Inputs'!$B$29*'01_Inputs'!$B$28))),4,0)</f>
        <v>0</v>
      </c>
      <c r="N23" s="93">
        <f>IF(OR(AND(MOD((11*24/6+2)-0,'03_Capacity_Model'!$B$96)&gt;=(('01_Inputs'!$B$14+'01_Inputs'!$B$15+'01_Inputs'!$B$16)+'01_Inputs'!$B$17+'01_Inputs'!$B$18),MOD((11*24/6+2)-0,'03_Capacity_Model'!$B$96)&lt;((('01_Inputs'!$B$14+'01_Inputs'!$B$15+'01_Inputs'!$B$16)+'01_Inputs'!$B$17+'01_Inputs'!$B$18)+'01_Inputs'!$B$29*'01_Inputs'!$B$28)),AND(MOD((11*24/6+2)-'03_Capacity_Model'!$B$95,'03_Capacity_Model'!$B$96)&gt;=(('01_Inputs'!$B$14+'01_Inputs'!$B$15+'01_Inputs'!$B$16)+'01_Inputs'!$B$17+'01_Inputs'!$B$18),MOD((11*24/6+2)-'03_Capacity_Model'!$B$95,'03_Capacity_Model'!$B$96)&lt;((('01_Inputs'!$B$14+'01_Inputs'!$B$15+'01_Inputs'!$B$16)+'01_Inputs'!$B$17+'01_Inputs'!$B$18)+'01_Inputs'!$B$29*'01_Inputs'!$B$28))),4,0)</f>
        <v>0</v>
      </c>
      <c r="O23" s="93">
        <f>IF(OR(AND(MOD((12*24/6+2)-0,'03_Capacity_Model'!$B$96)&gt;=(('01_Inputs'!$B$14+'01_Inputs'!$B$15+'01_Inputs'!$B$16)+'01_Inputs'!$B$17+'01_Inputs'!$B$18),MOD((12*24/6+2)-0,'03_Capacity_Model'!$B$96)&lt;((('01_Inputs'!$B$14+'01_Inputs'!$B$15+'01_Inputs'!$B$16)+'01_Inputs'!$B$17+'01_Inputs'!$B$18)+'01_Inputs'!$B$29*'01_Inputs'!$B$28)),AND(MOD((12*24/6+2)-'03_Capacity_Model'!$B$95,'03_Capacity_Model'!$B$96)&gt;=(('01_Inputs'!$B$14+'01_Inputs'!$B$15+'01_Inputs'!$B$16)+'01_Inputs'!$B$17+'01_Inputs'!$B$18),MOD((12*24/6+2)-'03_Capacity_Model'!$B$95,'03_Capacity_Model'!$B$96)&lt;((('01_Inputs'!$B$14+'01_Inputs'!$B$15+'01_Inputs'!$B$16)+'01_Inputs'!$B$17+'01_Inputs'!$B$18)+'01_Inputs'!$B$29*'01_Inputs'!$B$28))),4,0)</f>
        <v>0</v>
      </c>
      <c r="P23" s="93">
        <f>IF(OR(AND(MOD((13*24/6+2)-0,'03_Capacity_Model'!$B$96)&gt;=(('01_Inputs'!$B$14+'01_Inputs'!$B$15+'01_Inputs'!$B$16)+'01_Inputs'!$B$17+'01_Inputs'!$B$18),MOD((13*24/6+2)-0,'03_Capacity_Model'!$B$96)&lt;((('01_Inputs'!$B$14+'01_Inputs'!$B$15+'01_Inputs'!$B$16)+'01_Inputs'!$B$17+'01_Inputs'!$B$18)+'01_Inputs'!$B$29*'01_Inputs'!$B$28)),AND(MOD((13*24/6+2)-'03_Capacity_Model'!$B$95,'03_Capacity_Model'!$B$96)&gt;=(('01_Inputs'!$B$14+'01_Inputs'!$B$15+'01_Inputs'!$B$16)+'01_Inputs'!$B$17+'01_Inputs'!$B$18),MOD((13*24/6+2)-'03_Capacity_Model'!$B$95,'03_Capacity_Model'!$B$96)&lt;((('01_Inputs'!$B$14+'01_Inputs'!$B$15+'01_Inputs'!$B$16)+'01_Inputs'!$B$17+'01_Inputs'!$B$18)+'01_Inputs'!$B$29*'01_Inputs'!$B$28))),4,0)</f>
        <v>0</v>
      </c>
      <c r="Q23" s="93">
        <f>IF(OR(AND(MOD((14*24/6+2)-0,'03_Capacity_Model'!$B$96)&gt;=(('01_Inputs'!$B$14+'01_Inputs'!$B$15+'01_Inputs'!$B$16)+'01_Inputs'!$B$17+'01_Inputs'!$B$18),MOD((14*24/6+2)-0,'03_Capacity_Model'!$B$96)&lt;((('01_Inputs'!$B$14+'01_Inputs'!$B$15+'01_Inputs'!$B$16)+'01_Inputs'!$B$17+'01_Inputs'!$B$18)+'01_Inputs'!$B$29*'01_Inputs'!$B$28)),AND(MOD((14*24/6+2)-'03_Capacity_Model'!$B$95,'03_Capacity_Model'!$B$96)&gt;=(('01_Inputs'!$B$14+'01_Inputs'!$B$15+'01_Inputs'!$B$16)+'01_Inputs'!$B$17+'01_Inputs'!$B$18),MOD((14*24/6+2)-'03_Capacity_Model'!$B$95,'03_Capacity_Model'!$B$96)&lt;((('01_Inputs'!$B$14+'01_Inputs'!$B$15+'01_Inputs'!$B$16)+'01_Inputs'!$B$17+'01_Inputs'!$B$18)+'01_Inputs'!$B$29*'01_Inputs'!$B$28))),4,0)</f>
        <v>4</v>
      </c>
      <c r="R23" s="93">
        <f>IF(OR(AND(MOD((15*24/6+2)-0,'03_Capacity_Model'!$B$96)&gt;=(('01_Inputs'!$B$14+'01_Inputs'!$B$15+'01_Inputs'!$B$16)+'01_Inputs'!$B$17+'01_Inputs'!$B$18),MOD((15*24/6+2)-0,'03_Capacity_Model'!$B$96)&lt;((('01_Inputs'!$B$14+'01_Inputs'!$B$15+'01_Inputs'!$B$16)+'01_Inputs'!$B$17+'01_Inputs'!$B$18)+'01_Inputs'!$B$29*'01_Inputs'!$B$28)),AND(MOD((15*24/6+2)-'03_Capacity_Model'!$B$95,'03_Capacity_Model'!$B$96)&gt;=(('01_Inputs'!$B$14+'01_Inputs'!$B$15+'01_Inputs'!$B$16)+'01_Inputs'!$B$17+'01_Inputs'!$B$18),MOD((15*24/6+2)-'03_Capacity_Model'!$B$95,'03_Capacity_Model'!$B$96)&lt;((('01_Inputs'!$B$14+'01_Inputs'!$B$15+'01_Inputs'!$B$16)+'01_Inputs'!$B$17+'01_Inputs'!$B$18)+'01_Inputs'!$B$29*'01_Inputs'!$B$28))),4,0)</f>
        <v>4</v>
      </c>
      <c r="S23" s="93">
        <f>IF(OR(AND(MOD((16*24/6+2)-0,'03_Capacity_Model'!$B$96)&gt;=(('01_Inputs'!$B$14+'01_Inputs'!$B$15+'01_Inputs'!$B$16)+'01_Inputs'!$B$17+'01_Inputs'!$B$18),MOD((16*24/6+2)-0,'03_Capacity_Model'!$B$96)&lt;((('01_Inputs'!$B$14+'01_Inputs'!$B$15+'01_Inputs'!$B$16)+'01_Inputs'!$B$17+'01_Inputs'!$B$18)+'01_Inputs'!$B$29*'01_Inputs'!$B$28)),AND(MOD((16*24/6+2)-'03_Capacity_Model'!$B$95,'03_Capacity_Model'!$B$96)&gt;=(('01_Inputs'!$B$14+'01_Inputs'!$B$15+'01_Inputs'!$B$16)+'01_Inputs'!$B$17+'01_Inputs'!$B$18),MOD((16*24/6+2)-'03_Capacity_Model'!$B$95,'03_Capacity_Model'!$B$96)&lt;((('01_Inputs'!$B$14+'01_Inputs'!$B$15+'01_Inputs'!$B$16)+'01_Inputs'!$B$17+'01_Inputs'!$B$18)+'01_Inputs'!$B$29*'01_Inputs'!$B$28))),4,0)</f>
        <v>4</v>
      </c>
      <c r="T23" s="93">
        <f>IF(OR(AND(MOD((17*24/6+2)-0,'03_Capacity_Model'!$B$96)&gt;=(('01_Inputs'!$B$14+'01_Inputs'!$B$15+'01_Inputs'!$B$16)+'01_Inputs'!$B$17+'01_Inputs'!$B$18),MOD((17*24/6+2)-0,'03_Capacity_Model'!$B$96)&lt;((('01_Inputs'!$B$14+'01_Inputs'!$B$15+'01_Inputs'!$B$16)+'01_Inputs'!$B$17+'01_Inputs'!$B$18)+'01_Inputs'!$B$29*'01_Inputs'!$B$28)),AND(MOD((17*24/6+2)-'03_Capacity_Model'!$B$95,'03_Capacity_Model'!$B$96)&gt;=(('01_Inputs'!$B$14+'01_Inputs'!$B$15+'01_Inputs'!$B$16)+'01_Inputs'!$B$17+'01_Inputs'!$B$18),MOD((17*24/6+2)-'03_Capacity_Model'!$B$95,'03_Capacity_Model'!$B$96)&lt;((('01_Inputs'!$B$14+'01_Inputs'!$B$15+'01_Inputs'!$B$16)+'01_Inputs'!$B$17+'01_Inputs'!$B$18)+'01_Inputs'!$B$29*'01_Inputs'!$B$28))),4,0)</f>
        <v>0</v>
      </c>
      <c r="U23" s="93">
        <f>IF(OR(AND(MOD((18*24/6+2)-0,'03_Capacity_Model'!$B$96)&gt;=(('01_Inputs'!$B$14+'01_Inputs'!$B$15+'01_Inputs'!$B$16)+'01_Inputs'!$B$17+'01_Inputs'!$B$18),MOD((18*24/6+2)-0,'03_Capacity_Model'!$B$96)&lt;((('01_Inputs'!$B$14+'01_Inputs'!$B$15+'01_Inputs'!$B$16)+'01_Inputs'!$B$17+'01_Inputs'!$B$18)+'01_Inputs'!$B$29*'01_Inputs'!$B$28)),AND(MOD((18*24/6+2)-'03_Capacity_Model'!$B$95,'03_Capacity_Model'!$B$96)&gt;=(('01_Inputs'!$B$14+'01_Inputs'!$B$15+'01_Inputs'!$B$16)+'01_Inputs'!$B$17+'01_Inputs'!$B$18),MOD((18*24/6+2)-'03_Capacity_Model'!$B$95,'03_Capacity_Model'!$B$96)&lt;((('01_Inputs'!$B$14+'01_Inputs'!$B$15+'01_Inputs'!$B$16)+'01_Inputs'!$B$17+'01_Inputs'!$B$18)+'01_Inputs'!$B$29*'01_Inputs'!$B$28))),4,0)</f>
        <v>0</v>
      </c>
      <c r="V23" s="93">
        <f>IF(OR(AND(MOD((19*24/6+2)-0,'03_Capacity_Model'!$B$96)&gt;=(('01_Inputs'!$B$14+'01_Inputs'!$B$15+'01_Inputs'!$B$16)+'01_Inputs'!$B$17+'01_Inputs'!$B$18),MOD((19*24/6+2)-0,'03_Capacity_Model'!$B$96)&lt;((('01_Inputs'!$B$14+'01_Inputs'!$B$15+'01_Inputs'!$B$16)+'01_Inputs'!$B$17+'01_Inputs'!$B$18)+'01_Inputs'!$B$29*'01_Inputs'!$B$28)),AND(MOD((19*24/6+2)-'03_Capacity_Model'!$B$95,'03_Capacity_Model'!$B$96)&gt;=(('01_Inputs'!$B$14+'01_Inputs'!$B$15+'01_Inputs'!$B$16)+'01_Inputs'!$B$17+'01_Inputs'!$B$18),MOD((19*24/6+2)-'03_Capacity_Model'!$B$95,'03_Capacity_Model'!$B$96)&lt;((('01_Inputs'!$B$14+'01_Inputs'!$B$15+'01_Inputs'!$B$16)+'01_Inputs'!$B$17+'01_Inputs'!$B$18)+'01_Inputs'!$B$29*'01_Inputs'!$B$28))),4,0)</f>
        <v>0</v>
      </c>
      <c r="W23" s="93">
        <f>IF(OR(AND(MOD((20*24/6+2)-0,'03_Capacity_Model'!$B$96)&gt;=(('01_Inputs'!$B$14+'01_Inputs'!$B$15+'01_Inputs'!$B$16)+'01_Inputs'!$B$17+'01_Inputs'!$B$18),MOD((20*24/6+2)-0,'03_Capacity_Model'!$B$96)&lt;((('01_Inputs'!$B$14+'01_Inputs'!$B$15+'01_Inputs'!$B$16)+'01_Inputs'!$B$17+'01_Inputs'!$B$18)+'01_Inputs'!$B$29*'01_Inputs'!$B$28)),AND(MOD((20*24/6+2)-'03_Capacity_Model'!$B$95,'03_Capacity_Model'!$B$96)&gt;=(('01_Inputs'!$B$14+'01_Inputs'!$B$15+'01_Inputs'!$B$16)+'01_Inputs'!$B$17+'01_Inputs'!$B$18),MOD((20*24/6+2)-'03_Capacity_Model'!$B$95,'03_Capacity_Model'!$B$96)&lt;((('01_Inputs'!$B$14+'01_Inputs'!$B$15+'01_Inputs'!$B$16)+'01_Inputs'!$B$17+'01_Inputs'!$B$18)+'01_Inputs'!$B$29*'01_Inputs'!$B$28))),4,0)</f>
        <v>0</v>
      </c>
      <c r="X23" s="93">
        <f>IF(OR(AND(MOD((21*24/6+2)-0,'03_Capacity_Model'!$B$96)&gt;=(('01_Inputs'!$B$14+'01_Inputs'!$B$15+'01_Inputs'!$B$16)+'01_Inputs'!$B$17+'01_Inputs'!$B$18),MOD((21*24/6+2)-0,'03_Capacity_Model'!$B$96)&lt;((('01_Inputs'!$B$14+'01_Inputs'!$B$15+'01_Inputs'!$B$16)+'01_Inputs'!$B$17+'01_Inputs'!$B$18)+'01_Inputs'!$B$29*'01_Inputs'!$B$28)),AND(MOD((21*24/6+2)-'03_Capacity_Model'!$B$95,'03_Capacity_Model'!$B$96)&gt;=(('01_Inputs'!$B$14+'01_Inputs'!$B$15+'01_Inputs'!$B$16)+'01_Inputs'!$B$17+'01_Inputs'!$B$18),MOD((21*24/6+2)-'03_Capacity_Model'!$B$95,'03_Capacity_Model'!$B$96)&lt;((('01_Inputs'!$B$14+'01_Inputs'!$B$15+'01_Inputs'!$B$16)+'01_Inputs'!$B$17+'01_Inputs'!$B$18)+'01_Inputs'!$B$29*'01_Inputs'!$B$28))),4,0)</f>
        <v>0</v>
      </c>
      <c r="Y23" s="93">
        <f>IF(OR(AND(MOD((22*24/6+2)-0,'03_Capacity_Model'!$B$96)&gt;=(('01_Inputs'!$B$14+'01_Inputs'!$B$15+'01_Inputs'!$B$16)+'01_Inputs'!$B$17+'01_Inputs'!$B$18),MOD((22*24/6+2)-0,'03_Capacity_Model'!$B$96)&lt;((('01_Inputs'!$B$14+'01_Inputs'!$B$15+'01_Inputs'!$B$16)+'01_Inputs'!$B$17+'01_Inputs'!$B$18)+'01_Inputs'!$B$29*'01_Inputs'!$B$28)),AND(MOD((22*24/6+2)-'03_Capacity_Model'!$B$95,'03_Capacity_Model'!$B$96)&gt;=(('01_Inputs'!$B$14+'01_Inputs'!$B$15+'01_Inputs'!$B$16)+'01_Inputs'!$B$17+'01_Inputs'!$B$18),MOD((22*24/6+2)-'03_Capacity_Model'!$B$95,'03_Capacity_Model'!$B$96)&lt;((('01_Inputs'!$B$14+'01_Inputs'!$B$15+'01_Inputs'!$B$16)+'01_Inputs'!$B$17+'01_Inputs'!$B$18)+'01_Inputs'!$B$29*'01_Inputs'!$B$28))),4,0)</f>
        <v>4</v>
      </c>
      <c r="Z23" s="93">
        <f>IF(OR(AND(MOD((23*24/6+2)-0,'03_Capacity_Model'!$B$96)&gt;=(('01_Inputs'!$B$14+'01_Inputs'!$B$15+'01_Inputs'!$B$16)+'01_Inputs'!$B$17+'01_Inputs'!$B$18),MOD((23*24/6+2)-0,'03_Capacity_Model'!$B$96)&lt;((('01_Inputs'!$B$14+'01_Inputs'!$B$15+'01_Inputs'!$B$16)+'01_Inputs'!$B$17+'01_Inputs'!$B$18)+'01_Inputs'!$B$29*'01_Inputs'!$B$28)),AND(MOD((23*24/6+2)-'03_Capacity_Model'!$B$95,'03_Capacity_Model'!$B$96)&gt;=(('01_Inputs'!$B$14+'01_Inputs'!$B$15+'01_Inputs'!$B$16)+'01_Inputs'!$B$17+'01_Inputs'!$B$18),MOD((23*24/6+2)-'03_Capacity_Model'!$B$95,'03_Capacity_Model'!$B$96)&lt;((('01_Inputs'!$B$14+'01_Inputs'!$B$15+'01_Inputs'!$B$16)+'01_Inputs'!$B$17+'01_Inputs'!$B$18)+'01_Inputs'!$B$29*'01_Inputs'!$B$28))),4,0)</f>
        <v>4</v>
      </c>
      <c r="AA23" s="93">
        <f>IF(OR(AND(MOD((24*24/6+2)-0,'03_Capacity_Model'!$B$96)&gt;=(('01_Inputs'!$B$14+'01_Inputs'!$B$15+'01_Inputs'!$B$16)+'01_Inputs'!$B$17+'01_Inputs'!$B$18),MOD((24*24/6+2)-0,'03_Capacity_Model'!$B$96)&lt;((('01_Inputs'!$B$14+'01_Inputs'!$B$15+'01_Inputs'!$B$16)+'01_Inputs'!$B$17+'01_Inputs'!$B$18)+'01_Inputs'!$B$29*'01_Inputs'!$B$28)),AND(MOD((24*24/6+2)-'03_Capacity_Model'!$B$95,'03_Capacity_Model'!$B$96)&gt;=(('01_Inputs'!$B$14+'01_Inputs'!$B$15+'01_Inputs'!$B$16)+'01_Inputs'!$B$17+'01_Inputs'!$B$18),MOD((24*24/6+2)-'03_Capacity_Model'!$B$95,'03_Capacity_Model'!$B$96)&lt;((('01_Inputs'!$B$14+'01_Inputs'!$B$15+'01_Inputs'!$B$16)+'01_Inputs'!$B$17+'01_Inputs'!$B$18)+'01_Inputs'!$B$29*'01_Inputs'!$B$28))),4,0)</f>
        <v>0</v>
      </c>
      <c r="AB23" s="93">
        <f>IF(OR(AND(MOD((25*24/6+2)-0,'03_Capacity_Model'!$B$96)&gt;=(('01_Inputs'!$B$14+'01_Inputs'!$B$15+'01_Inputs'!$B$16)+'01_Inputs'!$B$17+'01_Inputs'!$B$18),MOD((25*24/6+2)-0,'03_Capacity_Model'!$B$96)&lt;((('01_Inputs'!$B$14+'01_Inputs'!$B$15+'01_Inputs'!$B$16)+'01_Inputs'!$B$17+'01_Inputs'!$B$18)+'01_Inputs'!$B$29*'01_Inputs'!$B$28)),AND(MOD((25*24/6+2)-'03_Capacity_Model'!$B$95,'03_Capacity_Model'!$B$96)&gt;=(('01_Inputs'!$B$14+'01_Inputs'!$B$15+'01_Inputs'!$B$16)+'01_Inputs'!$B$17+'01_Inputs'!$B$18),MOD((25*24/6+2)-'03_Capacity_Model'!$B$95,'03_Capacity_Model'!$B$96)&lt;((('01_Inputs'!$B$14+'01_Inputs'!$B$15+'01_Inputs'!$B$16)+'01_Inputs'!$B$17+'01_Inputs'!$B$18)+'01_Inputs'!$B$29*'01_Inputs'!$B$28))),4,0)</f>
        <v>0</v>
      </c>
      <c r="AC23" s="93">
        <f>IF(OR(AND(MOD((26*24/6+2)-0,'03_Capacity_Model'!$B$96)&gt;=(('01_Inputs'!$B$14+'01_Inputs'!$B$15+'01_Inputs'!$B$16)+'01_Inputs'!$B$17+'01_Inputs'!$B$18),MOD((26*24/6+2)-0,'03_Capacity_Model'!$B$96)&lt;((('01_Inputs'!$B$14+'01_Inputs'!$B$15+'01_Inputs'!$B$16)+'01_Inputs'!$B$17+'01_Inputs'!$B$18)+'01_Inputs'!$B$29*'01_Inputs'!$B$28)),AND(MOD((26*24/6+2)-'03_Capacity_Model'!$B$95,'03_Capacity_Model'!$B$96)&gt;=(('01_Inputs'!$B$14+'01_Inputs'!$B$15+'01_Inputs'!$B$16)+'01_Inputs'!$B$17+'01_Inputs'!$B$18),MOD((26*24/6+2)-'03_Capacity_Model'!$B$95,'03_Capacity_Model'!$B$96)&lt;((('01_Inputs'!$B$14+'01_Inputs'!$B$15+'01_Inputs'!$B$16)+'01_Inputs'!$B$17+'01_Inputs'!$B$18)+'01_Inputs'!$B$29*'01_Inputs'!$B$28))),4,0)</f>
        <v>0</v>
      </c>
      <c r="AD23" s="93">
        <f>IF(OR(AND(MOD((27*24/6+2)-0,'03_Capacity_Model'!$B$96)&gt;=(('01_Inputs'!$B$14+'01_Inputs'!$B$15+'01_Inputs'!$B$16)+'01_Inputs'!$B$17+'01_Inputs'!$B$18),MOD((27*24/6+2)-0,'03_Capacity_Model'!$B$96)&lt;((('01_Inputs'!$B$14+'01_Inputs'!$B$15+'01_Inputs'!$B$16)+'01_Inputs'!$B$17+'01_Inputs'!$B$18)+'01_Inputs'!$B$29*'01_Inputs'!$B$28)),AND(MOD((27*24/6+2)-'03_Capacity_Model'!$B$95,'03_Capacity_Model'!$B$96)&gt;=(('01_Inputs'!$B$14+'01_Inputs'!$B$15+'01_Inputs'!$B$16)+'01_Inputs'!$B$17+'01_Inputs'!$B$18),MOD((27*24/6+2)-'03_Capacity_Model'!$B$95,'03_Capacity_Model'!$B$96)&lt;((('01_Inputs'!$B$14+'01_Inputs'!$B$15+'01_Inputs'!$B$16)+'01_Inputs'!$B$17+'01_Inputs'!$B$18)+'01_Inputs'!$B$29*'01_Inputs'!$B$28))),4,0)</f>
        <v>0</v>
      </c>
      <c r="AE23" s="93">
        <f>IF(OR(AND(MOD((28*24/6+2)-0,'03_Capacity_Model'!$B$96)&gt;=(('01_Inputs'!$B$14+'01_Inputs'!$B$15+'01_Inputs'!$B$16)+'01_Inputs'!$B$17+'01_Inputs'!$B$18),MOD((28*24/6+2)-0,'03_Capacity_Model'!$B$96)&lt;((('01_Inputs'!$B$14+'01_Inputs'!$B$15+'01_Inputs'!$B$16)+'01_Inputs'!$B$17+'01_Inputs'!$B$18)+'01_Inputs'!$B$29*'01_Inputs'!$B$28)),AND(MOD((28*24/6+2)-'03_Capacity_Model'!$B$95,'03_Capacity_Model'!$B$96)&gt;=(('01_Inputs'!$B$14+'01_Inputs'!$B$15+'01_Inputs'!$B$16)+'01_Inputs'!$B$17+'01_Inputs'!$B$18),MOD((28*24/6+2)-'03_Capacity_Model'!$B$95,'03_Capacity_Model'!$B$96)&lt;((('01_Inputs'!$B$14+'01_Inputs'!$B$15+'01_Inputs'!$B$16)+'01_Inputs'!$B$17+'01_Inputs'!$B$18)+'01_Inputs'!$B$29*'01_Inputs'!$B$28))),4,0)</f>
        <v>0</v>
      </c>
      <c r="AF23" s="93">
        <f>IF(OR(AND(MOD((29*24/6+2)-0,'03_Capacity_Model'!$B$96)&gt;=(('01_Inputs'!$B$14+'01_Inputs'!$B$15+'01_Inputs'!$B$16)+'01_Inputs'!$B$17+'01_Inputs'!$B$18),MOD((29*24/6+2)-0,'03_Capacity_Model'!$B$96)&lt;((('01_Inputs'!$B$14+'01_Inputs'!$B$15+'01_Inputs'!$B$16)+'01_Inputs'!$B$17+'01_Inputs'!$B$18)+'01_Inputs'!$B$29*'01_Inputs'!$B$28)),AND(MOD((29*24/6+2)-'03_Capacity_Model'!$B$95,'03_Capacity_Model'!$B$96)&gt;=(('01_Inputs'!$B$14+'01_Inputs'!$B$15+'01_Inputs'!$B$16)+'01_Inputs'!$B$17+'01_Inputs'!$B$18),MOD((29*24/6+2)-'03_Capacity_Model'!$B$95,'03_Capacity_Model'!$B$96)&lt;((('01_Inputs'!$B$14+'01_Inputs'!$B$15+'01_Inputs'!$B$16)+'01_Inputs'!$B$17+'01_Inputs'!$B$18)+'01_Inputs'!$B$29*'01_Inputs'!$B$28))),4,0)</f>
        <v>0</v>
      </c>
      <c r="AG23" s="93">
        <f>IF(OR(AND(MOD((30*24/6+2)-0,'03_Capacity_Model'!$B$96)&gt;=(('01_Inputs'!$B$14+'01_Inputs'!$B$15+'01_Inputs'!$B$16)+'01_Inputs'!$B$17+'01_Inputs'!$B$18),MOD((30*24/6+2)-0,'03_Capacity_Model'!$B$96)&lt;((('01_Inputs'!$B$14+'01_Inputs'!$B$15+'01_Inputs'!$B$16)+'01_Inputs'!$B$17+'01_Inputs'!$B$18)+'01_Inputs'!$B$29*'01_Inputs'!$B$28)),AND(MOD((30*24/6+2)-'03_Capacity_Model'!$B$95,'03_Capacity_Model'!$B$96)&gt;=(('01_Inputs'!$B$14+'01_Inputs'!$B$15+'01_Inputs'!$B$16)+'01_Inputs'!$B$17+'01_Inputs'!$B$18),MOD((30*24/6+2)-'03_Capacity_Model'!$B$95,'03_Capacity_Model'!$B$96)&lt;((('01_Inputs'!$B$14+'01_Inputs'!$B$15+'01_Inputs'!$B$16)+'01_Inputs'!$B$17+'01_Inputs'!$B$18)+'01_Inputs'!$B$29*'01_Inputs'!$B$28))),4,0)</f>
        <v>0</v>
      </c>
      <c r="AH23" s="93">
        <f>IF(OR(AND(MOD((31*24/6+2)-0,'03_Capacity_Model'!$B$96)&gt;=(('01_Inputs'!$B$14+'01_Inputs'!$B$15+'01_Inputs'!$B$16)+'01_Inputs'!$B$17+'01_Inputs'!$B$18),MOD((31*24/6+2)-0,'03_Capacity_Model'!$B$96)&lt;((('01_Inputs'!$B$14+'01_Inputs'!$B$15+'01_Inputs'!$B$16)+'01_Inputs'!$B$17+'01_Inputs'!$B$18)+'01_Inputs'!$B$29*'01_Inputs'!$B$28)),AND(MOD((31*24/6+2)-'03_Capacity_Model'!$B$95,'03_Capacity_Model'!$B$96)&gt;=(('01_Inputs'!$B$14+'01_Inputs'!$B$15+'01_Inputs'!$B$16)+'01_Inputs'!$B$17+'01_Inputs'!$B$18),MOD((31*24/6+2)-'03_Capacity_Model'!$B$95,'03_Capacity_Model'!$B$96)&lt;((('01_Inputs'!$B$14+'01_Inputs'!$B$15+'01_Inputs'!$B$16)+'01_Inputs'!$B$17+'01_Inputs'!$B$18)+'01_Inputs'!$B$29*'01_Inputs'!$B$28))),4,0)</f>
        <v>4</v>
      </c>
      <c r="AI23" s="93">
        <f>IF(OR(AND(MOD((32*24/6+2)-0,'03_Capacity_Model'!$B$96)&gt;=(('01_Inputs'!$B$14+'01_Inputs'!$B$15+'01_Inputs'!$B$16)+'01_Inputs'!$B$17+'01_Inputs'!$B$18),MOD((32*24/6+2)-0,'03_Capacity_Model'!$B$96)&lt;((('01_Inputs'!$B$14+'01_Inputs'!$B$15+'01_Inputs'!$B$16)+'01_Inputs'!$B$17+'01_Inputs'!$B$18)+'01_Inputs'!$B$29*'01_Inputs'!$B$28)),AND(MOD((32*24/6+2)-'03_Capacity_Model'!$B$95,'03_Capacity_Model'!$B$96)&gt;=(('01_Inputs'!$B$14+'01_Inputs'!$B$15+'01_Inputs'!$B$16)+'01_Inputs'!$B$17+'01_Inputs'!$B$18),MOD((32*24/6+2)-'03_Capacity_Model'!$B$95,'03_Capacity_Model'!$B$96)&lt;((('01_Inputs'!$B$14+'01_Inputs'!$B$15+'01_Inputs'!$B$16)+'01_Inputs'!$B$17+'01_Inputs'!$B$18)+'01_Inputs'!$B$29*'01_Inputs'!$B$28))),4,0)</f>
        <v>4</v>
      </c>
      <c r="AJ23" s="93">
        <f>IF(OR(AND(MOD((33*24/6+2)-0,'03_Capacity_Model'!$B$96)&gt;=(('01_Inputs'!$B$14+'01_Inputs'!$B$15+'01_Inputs'!$B$16)+'01_Inputs'!$B$17+'01_Inputs'!$B$18),MOD((33*24/6+2)-0,'03_Capacity_Model'!$B$96)&lt;((('01_Inputs'!$B$14+'01_Inputs'!$B$15+'01_Inputs'!$B$16)+'01_Inputs'!$B$17+'01_Inputs'!$B$18)+'01_Inputs'!$B$29*'01_Inputs'!$B$28)),AND(MOD((33*24/6+2)-'03_Capacity_Model'!$B$95,'03_Capacity_Model'!$B$96)&gt;=(('01_Inputs'!$B$14+'01_Inputs'!$B$15+'01_Inputs'!$B$16)+'01_Inputs'!$B$17+'01_Inputs'!$B$18),MOD((33*24/6+2)-'03_Capacity_Model'!$B$95,'03_Capacity_Model'!$B$96)&lt;((('01_Inputs'!$B$14+'01_Inputs'!$B$15+'01_Inputs'!$B$16)+'01_Inputs'!$B$17+'01_Inputs'!$B$18)+'01_Inputs'!$B$29*'01_Inputs'!$B$28))),4,0)</f>
        <v>0</v>
      </c>
      <c r="AK23" s="93">
        <f>IF(OR(AND(MOD((34*24/6+2)-0,'03_Capacity_Model'!$B$96)&gt;=(('01_Inputs'!$B$14+'01_Inputs'!$B$15+'01_Inputs'!$B$16)+'01_Inputs'!$B$17+'01_Inputs'!$B$18),MOD((34*24/6+2)-0,'03_Capacity_Model'!$B$96)&lt;((('01_Inputs'!$B$14+'01_Inputs'!$B$15+'01_Inputs'!$B$16)+'01_Inputs'!$B$17+'01_Inputs'!$B$18)+'01_Inputs'!$B$29*'01_Inputs'!$B$28)),AND(MOD((34*24/6+2)-'03_Capacity_Model'!$B$95,'03_Capacity_Model'!$B$96)&gt;=(('01_Inputs'!$B$14+'01_Inputs'!$B$15+'01_Inputs'!$B$16)+'01_Inputs'!$B$17+'01_Inputs'!$B$18),MOD((34*24/6+2)-'03_Capacity_Model'!$B$95,'03_Capacity_Model'!$B$96)&lt;((('01_Inputs'!$B$14+'01_Inputs'!$B$15+'01_Inputs'!$B$16)+'01_Inputs'!$B$17+'01_Inputs'!$B$18)+'01_Inputs'!$B$29*'01_Inputs'!$B$28))),4,0)</f>
        <v>0</v>
      </c>
      <c r="AL23" s="93">
        <f>IF(OR(AND(MOD((35*24/6+2)-0,'03_Capacity_Model'!$B$96)&gt;=(('01_Inputs'!$B$14+'01_Inputs'!$B$15+'01_Inputs'!$B$16)+'01_Inputs'!$B$17+'01_Inputs'!$B$18),MOD((35*24/6+2)-0,'03_Capacity_Model'!$B$96)&lt;((('01_Inputs'!$B$14+'01_Inputs'!$B$15+'01_Inputs'!$B$16)+'01_Inputs'!$B$17+'01_Inputs'!$B$18)+'01_Inputs'!$B$29*'01_Inputs'!$B$28)),AND(MOD((35*24/6+2)-'03_Capacity_Model'!$B$95,'03_Capacity_Model'!$B$96)&gt;=(('01_Inputs'!$B$14+'01_Inputs'!$B$15+'01_Inputs'!$B$16)+'01_Inputs'!$B$17+'01_Inputs'!$B$18),MOD((35*24/6+2)-'03_Capacity_Model'!$B$95,'03_Capacity_Model'!$B$96)&lt;((('01_Inputs'!$B$14+'01_Inputs'!$B$15+'01_Inputs'!$B$16)+'01_Inputs'!$B$17+'01_Inputs'!$B$18)+'01_Inputs'!$B$29*'01_Inputs'!$B$28))),4,0)</f>
        <v>0</v>
      </c>
      <c r="AM23" s="93">
        <f>IF(OR(AND(MOD((36*24/6+2)-0,'03_Capacity_Model'!$B$96)&gt;=(('01_Inputs'!$B$14+'01_Inputs'!$B$15+'01_Inputs'!$B$16)+'01_Inputs'!$B$17+'01_Inputs'!$B$18),MOD((36*24/6+2)-0,'03_Capacity_Model'!$B$96)&lt;((('01_Inputs'!$B$14+'01_Inputs'!$B$15+'01_Inputs'!$B$16)+'01_Inputs'!$B$17+'01_Inputs'!$B$18)+'01_Inputs'!$B$29*'01_Inputs'!$B$28)),AND(MOD((36*24/6+2)-'03_Capacity_Model'!$B$95,'03_Capacity_Model'!$B$96)&gt;=(('01_Inputs'!$B$14+'01_Inputs'!$B$15+'01_Inputs'!$B$16)+'01_Inputs'!$B$17+'01_Inputs'!$B$18),MOD((36*24/6+2)-'03_Capacity_Model'!$B$95,'03_Capacity_Model'!$B$96)&lt;((('01_Inputs'!$B$14+'01_Inputs'!$B$15+'01_Inputs'!$B$16)+'01_Inputs'!$B$17+'01_Inputs'!$B$18)+'01_Inputs'!$B$29*'01_Inputs'!$B$28))),4,0)</f>
        <v>0</v>
      </c>
      <c r="AN23" s="93">
        <f>IF(OR(AND(MOD((37*24/6+2)-0,'03_Capacity_Model'!$B$96)&gt;=(('01_Inputs'!$B$14+'01_Inputs'!$B$15+'01_Inputs'!$B$16)+'01_Inputs'!$B$17+'01_Inputs'!$B$18),MOD((37*24/6+2)-0,'03_Capacity_Model'!$B$96)&lt;((('01_Inputs'!$B$14+'01_Inputs'!$B$15+'01_Inputs'!$B$16)+'01_Inputs'!$B$17+'01_Inputs'!$B$18)+'01_Inputs'!$B$29*'01_Inputs'!$B$28)),AND(MOD((37*24/6+2)-'03_Capacity_Model'!$B$95,'03_Capacity_Model'!$B$96)&gt;=(('01_Inputs'!$B$14+'01_Inputs'!$B$15+'01_Inputs'!$B$16)+'01_Inputs'!$B$17+'01_Inputs'!$B$18),MOD((37*24/6+2)-'03_Capacity_Model'!$B$95,'03_Capacity_Model'!$B$96)&lt;((('01_Inputs'!$B$14+'01_Inputs'!$B$15+'01_Inputs'!$B$16)+'01_Inputs'!$B$17+'01_Inputs'!$B$18)+'01_Inputs'!$B$29*'01_Inputs'!$B$28))),4,0)</f>
        <v>0</v>
      </c>
      <c r="AO23" s="93">
        <f>IF(OR(AND(MOD((38*24/6+2)-0,'03_Capacity_Model'!$B$96)&gt;=(('01_Inputs'!$B$14+'01_Inputs'!$B$15+'01_Inputs'!$B$16)+'01_Inputs'!$B$17+'01_Inputs'!$B$18),MOD((38*24/6+2)-0,'03_Capacity_Model'!$B$96)&lt;((('01_Inputs'!$B$14+'01_Inputs'!$B$15+'01_Inputs'!$B$16)+'01_Inputs'!$B$17+'01_Inputs'!$B$18)+'01_Inputs'!$B$29*'01_Inputs'!$B$28)),AND(MOD((38*24/6+2)-'03_Capacity_Model'!$B$95,'03_Capacity_Model'!$B$96)&gt;=(('01_Inputs'!$B$14+'01_Inputs'!$B$15+'01_Inputs'!$B$16)+'01_Inputs'!$B$17+'01_Inputs'!$B$18),MOD((38*24/6+2)-'03_Capacity_Model'!$B$95,'03_Capacity_Model'!$B$96)&lt;((('01_Inputs'!$B$14+'01_Inputs'!$B$15+'01_Inputs'!$B$16)+'01_Inputs'!$B$17+'01_Inputs'!$B$18)+'01_Inputs'!$B$29*'01_Inputs'!$B$28))),4,0)</f>
        <v>4</v>
      </c>
      <c r="AP23" s="93">
        <f>IF(OR(AND(MOD((39*24/6+2)-0,'03_Capacity_Model'!$B$96)&gt;=(('01_Inputs'!$B$14+'01_Inputs'!$B$15+'01_Inputs'!$B$16)+'01_Inputs'!$B$17+'01_Inputs'!$B$18),MOD((39*24/6+2)-0,'03_Capacity_Model'!$B$96)&lt;((('01_Inputs'!$B$14+'01_Inputs'!$B$15+'01_Inputs'!$B$16)+'01_Inputs'!$B$17+'01_Inputs'!$B$18)+'01_Inputs'!$B$29*'01_Inputs'!$B$28)),AND(MOD((39*24/6+2)-'03_Capacity_Model'!$B$95,'03_Capacity_Model'!$B$96)&gt;=(('01_Inputs'!$B$14+'01_Inputs'!$B$15+'01_Inputs'!$B$16)+'01_Inputs'!$B$17+'01_Inputs'!$B$18),MOD((39*24/6+2)-'03_Capacity_Model'!$B$95,'03_Capacity_Model'!$B$96)&lt;((('01_Inputs'!$B$14+'01_Inputs'!$B$15+'01_Inputs'!$B$16)+'01_Inputs'!$B$17+'01_Inputs'!$B$18)+'01_Inputs'!$B$29*'01_Inputs'!$B$28))),4,0)</f>
        <v>4</v>
      </c>
      <c r="AQ23" s="93">
        <f>IF(OR(AND(MOD((40*24/6+2)-0,'03_Capacity_Model'!$B$96)&gt;=(('01_Inputs'!$B$14+'01_Inputs'!$B$15+'01_Inputs'!$B$16)+'01_Inputs'!$B$17+'01_Inputs'!$B$18),MOD((40*24/6+2)-0,'03_Capacity_Model'!$B$96)&lt;((('01_Inputs'!$B$14+'01_Inputs'!$B$15+'01_Inputs'!$B$16)+'01_Inputs'!$B$17+'01_Inputs'!$B$18)+'01_Inputs'!$B$29*'01_Inputs'!$B$28)),AND(MOD((40*24/6+2)-'03_Capacity_Model'!$B$95,'03_Capacity_Model'!$B$96)&gt;=(('01_Inputs'!$B$14+'01_Inputs'!$B$15+'01_Inputs'!$B$16)+'01_Inputs'!$B$17+'01_Inputs'!$B$18),MOD((40*24/6+2)-'03_Capacity_Model'!$B$95,'03_Capacity_Model'!$B$96)&lt;((('01_Inputs'!$B$14+'01_Inputs'!$B$15+'01_Inputs'!$B$16)+'01_Inputs'!$B$17+'01_Inputs'!$B$18)+'01_Inputs'!$B$29*'01_Inputs'!$B$28))),4,0)</f>
        <v>4</v>
      </c>
      <c r="AR23" s="93">
        <f>IF(OR(AND(MOD((41*24/6+2)-0,'03_Capacity_Model'!$B$96)&gt;=(('01_Inputs'!$B$14+'01_Inputs'!$B$15+'01_Inputs'!$B$16)+'01_Inputs'!$B$17+'01_Inputs'!$B$18),MOD((41*24/6+2)-0,'03_Capacity_Model'!$B$96)&lt;((('01_Inputs'!$B$14+'01_Inputs'!$B$15+'01_Inputs'!$B$16)+'01_Inputs'!$B$17+'01_Inputs'!$B$18)+'01_Inputs'!$B$29*'01_Inputs'!$B$28)),AND(MOD((41*24/6+2)-'03_Capacity_Model'!$B$95,'03_Capacity_Model'!$B$96)&gt;=(('01_Inputs'!$B$14+'01_Inputs'!$B$15+'01_Inputs'!$B$16)+'01_Inputs'!$B$17+'01_Inputs'!$B$18),MOD((41*24/6+2)-'03_Capacity_Model'!$B$95,'03_Capacity_Model'!$B$96)&lt;((('01_Inputs'!$B$14+'01_Inputs'!$B$15+'01_Inputs'!$B$16)+'01_Inputs'!$B$17+'01_Inputs'!$B$18)+'01_Inputs'!$B$29*'01_Inputs'!$B$28))),4,0)</f>
        <v>0</v>
      </c>
      <c r="AS23" s="93">
        <f>IF(OR(AND(MOD((42*24/6+2)-0,'03_Capacity_Model'!$B$96)&gt;=(('01_Inputs'!$B$14+'01_Inputs'!$B$15+'01_Inputs'!$B$16)+'01_Inputs'!$B$17+'01_Inputs'!$B$18),MOD((42*24/6+2)-0,'03_Capacity_Model'!$B$96)&lt;((('01_Inputs'!$B$14+'01_Inputs'!$B$15+'01_Inputs'!$B$16)+'01_Inputs'!$B$17+'01_Inputs'!$B$18)+'01_Inputs'!$B$29*'01_Inputs'!$B$28)),AND(MOD((42*24/6+2)-'03_Capacity_Model'!$B$95,'03_Capacity_Model'!$B$96)&gt;=(('01_Inputs'!$B$14+'01_Inputs'!$B$15+'01_Inputs'!$B$16)+'01_Inputs'!$B$17+'01_Inputs'!$B$18),MOD((42*24/6+2)-'03_Capacity_Model'!$B$95,'03_Capacity_Model'!$B$96)&lt;((('01_Inputs'!$B$14+'01_Inputs'!$B$15+'01_Inputs'!$B$16)+'01_Inputs'!$B$17+'01_Inputs'!$B$18)+'01_Inputs'!$B$29*'01_Inputs'!$B$28))),4,0)</f>
        <v>0</v>
      </c>
      <c r="AT23" s="93">
        <f>IF(OR(AND(MOD((43*24/6+2)-0,'03_Capacity_Model'!$B$96)&gt;=(('01_Inputs'!$B$14+'01_Inputs'!$B$15+'01_Inputs'!$B$16)+'01_Inputs'!$B$17+'01_Inputs'!$B$18),MOD((43*24/6+2)-0,'03_Capacity_Model'!$B$96)&lt;((('01_Inputs'!$B$14+'01_Inputs'!$B$15+'01_Inputs'!$B$16)+'01_Inputs'!$B$17+'01_Inputs'!$B$18)+'01_Inputs'!$B$29*'01_Inputs'!$B$28)),AND(MOD((43*24/6+2)-'03_Capacity_Model'!$B$95,'03_Capacity_Model'!$B$96)&gt;=(('01_Inputs'!$B$14+'01_Inputs'!$B$15+'01_Inputs'!$B$16)+'01_Inputs'!$B$17+'01_Inputs'!$B$18),MOD((43*24/6+2)-'03_Capacity_Model'!$B$95,'03_Capacity_Model'!$B$96)&lt;((('01_Inputs'!$B$14+'01_Inputs'!$B$15+'01_Inputs'!$B$16)+'01_Inputs'!$B$17+'01_Inputs'!$B$18)+'01_Inputs'!$B$29*'01_Inputs'!$B$28))),4,0)</f>
        <v>0</v>
      </c>
      <c r="AU23" s="93">
        <f>IF(OR(AND(MOD((44*24/6+2)-0,'03_Capacity_Model'!$B$96)&gt;=(('01_Inputs'!$B$14+'01_Inputs'!$B$15+'01_Inputs'!$B$16)+'01_Inputs'!$B$17+'01_Inputs'!$B$18),MOD((44*24/6+2)-0,'03_Capacity_Model'!$B$96)&lt;((('01_Inputs'!$B$14+'01_Inputs'!$B$15+'01_Inputs'!$B$16)+'01_Inputs'!$B$17+'01_Inputs'!$B$18)+'01_Inputs'!$B$29*'01_Inputs'!$B$28)),AND(MOD((44*24/6+2)-'03_Capacity_Model'!$B$95,'03_Capacity_Model'!$B$96)&gt;=(('01_Inputs'!$B$14+'01_Inputs'!$B$15+'01_Inputs'!$B$16)+'01_Inputs'!$B$17+'01_Inputs'!$B$18),MOD((44*24/6+2)-'03_Capacity_Model'!$B$95,'03_Capacity_Model'!$B$96)&lt;((('01_Inputs'!$B$14+'01_Inputs'!$B$15+'01_Inputs'!$B$16)+'01_Inputs'!$B$17+'01_Inputs'!$B$18)+'01_Inputs'!$B$29*'01_Inputs'!$B$28))),4,0)</f>
        <v>0</v>
      </c>
      <c r="AV23" s="93">
        <f>IF(OR(AND(MOD((45*24/6+2)-0,'03_Capacity_Model'!$B$96)&gt;=(('01_Inputs'!$B$14+'01_Inputs'!$B$15+'01_Inputs'!$B$16)+'01_Inputs'!$B$17+'01_Inputs'!$B$18),MOD((45*24/6+2)-0,'03_Capacity_Model'!$B$96)&lt;((('01_Inputs'!$B$14+'01_Inputs'!$B$15+'01_Inputs'!$B$16)+'01_Inputs'!$B$17+'01_Inputs'!$B$18)+'01_Inputs'!$B$29*'01_Inputs'!$B$28)),AND(MOD((45*24/6+2)-'03_Capacity_Model'!$B$95,'03_Capacity_Model'!$B$96)&gt;=(('01_Inputs'!$B$14+'01_Inputs'!$B$15+'01_Inputs'!$B$16)+'01_Inputs'!$B$17+'01_Inputs'!$B$18),MOD((45*24/6+2)-'03_Capacity_Model'!$B$95,'03_Capacity_Model'!$B$96)&lt;((('01_Inputs'!$B$14+'01_Inputs'!$B$15+'01_Inputs'!$B$16)+'01_Inputs'!$B$17+'01_Inputs'!$B$18)+'01_Inputs'!$B$29*'01_Inputs'!$B$28))),4,0)</f>
        <v>0</v>
      </c>
      <c r="AW23" s="93">
        <f>IF(OR(AND(MOD((46*24/6+2)-0,'03_Capacity_Model'!$B$96)&gt;=(('01_Inputs'!$B$14+'01_Inputs'!$B$15+'01_Inputs'!$B$16)+'01_Inputs'!$B$17+'01_Inputs'!$B$18),MOD((46*24/6+2)-0,'03_Capacity_Model'!$B$96)&lt;((('01_Inputs'!$B$14+'01_Inputs'!$B$15+'01_Inputs'!$B$16)+'01_Inputs'!$B$17+'01_Inputs'!$B$18)+'01_Inputs'!$B$29*'01_Inputs'!$B$28)),AND(MOD((46*24/6+2)-'03_Capacity_Model'!$B$95,'03_Capacity_Model'!$B$96)&gt;=(('01_Inputs'!$B$14+'01_Inputs'!$B$15+'01_Inputs'!$B$16)+'01_Inputs'!$B$17+'01_Inputs'!$B$18),MOD((46*24/6+2)-'03_Capacity_Model'!$B$95,'03_Capacity_Model'!$B$96)&lt;((('01_Inputs'!$B$14+'01_Inputs'!$B$15+'01_Inputs'!$B$16)+'01_Inputs'!$B$17+'01_Inputs'!$B$18)+'01_Inputs'!$B$29*'01_Inputs'!$B$28))),4,0)</f>
        <v>0</v>
      </c>
      <c r="AX23" s="93">
        <f>IF(OR(AND(MOD((47*24/6+2)-0,'03_Capacity_Model'!$B$96)&gt;=(('01_Inputs'!$B$14+'01_Inputs'!$B$15+'01_Inputs'!$B$16)+'01_Inputs'!$B$17+'01_Inputs'!$B$18),MOD((47*24/6+2)-0,'03_Capacity_Model'!$B$96)&lt;((('01_Inputs'!$B$14+'01_Inputs'!$B$15+'01_Inputs'!$B$16)+'01_Inputs'!$B$17+'01_Inputs'!$B$18)+'01_Inputs'!$B$29*'01_Inputs'!$B$28)),AND(MOD((47*24/6+2)-'03_Capacity_Model'!$B$95,'03_Capacity_Model'!$B$96)&gt;=(('01_Inputs'!$B$14+'01_Inputs'!$B$15+'01_Inputs'!$B$16)+'01_Inputs'!$B$17+'01_Inputs'!$B$18),MOD((47*24/6+2)-'03_Capacity_Model'!$B$95,'03_Capacity_Model'!$B$96)&lt;((('01_Inputs'!$B$14+'01_Inputs'!$B$15+'01_Inputs'!$B$16)+'01_Inputs'!$B$17+'01_Inputs'!$B$18)+'01_Inputs'!$B$29*'01_Inputs'!$B$28))),4,0)</f>
        <v>4</v>
      </c>
      <c r="AY23" s="93">
        <f>IF(OR(AND(MOD((48*24/6+2)-0,'03_Capacity_Model'!$B$96)&gt;=(('01_Inputs'!$B$14+'01_Inputs'!$B$15+'01_Inputs'!$B$16)+'01_Inputs'!$B$17+'01_Inputs'!$B$18),MOD((48*24/6+2)-0,'03_Capacity_Model'!$B$96)&lt;((('01_Inputs'!$B$14+'01_Inputs'!$B$15+'01_Inputs'!$B$16)+'01_Inputs'!$B$17+'01_Inputs'!$B$18)+'01_Inputs'!$B$29*'01_Inputs'!$B$28)),AND(MOD((48*24/6+2)-'03_Capacity_Model'!$B$95,'03_Capacity_Model'!$B$96)&gt;=(('01_Inputs'!$B$14+'01_Inputs'!$B$15+'01_Inputs'!$B$16)+'01_Inputs'!$B$17+'01_Inputs'!$B$18),MOD((48*24/6+2)-'03_Capacity_Model'!$B$95,'03_Capacity_Model'!$B$96)&lt;((('01_Inputs'!$B$14+'01_Inputs'!$B$15+'01_Inputs'!$B$16)+'01_Inputs'!$B$17+'01_Inputs'!$B$18)+'01_Inputs'!$B$29*'01_Inputs'!$B$28))),4,0)</f>
        <v>4</v>
      </c>
      <c r="AZ23" s="93">
        <f>IF(OR(AND(MOD((49*24/6+2)-0,'03_Capacity_Model'!$B$96)&gt;=(('01_Inputs'!$B$14+'01_Inputs'!$B$15+'01_Inputs'!$B$16)+'01_Inputs'!$B$17+'01_Inputs'!$B$18),MOD((49*24/6+2)-0,'03_Capacity_Model'!$B$96)&lt;((('01_Inputs'!$B$14+'01_Inputs'!$B$15+'01_Inputs'!$B$16)+'01_Inputs'!$B$17+'01_Inputs'!$B$18)+'01_Inputs'!$B$29*'01_Inputs'!$B$28)),AND(MOD((49*24/6+2)-'03_Capacity_Model'!$B$95,'03_Capacity_Model'!$B$96)&gt;=(('01_Inputs'!$B$14+'01_Inputs'!$B$15+'01_Inputs'!$B$16)+'01_Inputs'!$B$17+'01_Inputs'!$B$18),MOD((49*24/6+2)-'03_Capacity_Model'!$B$95,'03_Capacity_Model'!$B$96)&lt;((('01_Inputs'!$B$14+'01_Inputs'!$B$15+'01_Inputs'!$B$16)+'01_Inputs'!$B$17+'01_Inputs'!$B$18)+'01_Inputs'!$B$29*'01_Inputs'!$B$28))),4,0)</f>
        <v>4</v>
      </c>
      <c r="BA23" s="93">
        <f>IF(OR(AND(MOD((50*24/6+2)-0,'03_Capacity_Model'!$B$96)&gt;=(('01_Inputs'!$B$14+'01_Inputs'!$B$15+'01_Inputs'!$B$16)+'01_Inputs'!$B$17+'01_Inputs'!$B$18),MOD((50*24/6+2)-0,'03_Capacity_Model'!$B$96)&lt;((('01_Inputs'!$B$14+'01_Inputs'!$B$15+'01_Inputs'!$B$16)+'01_Inputs'!$B$17+'01_Inputs'!$B$18)+'01_Inputs'!$B$29*'01_Inputs'!$B$28)),AND(MOD((50*24/6+2)-'03_Capacity_Model'!$B$95,'03_Capacity_Model'!$B$96)&gt;=(('01_Inputs'!$B$14+'01_Inputs'!$B$15+'01_Inputs'!$B$16)+'01_Inputs'!$B$17+'01_Inputs'!$B$18),MOD((50*24/6+2)-'03_Capacity_Model'!$B$95,'03_Capacity_Model'!$B$96)&lt;((('01_Inputs'!$B$14+'01_Inputs'!$B$15+'01_Inputs'!$B$16)+'01_Inputs'!$B$17+'01_Inputs'!$B$18)+'01_Inputs'!$B$29*'01_Inputs'!$B$28))),4,0)</f>
        <v>0</v>
      </c>
      <c r="BB23" s="93">
        <f>IF(OR(AND(MOD((51*24/6+2)-0,'03_Capacity_Model'!$B$96)&gt;=(('01_Inputs'!$B$14+'01_Inputs'!$B$15+'01_Inputs'!$B$16)+'01_Inputs'!$B$17+'01_Inputs'!$B$18),MOD((51*24/6+2)-0,'03_Capacity_Model'!$B$96)&lt;((('01_Inputs'!$B$14+'01_Inputs'!$B$15+'01_Inputs'!$B$16)+'01_Inputs'!$B$17+'01_Inputs'!$B$18)+'01_Inputs'!$B$29*'01_Inputs'!$B$28)),AND(MOD((51*24/6+2)-'03_Capacity_Model'!$B$95,'03_Capacity_Model'!$B$96)&gt;=(('01_Inputs'!$B$14+'01_Inputs'!$B$15+'01_Inputs'!$B$16)+'01_Inputs'!$B$17+'01_Inputs'!$B$18),MOD((51*24/6+2)-'03_Capacity_Model'!$B$95,'03_Capacity_Model'!$B$96)&lt;((('01_Inputs'!$B$14+'01_Inputs'!$B$15+'01_Inputs'!$B$16)+'01_Inputs'!$B$17+'01_Inputs'!$B$18)+'01_Inputs'!$B$29*'01_Inputs'!$B$28))),4,0)</f>
        <v>0</v>
      </c>
      <c r="BC23" s="93">
        <f>IF(OR(AND(MOD((52*24/6+2)-0,'03_Capacity_Model'!$B$96)&gt;=(('01_Inputs'!$B$14+'01_Inputs'!$B$15+'01_Inputs'!$B$16)+'01_Inputs'!$B$17+'01_Inputs'!$B$18),MOD((52*24/6+2)-0,'03_Capacity_Model'!$B$96)&lt;((('01_Inputs'!$B$14+'01_Inputs'!$B$15+'01_Inputs'!$B$16)+'01_Inputs'!$B$17+'01_Inputs'!$B$18)+'01_Inputs'!$B$29*'01_Inputs'!$B$28)),AND(MOD((52*24/6+2)-'03_Capacity_Model'!$B$95,'03_Capacity_Model'!$B$96)&gt;=(('01_Inputs'!$B$14+'01_Inputs'!$B$15+'01_Inputs'!$B$16)+'01_Inputs'!$B$17+'01_Inputs'!$B$18),MOD((52*24/6+2)-'03_Capacity_Model'!$B$95,'03_Capacity_Model'!$B$96)&lt;((('01_Inputs'!$B$14+'01_Inputs'!$B$15+'01_Inputs'!$B$16)+'01_Inputs'!$B$17+'01_Inputs'!$B$18)+'01_Inputs'!$B$29*'01_Inputs'!$B$28))),4,0)</f>
        <v>0</v>
      </c>
      <c r="BD23" s="93">
        <f>IF(OR(AND(MOD((53*24/6+2)-0,'03_Capacity_Model'!$B$96)&gt;=(('01_Inputs'!$B$14+'01_Inputs'!$B$15+'01_Inputs'!$B$16)+'01_Inputs'!$B$17+'01_Inputs'!$B$18),MOD((53*24/6+2)-0,'03_Capacity_Model'!$B$96)&lt;((('01_Inputs'!$B$14+'01_Inputs'!$B$15+'01_Inputs'!$B$16)+'01_Inputs'!$B$17+'01_Inputs'!$B$18)+'01_Inputs'!$B$29*'01_Inputs'!$B$28)),AND(MOD((53*24/6+2)-'03_Capacity_Model'!$B$95,'03_Capacity_Model'!$B$96)&gt;=(('01_Inputs'!$B$14+'01_Inputs'!$B$15+'01_Inputs'!$B$16)+'01_Inputs'!$B$17+'01_Inputs'!$B$18),MOD((53*24/6+2)-'03_Capacity_Model'!$B$95,'03_Capacity_Model'!$B$96)&lt;((('01_Inputs'!$B$14+'01_Inputs'!$B$15+'01_Inputs'!$B$16)+'01_Inputs'!$B$17+'01_Inputs'!$B$18)+'01_Inputs'!$B$29*'01_Inputs'!$B$28))),4,0)</f>
        <v>0</v>
      </c>
      <c r="BE23" s="93">
        <f>IF(OR(AND(MOD((54*24/6+2)-0,'03_Capacity_Model'!$B$96)&gt;=(('01_Inputs'!$B$14+'01_Inputs'!$B$15+'01_Inputs'!$B$16)+'01_Inputs'!$B$17+'01_Inputs'!$B$18),MOD((54*24/6+2)-0,'03_Capacity_Model'!$B$96)&lt;((('01_Inputs'!$B$14+'01_Inputs'!$B$15+'01_Inputs'!$B$16)+'01_Inputs'!$B$17+'01_Inputs'!$B$18)+'01_Inputs'!$B$29*'01_Inputs'!$B$28)),AND(MOD((54*24/6+2)-'03_Capacity_Model'!$B$95,'03_Capacity_Model'!$B$96)&gt;=(('01_Inputs'!$B$14+'01_Inputs'!$B$15+'01_Inputs'!$B$16)+'01_Inputs'!$B$17+'01_Inputs'!$B$18),MOD((54*24/6+2)-'03_Capacity_Model'!$B$95,'03_Capacity_Model'!$B$96)&lt;((('01_Inputs'!$B$14+'01_Inputs'!$B$15+'01_Inputs'!$B$16)+'01_Inputs'!$B$17+'01_Inputs'!$B$18)+'01_Inputs'!$B$29*'01_Inputs'!$B$28))),4,0)</f>
        <v>0</v>
      </c>
      <c r="BF23" s="93">
        <f>IF(OR(AND(MOD((55*24/6+2)-0,'03_Capacity_Model'!$B$96)&gt;=(('01_Inputs'!$B$14+'01_Inputs'!$B$15+'01_Inputs'!$B$16)+'01_Inputs'!$B$17+'01_Inputs'!$B$18),MOD((55*24/6+2)-0,'03_Capacity_Model'!$B$96)&lt;((('01_Inputs'!$B$14+'01_Inputs'!$B$15+'01_Inputs'!$B$16)+'01_Inputs'!$B$17+'01_Inputs'!$B$18)+'01_Inputs'!$B$29*'01_Inputs'!$B$28)),AND(MOD((55*24/6+2)-'03_Capacity_Model'!$B$95,'03_Capacity_Model'!$B$96)&gt;=(('01_Inputs'!$B$14+'01_Inputs'!$B$15+'01_Inputs'!$B$16)+'01_Inputs'!$B$17+'01_Inputs'!$B$18),MOD((55*24/6+2)-'03_Capacity_Model'!$B$95,'03_Capacity_Model'!$B$96)&lt;((('01_Inputs'!$B$14+'01_Inputs'!$B$15+'01_Inputs'!$B$16)+'01_Inputs'!$B$17+'01_Inputs'!$B$18)+'01_Inputs'!$B$29*'01_Inputs'!$B$28))),4,0)</f>
        <v>4</v>
      </c>
      <c r="BG23" s="93">
        <f>IF(OR(AND(MOD((56*24/6+2)-0,'03_Capacity_Model'!$B$96)&gt;=(('01_Inputs'!$B$14+'01_Inputs'!$B$15+'01_Inputs'!$B$16)+'01_Inputs'!$B$17+'01_Inputs'!$B$18),MOD((56*24/6+2)-0,'03_Capacity_Model'!$B$96)&lt;((('01_Inputs'!$B$14+'01_Inputs'!$B$15+'01_Inputs'!$B$16)+'01_Inputs'!$B$17+'01_Inputs'!$B$18)+'01_Inputs'!$B$29*'01_Inputs'!$B$28)),AND(MOD((56*24/6+2)-'03_Capacity_Model'!$B$95,'03_Capacity_Model'!$B$96)&gt;=(('01_Inputs'!$B$14+'01_Inputs'!$B$15+'01_Inputs'!$B$16)+'01_Inputs'!$B$17+'01_Inputs'!$B$18),MOD((56*24/6+2)-'03_Capacity_Model'!$B$95,'03_Capacity_Model'!$B$96)&lt;((('01_Inputs'!$B$14+'01_Inputs'!$B$15+'01_Inputs'!$B$16)+'01_Inputs'!$B$17+'01_Inputs'!$B$18)+'01_Inputs'!$B$29*'01_Inputs'!$B$28))),4,0)</f>
        <v>4</v>
      </c>
      <c r="BH23" s="93">
        <f>IF(OR(AND(MOD((57*24/6+2)-0,'03_Capacity_Model'!$B$96)&gt;=(('01_Inputs'!$B$14+'01_Inputs'!$B$15+'01_Inputs'!$B$16)+'01_Inputs'!$B$17+'01_Inputs'!$B$18),MOD((57*24/6+2)-0,'03_Capacity_Model'!$B$96)&lt;((('01_Inputs'!$B$14+'01_Inputs'!$B$15+'01_Inputs'!$B$16)+'01_Inputs'!$B$17+'01_Inputs'!$B$18)+'01_Inputs'!$B$29*'01_Inputs'!$B$28)),AND(MOD((57*24/6+2)-'03_Capacity_Model'!$B$95,'03_Capacity_Model'!$B$96)&gt;=(('01_Inputs'!$B$14+'01_Inputs'!$B$15+'01_Inputs'!$B$16)+'01_Inputs'!$B$17+'01_Inputs'!$B$18),MOD((57*24/6+2)-'03_Capacity_Model'!$B$95,'03_Capacity_Model'!$B$96)&lt;((('01_Inputs'!$B$14+'01_Inputs'!$B$15+'01_Inputs'!$B$16)+'01_Inputs'!$B$17+'01_Inputs'!$B$18)+'01_Inputs'!$B$29*'01_Inputs'!$B$28))),4,0)</f>
        <v>0</v>
      </c>
      <c r="BI23" s="93">
        <f>IF(OR(AND(MOD((58*24/6+2)-0,'03_Capacity_Model'!$B$96)&gt;=(('01_Inputs'!$B$14+'01_Inputs'!$B$15+'01_Inputs'!$B$16)+'01_Inputs'!$B$17+'01_Inputs'!$B$18),MOD((58*24/6+2)-0,'03_Capacity_Model'!$B$96)&lt;((('01_Inputs'!$B$14+'01_Inputs'!$B$15+'01_Inputs'!$B$16)+'01_Inputs'!$B$17+'01_Inputs'!$B$18)+'01_Inputs'!$B$29*'01_Inputs'!$B$28)),AND(MOD((58*24/6+2)-'03_Capacity_Model'!$B$95,'03_Capacity_Model'!$B$96)&gt;=(('01_Inputs'!$B$14+'01_Inputs'!$B$15+'01_Inputs'!$B$16)+'01_Inputs'!$B$17+'01_Inputs'!$B$18),MOD((58*24/6+2)-'03_Capacity_Model'!$B$95,'03_Capacity_Model'!$B$96)&lt;((('01_Inputs'!$B$14+'01_Inputs'!$B$15+'01_Inputs'!$B$16)+'01_Inputs'!$B$17+'01_Inputs'!$B$18)+'01_Inputs'!$B$29*'01_Inputs'!$B$28))),4,0)</f>
        <v>0</v>
      </c>
      <c r="BJ23" s="93">
        <f>IF(OR(AND(MOD((59*24/6+2)-0,'03_Capacity_Model'!$B$96)&gt;=(('01_Inputs'!$B$14+'01_Inputs'!$B$15+'01_Inputs'!$B$16)+'01_Inputs'!$B$17+'01_Inputs'!$B$18),MOD((59*24/6+2)-0,'03_Capacity_Model'!$B$96)&lt;((('01_Inputs'!$B$14+'01_Inputs'!$B$15+'01_Inputs'!$B$16)+'01_Inputs'!$B$17+'01_Inputs'!$B$18)+'01_Inputs'!$B$29*'01_Inputs'!$B$28)),AND(MOD((59*24/6+2)-'03_Capacity_Model'!$B$95,'03_Capacity_Model'!$B$96)&gt;=(('01_Inputs'!$B$14+'01_Inputs'!$B$15+'01_Inputs'!$B$16)+'01_Inputs'!$B$17+'01_Inputs'!$B$18),MOD((59*24/6+2)-'03_Capacity_Model'!$B$95,'03_Capacity_Model'!$B$96)&lt;((('01_Inputs'!$B$14+'01_Inputs'!$B$15+'01_Inputs'!$B$16)+'01_Inputs'!$B$17+'01_Inputs'!$B$18)+'01_Inputs'!$B$29*'01_Inputs'!$B$28))),4,0)</f>
        <v>0</v>
      </c>
      <c r="BK23" s="93">
        <f>IF(OR(AND(MOD((60*24/6+2)-0,'03_Capacity_Model'!$B$96)&gt;=(('01_Inputs'!$B$14+'01_Inputs'!$B$15+'01_Inputs'!$B$16)+'01_Inputs'!$B$17+'01_Inputs'!$B$18),MOD((60*24/6+2)-0,'03_Capacity_Model'!$B$96)&lt;((('01_Inputs'!$B$14+'01_Inputs'!$B$15+'01_Inputs'!$B$16)+'01_Inputs'!$B$17+'01_Inputs'!$B$18)+'01_Inputs'!$B$29*'01_Inputs'!$B$28)),AND(MOD((60*24/6+2)-'03_Capacity_Model'!$B$95,'03_Capacity_Model'!$B$96)&gt;=(('01_Inputs'!$B$14+'01_Inputs'!$B$15+'01_Inputs'!$B$16)+'01_Inputs'!$B$17+'01_Inputs'!$B$18),MOD((60*24/6+2)-'03_Capacity_Model'!$B$95,'03_Capacity_Model'!$B$96)&lt;((('01_Inputs'!$B$14+'01_Inputs'!$B$15+'01_Inputs'!$B$16)+'01_Inputs'!$B$17+'01_Inputs'!$B$18)+'01_Inputs'!$B$29*'01_Inputs'!$B$28))),4,0)</f>
        <v>0</v>
      </c>
      <c r="BL23" s="93">
        <f>IF(OR(AND(MOD((61*24/6+2)-0,'03_Capacity_Model'!$B$96)&gt;=(('01_Inputs'!$B$14+'01_Inputs'!$B$15+'01_Inputs'!$B$16)+'01_Inputs'!$B$17+'01_Inputs'!$B$18),MOD((61*24/6+2)-0,'03_Capacity_Model'!$B$96)&lt;((('01_Inputs'!$B$14+'01_Inputs'!$B$15+'01_Inputs'!$B$16)+'01_Inputs'!$B$17+'01_Inputs'!$B$18)+'01_Inputs'!$B$29*'01_Inputs'!$B$28)),AND(MOD((61*24/6+2)-'03_Capacity_Model'!$B$95,'03_Capacity_Model'!$B$96)&gt;=(('01_Inputs'!$B$14+'01_Inputs'!$B$15+'01_Inputs'!$B$16)+'01_Inputs'!$B$17+'01_Inputs'!$B$18),MOD((61*24/6+2)-'03_Capacity_Model'!$B$95,'03_Capacity_Model'!$B$96)&lt;((('01_Inputs'!$B$14+'01_Inputs'!$B$15+'01_Inputs'!$B$16)+'01_Inputs'!$B$17+'01_Inputs'!$B$18)+'01_Inputs'!$B$29*'01_Inputs'!$B$28))),4,0)</f>
        <v>0</v>
      </c>
      <c r="BM23" s="93">
        <f>IF(OR(AND(MOD((62*24/6+2)-0,'03_Capacity_Model'!$B$96)&gt;=(('01_Inputs'!$B$14+'01_Inputs'!$B$15+'01_Inputs'!$B$16)+'01_Inputs'!$B$17+'01_Inputs'!$B$18),MOD((62*24/6+2)-0,'03_Capacity_Model'!$B$96)&lt;((('01_Inputs'!$B$14+'01_Inputs'!$B$15+'01_Inputs'!$B$16)+'01_Inputs'!$B$17+'01_Inputs'!$B$18)+'01_Inputs'!$B$29*'01_Inputs'!$B$28)),AND(MOD((62*24/6+2)-'03_Capacity_Model'!$B$95,'03_Capacity_Model'!$B$96)&gt;=(('01_Inputs'!$B$14+'01_Inputs'!$B$15+'01_Inputs'!$B$16)+'01_Inputs'!$B$17+'01_Inputs'!$B$18),MOD((62*24/6+2)-'03_Capacity_Model'!$B$95,'03_Capacity_Model'!$B$96)&lt;((('01_Inputs'!$B$14+'01_Inputs'!$B$15+'01_Inputs'!$B$16)+'01_Inputs'!$B$17+'01_Inputs'!$B$18)+'01_Inputs'!$B$29*'01_Inputs'!$B$28))),4,0)</f>
        <v>0</v>
      </c>
      <c r="BN23" s="93">
        <f>IF(OR(AND(MOD((63*24/6+2)-0,'03_Capacity_Model'!$B$96)&gt;=(('01_Inputs'!$B$14+'01_Inputs'!$B$15+'01_Inputs'!$B$16)+'01_Inputs'!$B$17+'01_Inputs'!$B$18),MOD((63*24/6+2)-0,'03_Capacity_Model'!$B$96)&lt;((('01_Inputs'!$B$14+'01_Inputs'!$B$15+'01_Inputs'!$B$16)+'01_Inputs'!$B$17+'01_Inputs'!$B$18)+'01_Inputs'!$B$29*'01_Inputs'!$B$28)),AND(MOD((63*24/6+2)-'03_Capacity_Model'!$B$95,'03_Capacity_Model'!$B$96)&gt;=(('01_Inputs'!$B$14+'01_Inputs'!$B$15+'01_Inputs'!$B$16)+'01_Inputs'!$B$17+'01_Inputs'!$B$18),MOD((63*24/6+2)-'03_Capacity_Model'!$B$95,'03_Capacity_Model'!$B$96)&lt;((('01_Inputs'!$B$14+'01_Inputs'!$B$15+'01_Inputs'!$B$16)+'01_Inputs'!$B$17+'01_Inputs'!$B$18)+'01_Inputs'!$B$29*'01_Inputs'!$B$28))),4,0)</f>
        <v>0</v>
      </c>
      <c r="BO23" s="93">
        <f>IF(OR(AND(MOD((64*24/6+2)-0,'03_Capacity_Model'!$B$96)&gt;=(('01_Inputs'!$B$14+'01_Inputs'!$B$15+'01_Inputs'!$B$16)+'01_Inputs'!$B$17+'01_Inputs'!$B$18),MOD((64*24/6+2)-0,'03_Capacity_Model'!$B$96)&lt;((('01_Inputs'!$B$14+'01_Inputs'!$B$15+'01_Inputs'!$B$16)+'01_Inputs'!$B$17+'01_Inputs'!$B$18)+'01_Inputs'!$B$29*'01_Inputs'!$B$28)),AND(MOD((64*24/6+2)-'03_Capacity_Model'!$B$95,'03_Capacity_Model'!$B$96)&gt;=(('01_Inputs'!$B$14+'01_Inputs'!$B$15+'01_Inputs'!$B$16)+'01_Inputs'!$B$17+'01_Inputs'!$B$18),MOD((64*24/6+2)-'03_Capacity_Model'!$B$95,'03_Capacity_Model'!$B$96)&lt;((('01_Inputs'!$B$14+'01_Inputs'!$B$15+'01_Inputs'!$B$16)+'01_Inputs'!$B$17+'01_Inputs'!$B$18)+'01_Inputs'!$B$29*'01_Inputs'!$B$28))),4,0)</f>
        <v>4</v>
      </c>
      <c r="BP23" s="93">
        <f>IF(OR(AND(MOD((65*24/6+2)-0,'03_Capacity_Model'!$B$96)&gt;=(('01_Inputs'!$B$14+'01_Inputs'!$B$15+'01_Inputs'!$B$16)+'01_Inputs'!$B$17+'01_Inputs'!$B$18),MOD((65*24/6+2)-0,'03_Capacity_Model'!$B$96)&lt;((('01_Inputs'!$B$14+'01_Inputs'!$B$15+'01_Inputs'!$B$16)+'01_Inputs'!$B$17+'01_Inputs'!$B$18)+'01_Inputs'!$B$29*'01_Inputs'!$B$28)),AND(MOD((65*24/6+2)-'03_Capacity_Model'!$B$95,'03_Capacity_Model'!$B$96)&gt;=(('01_Inputs'!$B$14+'01_Inputs'!$B$15+'01_Inputs'!$B$16)+'01_Inputs'!$B$17+'01_Inputs'!$B$18),MOD((65*24/6+2)-'03_Capacity_Model'!$B$95,'03_Capacity_Model'!$B$96)&lt;((('01_Inputs'!$B$14+'01_Inputs'!$B$15+'01_Inputs'!$B$16)+'01_Inputs'!$B$17+'01_Inputs'!$B$18)+'01_Inputs'!$B$29*'01_Inputs'!$B$28))),4,0)</f>
        <v>4</v>
      </c>
      <c r="BQ23" s="93">
        <f>IF(OR(AND(MOD((66*24/6+2)-0,'03_Capacity_Model'!$B$96)&gt;=(('01_Inputs'!$B$14+'01_Inputs'!$B$15+'01_Inputs'!$B$16)+'01_Inputs'!$B$17+'01_Inputs'!$B$18),MOD((66*24/6+2)-0,'03_Capacity_Model'!$B$96)&lt;((('01_Inputs'!$B$14+'01_Inputs'!$B$15+'01_Inputs'!$B$16)+'01_Inputs'!$B$17+'01_Inputs'!$B$18)+'01_Inputs'!$B$29*'01_Inputs'!$B$28)),AND(MOD((66*24/6+2)-'03_Capacity_Model'!$B$95,'03_Capacity_Model'!$B$96)&gt;=(('01_Inputs'!$B$14+'01_Inputs'!$B$15+'01_Inputs'!$B$16)+'01_Inputs'!$B$17+'01_Inputs'!$B$18),MOD((66*24/6+2)-'03_Capacity_Model'!$B$95,'03_Capacity_Model'!$B$96)&lt;((('01_Inputs'!$B$14+'01_Inputs'!$B$15+'01_Inputs'!$B$16)+'01_Inputs'!$B$17+'01_Inputs'!$B$18)+'01_Inputs'!$B$29*'01_Inputs'!$B$28))),4,0)</f>
        <v>0</v>
      </c>
      <c r="BR23" s="93">
        <f>IF(OR(AND(MOD((67*24/6+2)-0,'03_Capacity_Model'!$B$96)&gt;=(('01_Inputs'!$B$14+'01_Inputs'!$B$15+'01_Inputs'!$B$16)+'01_Inputs'!$B$17+'01_Inputs'!$B$18),MOD((67*24/6+2)-0,'03_Capacity_Model'!$B$96)&lt;((('01_Inputs'!$B$14+'01_Inputs'!$B$15+'01_Inputs'!$B$16)+'01_Inputs'!$B$17+'01_Inputs'!$B$18)+'01_Inputs'!$B$29*'01_Inputs'!$B$28)),AND(MOD((67*24/6+2)-'03_Capacity_Model'!$B$95,'03_Capacity_Model'!$B$96)&gt;=(('01_Inputs'!$B$14+'01_Inputs'!$B$15+'01_Inputs'!$B$16)+'01_Inputs'!$B$17+'01_Inputs'!$B$18),MOD((67*24/6+2)-'03_Capacity_Model'!$B$95,'03_Capacity_Model'!$B$96)&lt;((('01_Inputs'!$B$14+'01_Inputs'!$B$15+'01_Inputs'!$B$16)+'01_Inputs'!$B$17+'01_Inputs'!$B$18)+'01_Inputs'!$B$29*'01_Inputs'!$B$28))),4,0)</f>
        <v>0</v>
      </c>
      <c r="BS23" s="93">
        <f>IF(OR(AND(MOD((68*24/6+2)-0,'03_Capacity_Model'!$B$96)&gt;=(('01_Inputs'!$B$14+'01_Inputs'!$B$15+'01_Inputs'!$B$16)+'01_Inputs'!$B$17+'01_Inputs'!$B$18),MOD((68*24/6+2)-0,'03_Capacity_Model'!$B$96)&lt;((('01_Inputs'!$B$14+'01_Inputs'!$B$15+'01_Inputs'!$B$16)+'01_Inputs'!$B$17+'01_Inputs'!$B$18)+'01_Inputs'!$B$29*'01_Inputs'!$B$28)),AND(MOD((68*24/6+2)-'03_Capacity_Model'!$B$95,'03_Capacity_Model'!$B$96)&gt;=(('01_Inputs'!$B$14+'01_Inputs'!$B$15+'01_Inputs'!$B$16)+'01_Inputs'!$B$17+'01_Inputs'!$B$18),MOD((68*24/6+2)-'03_Capacity_Model'!$B$95,'03_Capacity_Model'!$B$96)&lt;((('01_Inputs'!$B$14+'01_Inputs'!$B$15+'01_Inputs'!$B$16)+'01_Inputs'!$B$17+'01_Inputs'!$B$18)+'01_Inputs'!$B$29*'01_Inputs'!$B$28))),4,0)</f>
        <v>0</v>
      </c>
      <c r="BT23" s="93">
        <f>IF(OR(AND(MOD((69*24/6+2)-0,'03_Capacity_Model'!$B$96)&gt;=(('01_Inputs'!$B$14+'01_Inputs'!$B$15+'01_Inputs'!$B$16)+'01_Inputs'!$B$17+'01_Inputs'!$B$18),MOD((69*24/6+2)-0,'03_Capacity_Model'!$B$96)&lt;((('01_Inputs'!$B$14+'01_Inputs'!$B$15+'01_Inputs'!$B$16)+'01_Inputs'!$B$17+'01_Inputs'!$B$18)+'01_Inputs'!$B$29*'01_Inputs'!$B$28)),AND(MOD((69*24/6+2)-'03_Capacity_Model'!$B$95,'03_Capacity_Model'!$B$96)&gt;=(('01_Inputs'!$B$14+'01_Inputs'!$B$15+'01_Inputs'!$B$16)+'01_Inputs'!$B$17+'01_Inputs'!$B$18),MOD((69*24/6+2)-'03_Capacity_Model'!$B$95,'03_Capacity_Model'!$B$96)&lt;((('01_Inputs'!$B$14+'01_Inputs'!$B$15+'01_Inputs'!$B$16)+'01_Inputs'!$B$17+'01_Inputs'!$B$18)+'01_Inputs'!$B$29*'01_Inputs'!$B$28))),4,0)</f>
        <v>0</v>
      </c>
      <c r="BU23" s="93">
        <f>IF(OR(AND(MOD((70*24/6+2)-0,'03_Capacity_Model'!$B$96)&gt;=(('01_Inputs'!$B$14+'01_Inputs'!$B$15+'01_Inputs'!$B$16)+'01_Inputs'!$B$17+'01_Inputs'!$B$18),MOD((70*24/6+2)-0,'03_Capacity_Model'!$B$96)&lt;((('01_Inputs'!$B$14+'01_Inputs'!$B$15+'01_Inputs'!$B$16)+'01_Inputs'!$B$17+'01_Inputs'!$B$18)+'01_Inputs'!$B$29*'01_Inputs'!$B$28)),AND(MOD((70*24/6+2)-'03_Capacity_Model'!$B$95,'03_Capacity_Model'!$B$96)&gt;=(('01_Inputs'!$B$14+'01_Inputs'!$B$15+'01_Inputs'!$B$16)+'01_Inputs'!$B$17+'01_Inputs'!$B$18),MOD((70*24/6+2)-'03_Capacity_Model'!$B$95,'03_Capacity_Model'!$B$96)&lt;((('01_Inputs'!$B$14+'01_Inputs'!$B$15+'01_Inputs'!$B$16)+'01_Inputs'!$B$17+'01_Inputs'!$B$18)+'01_Inputs'!$B$29*'01_Inputs'!$B$28))),4,0)</f>
        <v>0</v>
      </c>
      <c r="BV23" s="93">
        <f>IF(OR(AND(MOD((71*24/6+2)-0,'03_Capacity_Model'!$B$96)&gt;=(('01_Inputs'!$B$14+'01_Inputs'!$B$15+'01_Inputs'!$B$16)+'01_Inputs'!$B$17+'01_Inputs'!$B$18),MOD((71*24/6+2)-0,'03_Capacity_Model'!$B$96)&lt;((('01_Inputs'!$B$14+'01_Inputs'!$B$15+'01_Inputs'!$B$16)+'01_Inputs'!$B$17+'01_Inputs'!$B$18)+'01_Inputs'!$B$29*'01_Inputs'!$B$28)),AND(MOD((71*24/6+2)-'03_Capacity_Model'!$B$95,'03_Capacity_Model'!$B$96)&gt;=(('01_Inputs'!$B$14+'01_Inputs'!$B$15+'01_Inputs'!$B$16)+'01_Inputs'!$B$17+'01_Inputs'!$B$18),MOD((71*24/6+2)-'03_Capacity_Model'!$B$95,'03_Capacity_Model'!$B$96)&lt;((('01_Inputs'!$B$14+'01_Inputs'!$B$15+'01_Inputs'!$B$16)+'01_Inputs'!$B$17+'01_Inputs'!$B$18)+'01_Inputs'!$B$29*'01_Inputs'!$B$28))),4,0)</f>
        <v>4</v>
      </c>
      <c r="BW23" s="93">
        <f>IF(OR(AND(MOD((72*24/6+2)-0,'03_Capacity_Model'!$B$96)&gt;=(('01_Inputs'!$B$14+'01_Inputs'!$B$15+'01_Inputs'!$B$16)+'01_Inputs'!$B$17+'01_Inputs'!$B$18),MOD((72*24/6+2)-0,'03_Capacity_Model'!$B$96)&lt;((('01_Inputs'!$B$14+'01_Inputs'!$B$15+'01_Inputs'!$B$16)+'01_Inputs'!$B$17+'01_Inputs'!$B$18)+'01_Inputs'!$B$29*'01_Inputs'!$B$28)),AND(MOD((72*24/6+2)-'03_Capacity_Model'!$B$95,'03_Capacity_Model'!$B$96)&gt;=(('01_Inputs'!$B$14+'01_Inputs'!$B$15+'01_Inputs'!$B$16)+'01_Inputs'!$B$17+'01_Inputs'!$B$18),MOD((72*24/6+2)-'03_Capacity_Model'!$B$95,'03_Capacity_Model'!$B$96)&lt;((('01_Inputs'!$B$14+'01_Inputs'!$B$15+'01_Inputs'!$B$16)+'01_Inputs'!$B$17+'01_Inputs'!$B$18)+'01_Inputs'!$B$29*'01_Inputs'!$B$28))),4,0)</f>
        <v>4</v>
      </c>
      <c r="BX23" s="93">
        <f>IF(OR(AND(MOD((73*24/6+2)-0,'03_Capacity_Model'!$B$96)&gt;=(('01_Inputs'!$B$14+'01_Inputs'!$B$15+'01_Inputs'!$B$16)+'01_Inputs'!$B$17+'01_Inputs'!$B$18),MOD((73*24/6+2)-0,'03_Capacity_Model'!$B$96)&lt;((('01_Inputs'!$B$14+'01_Inputs'!$B$15+'01_Inputs'!$B$16)+'01_Inputs'!$B$17+'01_Inputs'!$B$18)+'01_Inputs'!$B$29*'01_Inputs'!$B$28)),AND(MOD((73*24/6+2)-'03_Capacity_Model'!$B$95,'03_Capacity_Model'!$B$96)&gt;=(('01_Inputs'!$B$14+'01_Inputs'!$B$15+'01_Inputs'!$B$16)+'01_Inputs'!$B$17+'01_Inputs'!$B$18),MOD((73*24/6+2)-'03_Capacity_Model'!$B$95,'03_Capacity_Model'!$B$96)&lt;((('01_Inputs'!$B$14+'01_Inputs'!$B$15+'01_Inputs'!$B$16)+'01_Inputs'!$B$17+'01_Inputs'!$B$18)+'01_Inputs'!$B$29*'01_Inputs'!$B$28))),4,0)</f>
        <v>4</v>
      </c>
      <c r="BY23" s="93">
        <f>IF(OR(AND(MOD((74*24/6+2)-0,'03_Capacity_Model'!$B$96)&gt;=(('01_Inputs'!$B$14+'01_Inputs'!$B$15+'01_Inputs'!$B$16)+'01_Inputs'!$B$17+'01_Inputs'!$B$18),MOD((74*24/6+2)-0,'03_Capacity_Model'!$B$96)&lt;((('01_Inputs'!$B$14+'01_Inputs'!$B$15+'01_Inputs'!$B$16)+'01_Inputs'!$B$17+'01_Inputs'!$B$18)+'01_Inputs'!$B$29*'01_Inputs'!$B$28)),AND(MOD((74*24/6+2)-'03_Capacity_Model'!$B$95,'03_Capacity_Model'!$B$96)&gt;=(('01_Inputs'!$B$14+'01_Inputs'!$B$15+'01_Inputs'!$B$16)+'01_Inputs'!$B$17+'01_Inputs'!$B$18),MOD((74*24/6+2)-'03_Capacity_Model'!$B$95,'03_Capacity_Model'!$B$96)&lt;((('01_Inputs'!$B$14+'01_Inputs'!$B$15+'01_Inputs'!$B$16)+'01_Inputs'!$B$17+'01_Inputs'!$B$18)+'01_Inputs'!$B$29*'01_Inputs'!$B$28))),4,0)</f>
        <v>0</v>
      </c>
      <c r="BZ23" s="93">
        <f>IF(OR(AND(MOD((75*24/6+2)-0,'03_Capacity_Model'!$B$96)&gt;=(('01_Inputs'!$B$14+'01_Inputs'!$B$15+'01_Inputs'!$B$16)+'01_Inputs'!$B$17+'01_Inputs'!$B$18),MOD((75*24/6+2)-0,'03_Capacity_Model'!$B$96)&lt;((('01_Inputs'!$B$14+'01_Inputs'!$B$15+'01_Inputs'!$B$16)+'01_Inputs'!$B$17+'01_Inputs'!$B$18)+'01_Inputs'!$B$29*'01_Inputs'!$B$28)),AND(MOD((75*24/6+2)-'03_Capacity_Model'!$B$95,'03_Capacity_Model'!$B$96)&gt;=(('01_Inputs'!$B$14+'01_Inputs'!$B$15+'01_Inputs'!$B$16)+'01_Inputs'!$B$17+'01_Inputs'!$B$18),MOD((75*24/6+2)-'03_Capacity_Model'!$B$95,'03_Capacity_Model'!$B$96)&lt;((('01_Inputs'!$B$14+'01_Inputs'!$B$15+'01_Inputs'!$B$16)+'01_Inputs'!$B$17+'01_Inputs'!$B$18)+'01_Inputs'!$B$29*'01_Inputs'!$B$28))),4,0)</f>
        <v>0</v>
      </c>
      <c r="CA23" s="93">
        <f>IF(OR(AND(MOD((76*24/6+2)-0,'03_Capacity_Model'!$B$96)&gt;=(('01_Inputs'!$B$14+'01_Inputs'!$B$15+'01_Inputs'!$B$16)+'01_Inputs'!$B$17+'01_Inputs'!$B$18),MOD((76*24/6+2)-0,'03_Capacity_Model'!$B$96)&lt;((('01_Inputs'!$B$14+'01_Inputs'!$B$15+'01_Inputs'!$B$16)+'01_Inputs'!$B$17+'01_Inputs'!$B$18)+'01_Inputs'!$B$29*'01_Inputs'!$B$28)),AND(MOD((76*24/6+2)-'03_Capacity_Model'!$B$95,'03_Capacity_Model'!$B$96)&gt;=(('01_Inputs'!$B$14+'01_Inputs'!$B$15+'01_Inputs'!$B$16)+'01_Inputs'!$B$17+'01_Inputs'!$B$18),MOD((76*24/6+2)-'03_Capacity_Model'!$B$95,'03_Capacity_Model'!$B$96)&lt;((('01_Inputs'!$B$14+'01_Inputs'!$B$15+'01_Inputs'!$B$16)+'01_Inputs'!$B$17+'01_Inputs'!$B$18)+'01_Inputs'!$B$29*'01_Inputs'!$B$28))),4,0)</f>
        <v>0</v>
      </c>
      <c r="CB23" s="93">
        <f>IF(OR(AND(MOD((77*24/6+2)-0,'03_Capacity_Model'!$B$96)&gt;=(('01_Inputs'!$B$14+'01_Inputs'!$B$15+'01_Inputs'!$B$16)+'01_Inputs'!$B$17+'01_Inputs'!$B$18),MOD((77*24/6+2)-0,'03_Capacity_Model'!$B$96)&lt;((('01_Inputs'!$B$14+'01_Inputs'!$B$15+'01_Inputs'!$B$16)+'01_Inputs'!$B$17+'01_Inputs'!$B$18)+'01_Inputs'!$B$29*'01_Inputs'!$B$28)),AND(MOD((77*24/6+2)-'03_Capacity_Model'!$B$95,'03_Capacity_Model'!$B$96)&gt;=(('01_Inputs'!$B$14+'01_Inputs'!$B$15+'01_Inputs'!$B$16)+'01_Inputs'!$B$17+'01_Inputs'!$B$18),MOD((77*24/6+2)-'03_Capacity_Model'!$B$95,'03_Capacity_Model'!$B$96)&lt;((('01_Inputs'!$B$14+'01_Inputs'!$B$15+'01_Inputs'!$B$16)+'01_Inputs'!$B$17+'01_Inputs'!$B$18)+'01_Inputs'!$B$29*'01_Inputs'!$B$28))),4,0)</f>
        <v>0</v>
      </c>
      <c r="CC23" s="93">
        <f>IF(OR(AND(MOD((78*24/6+2)-0,'03_Capacity_Model'!$B$96)&gt;=(('01_Inputs'!$B$14+'01_Inputs'!$B$15+'01_Inputs'!$B$16)+'01_Inputs'!$B$17+'01_Inputs'!$B$18),MOD((78*24/6+2)-0,'03_Capacity_Model'!$B$96)&lt;((('01_Inputs'!$B$14+'01_Inputs'!$B$15+'01_Inputs'!$B$16)+'01_Inputs'!$B$17+'01_Inputs'!$B$18)+'01_Inputs'!$B$29*'01_Inputs'!$B$28)),AND(MOD((78*24/6+2)-'03_Capacity_Model'!$B$95,'03_Capacity_Model'!$B$96)&gt;=(('01_Inputs'!$B$14+'01_Inputs'!$B$15+'01_Inputs'!$B$16)+'01_Inputs'!$B$17+'01_Inputs'!$B$18),MOD((78*24/6+2)-'03_Capacity_Model'!$B$95,'03_Capacity_Model'!$B$96)&lt;((('01_Inputs'!$B$14+'01_Inputs'!$B$15+'01_Inputs'!$B$16)+'01_Inputs'!$B$17+'01_Inputs'!$B$18)+'01_Inputs'!$B$29*'01_Inputs'!$B$28))),4,0)</f>
        <v>0</v>
      </c>
      <c r="CD23" s="93">
        <f>IF(OR(AND(MOD((79*24/6+2)-0,'03_Capacity_Model'!$B$96)&gt;=(('01_Inputs'!$B$14+'01_Inputs'!$B$15+'01_Inputs'!$B$16)+'01_Inputs'!$B$17+'01_Inputs'!$B$18),MOD((79*24/6+2)-0,'03_Capacity_Model'!$B$96)&lt;((('01_Inputs'!$B$14+'01_Inputs'!$B$15+'01_Inputs'!$B$16)+'01_Inputs'!$B$17+'01_Inputs'!$B$18)+'01_Inputs'!$B$29*'01_Inputs'!$B$28)),AND(MOD((79*24/6+2)-'03_Capacity_Model'!$B$95,'03_Capacity_Model'!$B$96)&gt;=(('01_Inputs'!$B$14+'01_Inputs'!$B$15+'01_Inputs'!$B$16)+'01_Inputs'!$B$17+'01_Inputs'!$B$18),MOD((79*24/6+2)-'03_Capacity_Model'!$B$95,'03_Capacity_Model'!$B$96)&lt;((('01_Inputs'!$B$14+'01_Inputs'!$B$15+'01_Inputs'!$B$16)+'01_Inputs'!$B$17+'01_Inputs'!$B$18)+'01_Inputs'!$B$29*'01_Inputs'!$B$28))),4,0)</f>
        <v>0</v>
      </c>
      <c r="CE23" s="93">
        <f>IF(OR(AND(MOD((80*24/6+2)-0,'03_Capacity_Model'!$B$96)&gt;=(('01_Inputs'!$B$14+'01_Inputs'!$B$15+'01_Inputs'!$B$16)+'01_Inputs'!$B$17+'01_Inputs'!$B$18),MOD((80*24/6+2)-0,'03_Capacity_Model'!$B$96)&lt;((('01_Inputs'!$B$14+'01_Inputs'!$B$15+'01_Inputs'!$B$16)+'01_Inputs'!$B$17+'01_Inputs'!$B$18)+'01_Inputs'!$B$29*'01_Inputs'!$B$28)),AND(MOD((80*24/6+2)-'03_Capacity_Model'!$B$95,'03_Capacity_Model'!$B$96)&gt;=(('01_Inputs'!$B$14+'01_Inputs'!$B$15+'01_Inputs'!$B$16)+'01_Inputs'!$B$17+'01_Inputs'!$B$18),MOD((80*24/6+2)-'03_Capacity_Model'!$B$95,'03_Capacity_Model'!$B$96)&lt;((('01_Inputs'!$B$14+'01_Inputs'!$B$15+'01_Inputs'!$B$16)+'01_Inputs'!$B$17+'01_Inputs'!$B$18)+'01_Inputs'!$B$29*'01_Inputs'!$B$28))),4,0)</f>
        <v>0</v>
      </c>
      <c r="CF23" s="93">
        <f>IF(OR(AND(MOD((81*24/6+2)-0,'03_Capacity_Model'!$B$96)&gt;=(('01_Inputs'!$B$14+'01_Inputs'!$B$15+'01_Inputs'!$B$16)+'01_Inputs'!$B$17+'01_Inputs'!$B$18),MOD((81*24/6+2)-0,'03_Capacity_Model'!$B$96)&lt;((('01_Inputs'!$B$14+'01_Inputs'!$B$15+'01_Inputs'!$B$16)+'01_Inputs'!$B$17+'01_Inputs'!$B$18)+'01_Inputs'!$B$29*'01_Inputs'!$B$28)),AND(MOD((81*24/6+2)-'03_Capacity_Model'!$B$95,'03_Capacity_Model'!$B$96)&gt;=(('01_Inputs'!$B$14+'01_Inputs'!$B$15+'01_Inputs'!$B$16)+'01_Inputs'!$B$17+'01_Inputs'!$B$18),MOD((81*24/6+2)-'03_Capacity_Model'!$B$95,'03_Capacity_Model'!$B$96)&lt;((('01_Inputs'!$B$14+'01_Inputs'!$B$15+'01_Inputs'!$B$16)+'01_Inputs'!$B$17+'01_Inputs'!$B$18)+'01_Inputs'!$B$29*'01_Inputs'!$B$28))),4,0)</f>
        <v>4</v>
      </c>
      <c r="CG23" s="93">
        <f>IF(OR(AND(MOD((82*24/6+2)-0,'03_Capacity_Model'!$B$96)&gt;=(('01_Inputs'!$B$14+'01_Inputs'!$B$15+'01_Inputs'!$B$16)+'01_Inputs'!$B$17+'01_Inputs'!$B$18),MOD((82*24/6+2)-0,'03_Capacity_Model'!$B$96)&lt;((('01_Inputs'!$B$14+'01_Inputs'!$B$15+'01_Inputs'!$B$16)+'01_Inputs'!$B$17+'01_Inputs'!$B$18)+'01_Inputs'!$B$29*'01_Inputs'!$B$28)),AND(MOD((82*24/6+2)-'03_Capacity_Model'!$B$95,'03_Capacity_Model'!$B$96)&gt;=(('01_Inputs'!$B$14+'01_Inputs'!$B$15+'01_Inputs'!$B$16)+'01_Inputs'!$B$17+'01_Inputs'!$B$18),MOD((82*24/6+2)-'03_Capacity_Model'!$B$95,'03_Capacity_Model'!$B$96)&lt;((('01_Inputs'!$B$14+'01_Inputs'!$B$15+'01_Inputs'!$B$16)+'01_Inputs'!$B$17+'01_Inputs'!$B$18)+'01_Inputs'!$B$29*'01_Inputs'!$B$28))),4,0)</f>
        <v>4</v>
      </c>
      <c r="CH23" s="93">
        <f>IF(OR(AND(MOD((83*24/6+2)-0,'03_Capacity_Model'!$B$96)&gt;=(('01_Inputs'!$B$14+'01_Inputs'!$B$15+'01_Inputs'!$B$16)+'01_Inputs'!$B$17+'01_Inputs'!$B$18),MOD((83*24/6+2)-0,'03_Capacity_Model'!$B$96)&lt;((('01_Inputs'!$B$14+'01_Inputs'!$B$15+'01_Inputs'!$B$16)+'01_Inputs'!$B$17+'01_Inputs'!$B$18)+'01_Inputs'!$B$29*'01_Inputs'!$B$28)),AND(MOD((83*24/6+2)-'03_Capacity_Model'!$B$95,'03_Capacity_Model'!$B$96)&gt;=(('01_Inputs'!$B$14+'01_Inputs'!$B$15+'01_Inputs'!$B$16)+'01_Inputs'!$B$17+'01_Inputs'!$B$18),MOD((83*24/6+2)-'03_Capacity_Model'!$B$95,'03_Capacity_Model'!$B$96)&lt;((('01_Inputs'!$B$14+'01_Inputs'!$B$15+'01_Inputs'!$B$16)+'01_Inputs'!$B$17+'01_Inputs'!$B$18)+'01_Inputs'!$B$29*'01_Inputs'!$B$28))),4,0)</f>
        <v>0</v>
      </c>
      <c r="CI23" s="93">
        <f>IF(OR(AND(MOD((84*24/6+2)-0,'03_Capacity_Model'!$B$96)&gt;=(('01_Inputs'!$B$14+'01_Inputs'!$B$15+'01_Inputs'!$B$16)+'01_Inputs'!$B$17+'01_Inputs'!$B$18),MOD((84*24/6+2)-0,'03_Capacity_Model'!$B$96)&lt;((('01_Inputs'!$B$14+'01_Inputs'!$B$15+'01_Inputs'!$B$16)+'01_Inputs'!$B$17+'01_Inputs'!$B$18)+'01_Inputs'!$B$29*'01_Inputs'!$B$28)),AND(MOD((84*24/6+2)-'03_Capacity_Model'!$B$95,'03_Capacity_Model'!$B$96)&gt;=(('01_Inputs'!$B$14+'01_Inputs'!$B$15+'01_Inputs'!$B$16)+'01_Inputs'!$B$17+'01_Inputs'!$B$18),MOD((84*24/6+2)-'03_Capacity_Model'!$B$95,'03_Capacity_Model'!$B$96)&lt;((('01_Inputs'!$B$14+'01_Inputs'!$B$15+'01_Inputs'!$B$16)+'01_Inputs'!$B$17+'01_Inputs'!$B$18)+'01_Inputs'!$B$29*'01_Inputs'!$B$28))),4,0)</f>
        <v>0</v>
      </c>
      <c r="CJ23" s="93">
        <f>IF(OR(AND(MOD((85*24/6+2)-0,'03_Capacity_Model'!$B$96)&gt;=(('01_Inputs'!$B$14+'01_Inputs'!$B$15+'01_Inputs'!$B$16)+'01_Inputs'!$B$17+'01_Inputs'!$B$18),MOD((85*24/6+2)-0,'03_Capacity_Model'!$B$96)&lt;((('01_Inputs'!$B$14+'01_Inputs'!$B$15+'01_Inputs'!$B$16)+'01_Inputs'!$B$17+'01_Inputs'!$B$18)+'01_Inputs'!$B$29*'01_Inputs'!$B$28)),AND(MOD((85*24/6+2)-'03_Capacity_Model'!$B$95,'03_Capacity_Model'!$B$96)&gt;=(('01_Inputs'!$B$14+'01_Inputs'!$B$15+'01_Inputs'!$B$16)+'01_Inputs'!$B$17+'01_Inputs'!$B$18),MOD((85*24/6+2)-'03_Capacity_Model'!$B$95,'03_Capacity_Model'!$B$96)&lt;((('01_Inputs'!$B$14+'01_Inputs'!$B$15+'01_Inputs'!$B$16)+'01_Inputs'!$B$17+'01_Inputs'!$B$18)+'01_Inputs'!$B$29*'01_Inputs'!$B$28))),4,0)</f>
        <v>0</v>
      </c>
      <c r="CK23" s="93">
        <f>IF(OR(AND(MOD((86*24/6+2)-0,'03_Capacity_Model'!$B$96)&gt;=(('01_Inputs'!$B$14+'01_Inputs'!$B$15+'01_Inputs'!$B$16)+'01_Inputs'!$B$17+'01_Inputs'!$B$18),MOD((86*24/6+2)-0,'03_Capacity_Model'!$B$96)&lt;((('01_Inputs'!$B$14+'01_Inputs'!$B$15+'01_Inputs'!$B$16)+'01_Inputs'!$B$17+'01_Inputs'!$B$18)+'01_Inputs'!$B$29*'01_Inputs'!$B$28)),AND(MOD((86*24/6+2)-'03_Capacity_Model'!$B$95,'03_Capacity_Model'!$B$96)&gt;=(('01_Inputs'!$B$14+'01_Inputs'!$B$15+'01_Inputs'!$B$16)+'01_Inputs'!$B$17+'01_Inputs'!$B$18),MOD((86*24/6+2)-'03_Capacity_Model'!$B$95,'03_Capacity_Model'!$B$96)&lt;((('01_Inputs'!$B$14+'01_Inputs'!$B$15+'01_Inputs'!$B$16)+'01_Inputs'!$B$17+'01_Inputs'!$B$18)+'01_Inputs'!$B$29*'01_Inputs'!$B$28))),4,0)</f>
        <v>0</v>
      </c>
      <c r="CL23" s="93">
        <f>IF(OR(AND(MOD((87*24/6+2)-0,'03_Capacity_Model'!$B$96)&gt;=(('01_Inputs'!$B$14+'01_Inputs'!$B$15+'01_Inputs'!$B$16)+'01_Inputs'!$B$17+'01_Inputs'!$B$18),MOD((87*24/6+2)-0,'03_Capacity_Model'!$B$96)&lt;((('01_Inputs'!$B$14+'01_Inputs'!$B$15+'01_Inputs'!$B$16)+'01_Inputs'!$B$17+'01_Inputs'!$B$18)+'01_Inputs'!$B$29*'01_Inputs'!$B$28)),AND(MOD((87*24/6+2)-'03_Capacity_Model'!$B$95,'03_Capacity_Model'!$B$96)&gt;=(('01_Inputs'!$B$14+'01_Inputs'!$B$15+'01_Inputs'!$B$16)+'01_Inputs'!$B$17+'01_Inputs'!$B$18),MOD((87*24/6+2)-'03_Capacity_Model'!$B$95,'03_Capacity_Model'!$B$96)&lt;((('01_Inputs'!$B$14+'01_Inputs'!$B$15+'01_Inputs'!$B$16)+'01_Inputs'!$B$17+'01_Inputs'!$B$18)+'01_Inputs'!$B$29*'01_Inputs'!$B$28))),4,0)</f>
        <v>0</v>
      </c>
      <c r="CM23" s="93">
        <f>IF(OR(AND(MOD((88*24/6+2)-0,'03_Capacity_Model'!$B$96)&gt;=(('01_Inputs'!$B$14+'01_Inputs'!$B$15+'01_Inputs'!$B$16)+'01_Inputs'!$B$17+'01_Inputs'!$B$18),MOD((88*24/6+2)-0,'03_Capacity_Model'!$B$96)&lt;((('01_Inputs'!$B$14+'01_Inputs'!$B$15+'01_Inputs'!$B$16)+'01_Inputs'!$B$17+'01_Inputs'!$B$18)+'01_Inputs'!$B$29*'01_Inputs'!$B$28)),AND(MOD((88*24/6+2)-'03_Capacity_Model'!$B$95,'03_Capacity_Model'!$B$96)&gt;=(('01_Inputs'!$B$14+'01_Inputs'!$B$15+'01_Inputs'!$B$16)+'01_Inputs'!$B$17+'01_Inputs'!$B$18),MOD((88*24/6+2)-'03_Capacity_Model'!$B$95,'03_Capacity_Model'!$B$96)&lt;((('01_Inputs'!$B$14+'01_Inputs'!$B$15+'01_Inputs'!$B$16)+'01_Inputs'!$B$17+'01_Inputs'!$B$18)+'01_Inputs'!$B$29*'01_Inputs'!$B$28))),4,0)</f>
        <v>4</v>
      </c>
      <c r="CN23" s="93">
        <f>IF(OR(AND(MOD((89*24/6+2)-0,'03_Capacity_Model'!$B$96)&gt;=(('01_Inputs'!$B$14+'01_Inputs'!$B$15+'01_Inputs'!$B$16)+'01_Inputs'!$B$17+'01_Inputs'!$B$18),MOD((89*24/6+2)-0,'03_Capacity_Model'!$B$96)&lt;((('01_Inputs'!$B$14+'01_Inputs'!$B$15+'01_Inputs'!$B$16)+'01_Inputs'!$B$17+'01_Inputs'!$B$18)+'01_Inputs'!$B$29*'01_Inputs'!$B$28)),AND(MOD((89*24/6+2)-'03_Capacity_Model'!$B$95,'03_Capacity_Model'!$B$96)&gt;=(('01_Inputs'!$B$14+'01_Inputs'!$B$15+'01_Inputs'!$B$16)+'01_Inputs'!$B$17+'01_Inputs'!$B$18),MOD((89*24/6+2)-'03_Capacity_Model'!$B$95,'03_Capacity_Model'!$B$96)&lt;((('01_Inputs'!$B$14+'01_Inputs'!$B$15+'01_Inputs'!$B$16)+'01_Inputs'!$B$17+'01_Inputs'!$B$18)+'01_Inputs'!$B$29*'01_Inputs'!$B$28))),4,0)</f>
        <v>4</v>
      </c>
      <c r="CO23" s="93">
        <f>IF(OR(AND(MOD((90*24/6+2)-0,'03_Capacity_Model'!$B$96)&gt;=(('01_Inputs'!$B$14+'01_Inputs'!$B$15+'01_Inputs'!$B$16)+'01_Inputs'!$B$17+'01_Inputs'!$B$18),MOD((90*24/6+2)-0,'03_Capacity_Model'!$B$96)&lt;((('01_Inputs'!$B$14+'01_Inputs'!$B$15+'01_Inputs'!$B$16)+'01_Inputs'!$B$17+'01_Inputs'!$B$18)+'01_Inputs'!$B$29*'01_Inputs'!$B$28)),AND(MOD((90*24/6+2)-'03_Capacity_Model'!$B$95,'03_Capacity_Model'!$B$96)&gt;=(('01_Inputs'!$B$14+'01_Inputs'!$B$15+'01_Inputs'!$B$16)+'01_Inputs'!$B$17+'01_Inputs'!$B$18),MOD((90*24/6+2)-'03_Capacity_Model'!$B$95,'03_Capacity_Model'!$B$96)&lt;((('01_Inputs'!$B$14+'01_Inputs'!$B$15+'01_Inputs'!$B$16)+'01_Inputs'!$B$17+'01_Inputs'!$B$18)+'01_Inputs'!$B$29*'01_Inputs'!$B$28))),4,0)</f>
        <v>0</v>
      </c>
      <c r="CP23" s="93">
        <f>IF(OR(AND(MOD((91*24/6+2)-0,'03_Capacity_Model'!$B$96)&gt;=(('01_Inputs'!$B$14+'01_Inputs'!$B$15+'01_Inputs'!$B$16)+'01_Inputs'!$B$17+'01_Inputs'!$B$18),MOD((91*24/6+2)-0,'03_Capacity_Model'!$B$96)&lt;((('01_Inputs'!$B$14+'01_Inputs'!$B$15+'01_Inputs'!$B$16)+'01_Inputs'!$B$17+'01_Inputs'!$B$18)+'01_Inputs'!$B$29*'01_Inputs'!$B$28)),AND(MOD((91*24/6+2)-'03_Capacity_Model'!$B$95,'03_Capacity_Model'!$B$96)&gt;=(('01_Inputs'!$B$14+'01_Inputs'!$B$15+'01_Inputs'!$B$16)+'01_Inputs'!$B$17+'01_Inputs'!$B$18),MOD((91*24/6+2)-'03_Capacity_Model'!$B$95,'03_Capacity_Model'!$B$96)&lt;((('01_Inputs'!$B$14+'01_Inputs'!$B$15+'01_Inputs'!$B$16)+'01_Inputs'!$B$17+'01_Inputs'!$B$18)+'01_Inputs'!$B$29*'01_Inputs'!$B$28))),4,0)</f>
        <v>0</v>
      </c>
      <c r="CQ23" s="93">
        <f>IF(OR(AND(MOD((92*24/6+2)-0,'03_Capacity_Model'!$B$96)&gt;=(('01_Inputs'!$B$14+'01_Inputs'!$B$15+'01_Inputs'!$B$16)+'01_Inputs'!$B$17+'01_Inputs'!$B$18),MOD((92*24/6+2)-0,'03_Capacity_Model'!$B$96)&lt;((('01_Inputs'!$B$14+'01_Inputs'!$B$15+'01_Inputs'!$B$16)+'01_Inputs'!$B$17+'01_Inputs'!$B$18)+'01_Inputs'!$B$29*'01_Inputs'!$B$28)),AND(MOD((92*24/6+2)-'03_Capacity_Model'!$B$95,'03_Capacity_Model'!$B$96)&gt;=(('01_Inputs'!$B$14+'01_Inputs'!$B$15+'01_Inputs'!$B$16)+'01_Inputs'!$B$17+'01_Inputs'!$B$18),MOD((92*24/6+2)-'03_Capacity_Model'!$B$95,'03_Capacity_Model'!$B$96)&lt;((('01_Inputs'!$B$14+'01_Inputs'!$B$15+'01_Inputs'!$B$16)+'01_Inputs'!$B$17+'01_Inputs'!$B$18)+'01_Inputs'!$B$29*'01_Inputs'!$B$28))),4,0)</f>
        <v>0</v>
      </c>
      <c r="CR23" s="93">
        <f>IF(OR(AND(MOD((93*24/6+2)-0,'03_Capacity_Model'!$B$96)&gt;=(('01_Inputs'!$B$14+'01_Inputs'!$B$15+'01_Inputs'!$B$16)+'01_Inputs'!$B$17+'01_Inputs'!$B$18),MOD((93*24/6+2)-0,'03_Capacity_Model'!$B$96)&lt;((('01_Inputs'!$B$14+'01_Inputs'!$B$15+'01_Inputs'!$B$16)+'01_Inputs'!$B$17+'01_Inputs'!$B$18)+'01_Inputs'!$B$29*'01_Inputs'!$B$28)),AND(MOD((93*24/6+2)-'03_Capacity_Model'!$B$95,'03_Capacity_Model'!$B$96)&gt;=(('01_Inputs'!$B$14+'01_Inputs'!$B$15+'01_Inputs'!$B$16)+'01_Inputs'!$B$17+'01_Inputs'!$B$18),MOD((93*24/6+2)-'03_Capacity_Model'!$B$95,'03_Capacity_Model'!$B$96)&lt;((('01_Inputs'!$B$14+'01_Inputs'!$B$15+'01_Inputs'!$B$16)+'01_Inputs'!$B$17+'01_Inputs'!$B$18)+'01_Inputs'!$B$29*'01_Inputs'!$B$28))),4,0)</f>
        <v>0</v>
      </c>
      <c r="CS23" s="93">
        <f>IF(OR(AND(MOD((94*24/6+2)-0,'03_Capacity_Model'!$B$96)&gt;=(('01_Inputs'!$B$14+'01_Inputs'!$B$15+'01_Inputs'!$B$16)+'01_Inputs'!$B$17+'01_Inputs'!$B$18),MOD((94*24/6+2)-0,'03_Capacity_Model'!$B$96)&lt;((('01_Inputs'!$B$14+'01_Inputs'!$B$15+'01_Inputs'!$B$16)+'01_Inputs'!$B$17+'01_Inputs'!$B$18)+'01_Inputs'!$B$29*'01_Inputs'!$B$28)),AND(MOD((94*24/6+2)-'03_Capacity_Model'!$B$95,'03_Capacity_Model'!$B$96)&gt;=(('01_Inputs'!$B$14+'01_Inputs'!$B$15+'01_Inputs'!$B$16)+'01_Inputs'!$B$17+'01_Inputs'!$B$18),MOD((94*24/6+2)-'03_Capacity_Model'!$B$95,'03_Capacity_Model'!$B$96)&lt;((('01_Inputs'!$B$14+'01_Inputs'!$B$15+'01_Inputs'!$B$16)+'01_Inputs'!$B$17+'01_Inputs'!$B$18)+'01_Inputs'!$B$29*'01_Inputs'!$B$28))),4,0)</f>
        <v>0</v>
      </c>
      <c r="CT23" s="93">
        <f>IF(OR(AND(MOD((95*24/6+2)-0,'03_Capacity_Model'!$B$96)&gt;=(('01_Inputs'!$B$14+'01_Inputs'!$B$15+'01_Inputs'!$B$16)+'01_Inputs'!$B$17+'01_Inputs'!$B$18),MOD((95*24/6+2)-0,'03_Capacity_Model'!$B$96)&lt;((('01_Inputs'!$B$14+'01_Inputs'!$B$15+'01_Inputs'!$B$16)+'01_Inputs'!$B$17+'01_Inputs'!$B$18)+'01_Inputs'!$B$29*'01_Inputs'!$B$28)),AND(MOD((95*24/6+2)-'03_Capacity_Model'!$B$95,'03_Capacity_Model'!$B$96)&gt;=(('01_Inputs'!$B$14+'01_Inputs'!$B$15+'01_Inputs'!$B$16)+'01_Inputs'!$B$17+'01_Inputs'!$B$18),MOD((95*24/6+2)-'03_Capacity_Model'!$B$95,'03_Capacity_Model'!$B$96)&lt;((('01_Inputs'!$B$14+'01_Inputs'!$B$15+'01_Inputs'!$B$16)+'01_Inputs'!$B$17+'01_Inputs'!$B$18)+'01_Inputs'!$B$29*'01_Inputs'!$B$28))),4,0)</f>
        <v>0</v>
      </c>
      <c r="CU23" s="93">
        <f>IF(OR(AND(MOD((96*24/6+2)-0,'03_Capacity_Model'!$B$96)&gt;=(('01_Inputs'!$B$14+'01_Inputs'!$B$15+'01_Inputs'!$B$16)+'01_Inputs'!$B$17+'01_Inputs'!$B$18),MOD((96*24/6+2)-0,'03_Capacity_Model'!$B$96)&lt;((('01_Inputs'!$B$14+'01_Inputs'!$B$15+'01_Inputs'!$B$16)+'01_Inputs'!$B$17+'01_Inputs'!$B$18)+'01_Inputs'!$B$29*'01_Inputs'!$B$28)),AND(MOD((96*24/6+2)-'03_Capacity_Model'!$B$95,'03_Capacity_Model'!$B$96)&gt;=(('01_Inputs'!$B$14+'01_Inputs'!$B$15+'01_Inputs'!$B$16)+'01_Inputs'!$B$17+'01_Inputs'!$B$18),MOD((96*24/6+2)-'03_Capacity_Model'!$B$95,'03_Capacity_Model'!$B$96)&lt;((('01_Inputs'!$B$14+'01_Inputs'!$B$15+'01_Inputs'!$B$16)+'01_Inputs'!$B$17+'01_Inputs'!$B$18)+'01_Inputs'!$B$29*'01_Inputs'!$B$28))),4,0)</f>
        <v>0</v>
      </c>
      <c r="CV23" s="93">
        <f>IF(OR(AND(MOD((97*24/6+2)-0,'03_Capacity_Model'!$B$96)&gt;=(('01_Inputs'!$B$14+'01_Inputs'!$B$15+'01_Inputs'!$B$16)+'01_Inputs'!$B$17+'01_Inputs'!$B$18),MOD((97*24/6+2)-0,'03_Capacity_Model'!$B$96)&lt;((('01_Inputs'!$B$14+'01_Inputs'!$B$15+'01_Inputs'!$B$16)+'01_Inputs'!$B$17+'01_Inputs'!$B$18)+'01_Inputs'!$B$29*'01_Inputs'!$B$28)),AND(MOD((97*24/6+2)-'03_Capacity_Model'!$B$95,'03_Capacity_Model'!$B$96)&gt;=(('01_Inputs'!$B$14+'01_Inputs'!$B$15+'01_Inputs'!$B$16)+'01_Inputs'!$B$17+'01_Inputs'!$B$18),MOD((97*24/6+2)-'03_Capacity_Model'!$B$95,'03_Capacity_Model'!$B$96)&lt;((('01_Inputs'!$B$14+'01_Inputs'!$B$15+'01_Inputs'!$B$16)+'01_Inputs'!$B$17+'01_Inputs'!$B$18)+'01_Inputs'!$B$29*'01_Inputs'!$B$28))),4,0)</f>
        <v>4</v>
      </c>
      <c r="CW23" s="93">
        <f>IF(OR(AND(MOD((98*24/6+2)-0,'03_Capacity_Model'!$B$96)&gt;=(('01_Inputs'!$B$14+'01_Inputs'!$B$15+'01_Inputs'!$B$16)+'01_Inputs'!$B$17+'01_Inputs'!$B$18),MOD((98*24/6+2)-0,'03_Capacity_Model'!$B$96)&lt;((('01_Inputs'!$B$14+'01_Inputs'!$B$15+'01_Inputs'!$B$16)+'01_Inputs'!$B$17+'01_Inputs'!$B$18)+'01_Inputs'!$B$29*'01_Inputs'!$B$28)),AND(MOD((98*24/6+2)-'03_Capacity_Model'!$B$95,'03_Capacity_Model'!$B$96)&gt;=(('01_Inputs'!$B$14+'01_Inputs'!$B$15+'01_Inputs'!$B$16)+'01_Inputs'!$B$17+'01_Inputs'!$B$18),MOD((98*24/6+2)-'03_Capacity_Model'!$B$95,'03_Capacity_Model'!$B$96)&lt;((('01_Inputs'!$B$14+'01_Inputs'!$B$15+'01_Inputs'!$B$16)+'01_Inputs'!$B$17+'01_Inputs'!$B$18)+'01_Inputs'!$B$29*'01_Inputs'!$B$28))),4,0)</f>
        <v>4</v>
      </c>
      <c r="CX23" s="93">
        <f>IF(OR(AND(MOD((99*24/6+2)-0,'03_Capacity_Model'!$B$96)&gt;=(('01_Inputs'!$B$14+'01_Inputs'!$B$15+'01_Inputs'!$B$16)+'01_Inputs'!$B$17+'01_Inputs'!$B$18),MOD((99*24/6+2)-0,'03_Capacity_Model'!$B$96)&lt;((('01_Inputs'!$B$14+'01_Inputs'!$B$15+'01_Inputs'!$B$16)+'01_Inputs'!$B$17+'01_Inputs'!$B$18)+'01_Inputs'!$B$29*'01_Inputs'!$B$28)),AND(MOD((99*24/6+2)-'03_Capacity_Model'!$B$95,'03_Capacity_Model'!$B$96)&gt;=(('01_Inputs'!$B$14+'01_Inputs'!$B$15+'01_Inputs'!$B$16)+'01_Inputs'!$B$17+'01_Inputs'!$B$18),MOD((99*24/6+2)-'03_Capacity_Model'!$B$95,'03_Capacity_Model'!$B$96)&lt;((('01_Inputs'!$B$14+'01_Inputs'!$B$15+'01_Inputs'!$B$16)+'01_Inputs'!$B$17+'01_Inputs'!$B$18)+'01_Inputs'!$B$29*'01_Inputs'!$B$28))),4,0)</f>
        <v>0</v>
      </c>
      <c r="CY23" s="93">
        <f>IF(OR(AND(MOD((100*24/6+2)-0,'03_Capacity_Model'!$B$96)&gt;=(('01_Inputs'!$B$14+'01_Inputs'!$B$15+'01_Inputs'!$B$16)+'01_Inputs'!$B$17+'01_Inputs'!$B$18),MOD((100*24/6+2)-0,'03_Capacity_Model'!$B$96)&lt;((('01_Inputs'!$B$14+'01_Inputs'!$B$15+'01_Inputs'!$B$16)+'01_Inputs'!$B$17+'01_Inputs'!$B$18)+'01_Inputs'!$B$29*'01_Inputs'!$B$28)),AND(MOD((100*24/6+2)-'03_Capacity_Model'!$B$95,'03_Capacity_Model'!$B$96)&gt;=(('01_Inputs'!$B$14+'01_Inputs'!$B$15+'01_Inputs'!$B$16)+'01_Inputs'!$B$17+'01_Inputs'!$B$18),MOD((100*24/6+2)-'03_Capacity_Model'!$B$95,'03_Capacity_Model'!$B$96)&lt;((('01_Inputs'!$B$14+'01_Inputs'!$B$15+'01_Inputs'!$B$16)+'01_Inputs'!$B$17+'01_Inputs'!$B$18)+'01_Inputs'!$B$29*'01_Inputs'!$B$28))),4,0)</f>
        <v>0</v>
      </c>
      <c r="CZ23" s="93">
        <f>IF(OR(AND(MOD((101*24/6+2)-0,'03_Capacity_Model'!$B$96)&gt;=(('01_Inputs'!$B$14+'01_Inputs'!$B$15+'01_Inputs'!$B$16)+'01_Inputs'!$B$17+'01_Inputs'!$B$18),MOD((101*24/6+2)-0,'03_Capacity_Model'!$B$96)&lt;((('01_Inputs'!$B$14+'01_Inputs'!$B$15+'01_Inputs'!$B$16)+'01_Inputs'!$B$17+'01_Inputs'!$B$18)+'01_Inputs'!$B$29*'01_Inputs'!$B$28)),AND(MOD((101*24/6+2)-'03_Capacity_Model'!$B$95,'03_Capacity_Model'!$B$96)&gt;=(('01_Inputs'!$B$14+'01_Inputs'!$B$15+'01_Inputs'!$B$16)+'01_Inputs'!$B$17+'01_Inputs'!$B$18),MOD((101*24/6+2)-'03_Capacity_Model'!$B$95,'03_Capacity_Model'!$B$96)&lt;((('01_Inputs'!$B$14+'01_Inputs'!$B$15+'01_Inputs'!$B$16)+'01_Inputs'!$B$17+'01_Inputs'!$B$18)+'01_Inputs'!$B$29*'01_Inputs'!$B$28))),4,0)</f>
        <v>0</v>
      </c>
      <c r="DA23" s="93">
        <f>IF(OR(AND(MOD((102*24/6+2)-0,'03_Capacity_Model'!$B$96)&gt;=(('01_Inputs'!$B$14+'01_Inputs'!$B$15+'01_Inputs'!$B$16)+'01_Inputs'!$B$17+'01_Inputs'!$B$18),MOD((102*24/6+2)-0,'03_Capacity_Model'!$B$96)&lt;((('01_Inputs'!$B$14+'01_Inputs'!$B$15+'01_Inputs'!$B$16)+'01_Inputs'!$B$17+'01_Inputs'!$B$18)+'01_Inputs'!$B$29*'01_Inputs'!$B$28)),AND(MOD((102*24/6+2)-'03_Capacity_Model'!$B$95,'03_Capacity_Model'!$B$96)&gt;=(('01_Inputs'!$B$14+'01_Inputs'!$B$15+'01_Inputs'!$B$16)+'01_Inputs'!$B$17+'01_Inputs'!$B$18),MOD((102*24/6+2)-'03_Capacity_Model'!$B$95,'03_Capacity_Model'!$B$96)&lt;((('01_Inputs'!$B$14+'01_Inputs'!$B$15+'01_Inputs'!$B$16)+'01_Inputs'!$B$17+'01_Inputs'!$B$18)+'01_Inputs'!$B$29*'01_Inputs'!$B$28))),4,0)</f>
        <v>0</v>
      </c>
      <c r="DB23" s="93">
        <f>IF(OR(AND(MOD((103*24/6+2)-0,'03_Capacity_Model'!$B$96)&gt;=(('01_Inputs'!$B$14+'01_Inputs'!$B$15+'01_Inputs'!$B$16)+'01_Inputs'!$B$17+'01_Inputs'!$B$18),MOD((103*24/6+2)-0,'03_Capacity_Model'!$B$96)&lt;((('01_Inputs'!$B$14+'01_Inputs'!$B$15+'01_Inputs'!$B$16)+'01_Inputs'!$B$17+'01_Inputs'!$B$18)+'01_Inputs'!$B$29*'01_Inputs'!$B$28)),AND(MOD((103*24/6+2)-'03_Capacity_Model'!$B$95,'03_Capacity_Model'!$B$96)&gt;=(('01_Inputs'!$B$14+'01_Inputs'!$B$15+'01_Inputs'!$B$16)+'01_Inputs'!$B$17+'01_Inputs'!$B$18),MOD((103*24/6+2)-'03_Capacity_Model'!$B$95,'03_Capacity_Model'!$B$96)&lt;((('01_Inputs'!$B$14+'01_Inputs'!$B$15+'01_Inputs'!$B$16)+'01_Inputs'!$B$17+'01_Inputs'!$B$18)+'01_Inputs'!$B$29*'01_Inputs'!$B$28))),4,0)</f>
        <v>0</v>
      </c>
      <c r="DC23" s="93">
        <f>IF(OR(AND(MOD((104*24/6+2)-0,'03_Capacity_Model'!$B$96)&gt;=(('01_Inputs'!$B$14+'01_Inputs'!$B$15+'01_Inputs'!$B$16)+'01_Inputs'!$B$17+'01_Inputs'!$B$18),MOD((104*24/6+2)-0,'03_Capacity_Model'!$B$96)&lt;((('01_Inputs'!$B$14+'01_Inputs'!$B$15+'01_Inputs'!$B$16)+'01_Inputs'!$B$17+'01_Inputs'!$B$18)+'01_Inputs'!$B$29*'01_Inputs'!$B$28)),AND(MOD((104*24/6+2)-'03_Capacity_Model'!$B$95,'03_Capacity_Model'!$B$96)&gt;=(('01_Inputs'!$B$14+'01_Inputs'!$B$15+'01_Inputs'!$B$16)+'01_Inputs'!$B$17+'01_Inputs'!$B$18),MOD((104*24/6+2)-'03_Capacity_Model'!$B$95,'03_Capacity_Model'!$B$96)&lt;((('01_Inputs'!$B$14+'01_Inputs'!$B$15+'01_Inputs'!$B$16)+'01_Inputs'!$B$17+'01_Inputs'!$B$18)+'01_Inputs'!$B$29*'01_Inputs'!$B$28))),4,0)</f>
        <v>0</v>
      </c>
      <c r="DD23" s="93">
        <f>IF(OR(AND(MOD((105*24/6+2)-0,'03_Capacity_Model'!$B$96)&gt;=(('01_Inputs'!$B$14+'01_Inputs'!$B$15+'01_Inputs'!$B$16)+'01_Inputs'!$B$17+'01_Inputs'!$B$18),MOD((105*24/6+2)-0,'03_Capacity_Model'!$B$96)&lt;((('01_Inputs'!$B$14+'01_Inputs'!$B$15+'01_Inputs'!$B$16)+'01_Inputs'!$B$17+'01_Inputs'!$B$18)+'01_Inputs'!$B$29*'01_Inputs'!$B$28)),AND(MOD((105*24/6+2)-'03_Capacity_Model'!$B$95,'03_Capacity_Model'!$B$96)&gt;=(('01_Inputs'!$B$14+'01_Inputs'!$B$15+'01_Inputs'!$B$16)+'01_Inputs'!$B$17+'01_Inputs'!$B$18),MOD((105*24/6+2)-'03_Capacity_Model'!$B$95,'03_Capacity_Model'!$B$96)&lt;((('01_Inputs'!$B$14+'01_Inputs'!$B$15+'01_Inputs'!$B$16)+'01_Inputs'!$B$17+'01_Inputs'!$B$18)+'01_Inputs'!$B$29*'01_Inputs'!$B$28))),4,0)</f>
        <v>4</v>
      </c>
      <c r="DE23" s="93">
        <f>IF(OR(AND(MOD((106*24/6+2)-0,'03_Capacity_Model'!$B$96)&gt;=(('01_Inputs'!$B$14+'01_Inputs'!$B$15+'01_Inputs'!$B$16)+'01_Inputs'!$B$17+'01_Inputs'!$B$18),MOD((106*24/6+2)-0,'03_Capacity_Model'!$B$96)&lt;((('01_Inputs'!$B$14+'01_Inputs'!$B$15+'01_Inputs'!$B$16)+'01_Inputs'!$B$17+'01_Inputs'!$B$18)+'01_Inputs'!$B$29*'01_Inputs'!$B$28)),AND(MOD((106*24/6+2)-'03_Capacity_Model'!$B$95,'03_Capacity_Model'!$B$96)&gt;=(('01_Inputs'!$B$14+'01_Inputs'!$B$15+'01_Inputs'!$B$16)+'01_Inputs'!$B$17+'01_Inputs'!$B$18),MOD((106*24/6+2)-'03_Capacity_Model'!$B$95,'03_Capacity_Model'!$B$96)&lt;((('01_Inputs'!$B$14+'01_Inputs'!$B$15+'01_Inputs'!$B$16)+'01_Inputs'!$B$17+'01_Inputs'!$B$18)+'01_Inputs'!$B$29*'01_Inputs'!$B$28))),4,0)</f>
        <v>4</v>
      </c>
      <c r="DF23" s="93">
        <f>IF(OR(AND(MOD((107*24/6+2)-0,'03_Capacity_Model'!$B$96)&gt;=(('01_Inputs'!$B$14+'01_Inputs'!$B$15+'01_Inputs'!$B$16)+'01_Inputs'!$B$17+'01_Inputs'!$B$18),MOD((107*24/6+2)-0,'03_Capacity_Model'!$B$96)&lt;((('01_Inputs'!$B$14+'01_Inputs'!$B$15+'01_Inputs'!$B$16)+'01_Inputs'!$B$17+'01_Inputs'!$B$18)+'01_Inputs'!$B$29*'01_Inputs'!$B$28)),AND(MOD((107*24/6+2)-'03_Capacity_Model'!$B$95,'03_Capacity_Model'!$B$96)&gt;=(('01_Inputs'!$B$14+'01_Inputs'!$B$15+'01_Inputs'!$B$16)+'01_Inputs'!$B$17+'01_Inputs'!$B$18),MOD((107*24/6+2)-'03_Capacity_Model'!$B$95,'03_Capacity_Model'!$B$96)&lt;((('01_Inputs'!$B$14+'01_Inputs'!$B$15+'01_Inputs'!$B$16)+'01_Inputs'!$B$17+'01_Inputs'!$B$18)+'01_Inputs'!$B$29*'01_Inputs'!$B$28))),4,0)</f>
        <v>0</v>
      </c>
      <c r="DG23" s="93">
        <f>IF(OR(AND(MOD((108*24/6+2)-0,'03_Capacity_Model'!$B$96)&gt;=(('01_Inputs'!$B$14+'01_Inputs'!$B$15+'01_Inputs'!$B$16)+'01_Inputs'!$B$17+'01_Inputs'!$B$18),MOD((108*24/6+2)-0,'03_Capacity_Model'!$B$96)&lt;((('01_Inputs'!$B$14+'01_Inputs'!$B$15+'01_Inputs'!$B$16)+'01_Inputs'!$B$17+'01_Inputs'!$B$18)+'01_Inputs'!$B$29*'01_Inputs'!$B$28)),AND(MOD((108*24/6+2)-'03_Capacity_Model'!$B$95,'03_Capacity_Model'!$B$96)&gt;=(('01_Inputs'!$B$14+'01_Inputs'!$B$15+'01_Inputs'!$B$16)+'01_Inputs'!$B$17+'01_Inputs'!$B$18),MOD((108*24/6+2)-'03_Capacity_Model'!$B$95,'03_Capacity_Model'!$B$96)&lt;((('01_Inputs'!$B$14+'01_Inputs'!$B$15+'01_Inputs'!$B$16)+'01_Inputs'!$B$17+'01_Inputs'!$B$18)+'01_Inputs'!$B$29*'01_Inputs'!$B$28))),4,0)</f>
        <v>0</v>
      </c>
      <c r="DH23" s="93">
        <f>IF(OR(AND(MOD((109*24/6+2)-0,'03_Capacity_Model'!$B$96)&gt;=(('01_Inputs'!$B$14+'01_Inputs'!$B$15+'01_Inputs'!$B$16)+'01_Inputs'!$B$17+'01_Inputs'!$B$18),MOD((109*24/6+2)-0,'03_Capacity_Model'!$B$96)&lt;((('01_Inputs'!$B$14+'01_Inputs'!$B$15+'01_Inputs'!$B$16)+'01_Inputs'!$B$17+'01_Inputs'!$B$18)+'01_Inputs'!$B$29*'01_Inputs'!$B$28)),AND(MOD((109*24/6+2)-'03_Capacity_Model'!$B$95,'03_Capacity_Model'!$B$96)&gt;=(('01_Inputs'!$B$14+'01_Inputs'!$B$15+'01_Inputs'!$B$16)+'01_Inputs'!$B$17+'01_Inputs'!$B$18),MOD((109*24/6+2)-'03_Capacity_Model'!$B$95,'03_Capacity_Model'!$B$96)&lt;((('01_Inputs'!$B$14+'01_Inputs'!$B$15+'01_Inputs'!$B$16)+'01_Inputs'!$B$17+'01_Inputs'!$B$18)+'01_Inputs'!$B$29*'01_Inputs'!$B$28))),4,0)</f>
        <v>0</v>
      </c>
      <c r="DI23" s="93">
        <f>IF(OR(AND(MOD((110*24/6+2)-0,'03_Capacity_Model'!$B$96)&gt;=(('01_Inputs'!$B$14+'01_Inputs'!$B$15+'01_Inputs'!$B$16)+'01_Inputs'!$B$17+'01_Inputs'!$B$18),MOD((110*24/6+2)-0,'03_Capacity_Model'!$B$96)&lt;((('01_Inputs'!$B$14+'01_Inputs'!$B$15+'01_Inputs'!$B$16)+'01_Inputs'!$B$17+'01_Inputs'!$B$18)+'01_Inputs'!$B$29*'01_Inputs'!$B$28)),AND(MOD((110*24/6+2)-'03_Capacity_Model'!$B$95,'03_Capacity_Model'!$B$96)&gt;=(('01_Inputs'!$B$14+'01_Inputs'!$B$15+'01_Inputs'!$B$16)+'01_Inputs'!$B$17+'01_Inputs'!$B$18),MOD((110*24/6+2)-'03_Capacity_Model'!$B$95,'03_Capacity_Model'!$B$96)&lt;((('01_Inputs'!$B$14+'01_Inputs'!$B$15+'01_Inputs'!$B$16)+'01_Inputs'!$B$17+'01_Inputs'!$B$18)+'01_Inputs'!$B$29*'01_Inputs'!$B$28))),4,0)</f>
        <v>0</v>
      </c>
      <c r="DJ23" s="93">
        <f>IF(OR(AND(MOD((111*24/6+2)-0,'03_Capacity_Model'!$B$96)&gt;=(('01_Inputs'!$B$14+'01_Inputs'!$B$15+'01_Inputs'!$B$16)+'01_Inputs'!$B$17+'01_Inputs'!$B$18),MOD((111*24/6+2)-0,'03_Capacity_Model'!$B$96)&lt;((('01_Inputs'!$B$14+'01_Inputs'!$B$15+'01_Inputs'!$B$16)+'01_Inputs'!$B$17+'01_Inputs'!$B$18)+'01_Inputs'!$B$29*'01_Inputs'!$B$28)),AND(MOD((111*24/6+2)-'03_Capacity_Model'!$B$95,'03_Capacity_Model'!$B$96)&gt;=(('01_Inputs'!$B$14+'01_Inputs'!$B$15+'01_Inputs'!$B$16)+'01_Inputs'!$B$17+'01_Inputs'!$B$18),MOD((111*24/6+2)-'03_Capacity_Model'!$B$95,'03_Capacity_Model'!$B$96)&lt;((('01_Inputs'!$B$14+'01_Inputs'!$B$15+'01_Inputs'!$B$16)+'01_Inputs'!$B$17+'01_Inputs'!$B$18)+'01_Inputs'!$B$29*'01_Inputs'!$B$28))),4,0)</f>
        <v>0</v>
      </c>
      <c r="DK23" s="93">
        <f>IF(OR(AND(MOD((112*24/6+2)-0,'03_Capacity_Model'!$B$96)&gt;=(('01_Inputs'!$B$14+'01_Inputs'!$B$15+'01_Inputs'!$B$16)+'01_Inputs'!$B$17+'01_Inputs'!$B$18),MOD((112*24/6+2)-0,'03_Capacity_Model'!$B$96)&lt;((('01_Inputs'!$B$14+'01_Inputs'!$B$15+'01_Inputs'!$B$16)+'01_Inputs'!$B$17+'01_Inputs'!$B$18)+'01_Inputs'!$B$29*'01_Inputs'!$B$28)),AND(MOD((112*24/6+2)-'03_Capacity_Model'!$B$95,'03_Capacity_Model'!$B$96)&gt;=(('01_Inputs'!$B$14+'01_Inputs'!$B$15+'01_Inputs'!$B$16)+'01_Inputs'!$B$17+'01_Inputs'!$B$18),MOD((112*24/6+2)-'03_Capacity_Model'!$B$95,'03_Capacity_Model'!$B$96)&lt;((('01_Inputs'!$B$14+'01_Inputs'!$B$15+'01_Inputs'!$B$16)+'01_Inputs'!$B$17+'01_Inputs'!$B$18)+'01_Inputs'!$B$29*'01_Inputs'!$B$28))),4,0)</f>
        <v>0</v>
      </c>
      <c r="DL23" s="93">
        <f>IF(OR(AND(MOD((113*24/6+2)-0,'03_Capacity_Model'!$B$96)&gt;=(('01_Inputs'!$B$14+'01_Inputs'!$B$15+'01_Inputs'!$B$16)+'01_Inputs'!$B$17+'01_Inputs'!$B$18),MOD((113*24/6+2)-0,'03_Capacity_Model'!$B$96)&lt;((('01_Inputs'!$B$14+'01_Inputs'!$B$15+'01_Inputs'!$B$16)+'01_Inputs'!$B$17+'01_Inputs'!$B$18)+'01_Inputs'!$B$29*'01_Inputs'!$B$28)),AND(MOD((113*24/6+2)-'03_Capacity_Model'!$B$95,'03_Capacity_Model'!$B$96)&gt;=(('01_Inputs'!$B$14+'01_Inputs'!$B$15+'01_Inputs'!$B$16)+'01_Inputs'!$B$17+'01_Inputs'!$B$18),MOD((113*24/6+2)-'03_Capacity_Model'!$B$95,'03_Capacity_Model'!$B$96)&lt;((('01_Inputs'!$B$14+'01_Inputs'!$B$15+'01_Inputs'!$B$16)+'01_Inputs'!$B$17+'01_Inputs'!$B$18)+'01_Inputs'!$B$29*'01_Inputs'!$B$28))),4,0)</f>
        <v>0</v>
      </c>
      <c r="DM23" s="93">
        <f>IF(OR(AND(MOD((114*24/6+2)-0,'03_Capacity_Model'!$B$96)&gt;=(('01_Inputs'!$B$14+'01_Inputs'!$B$15+'01_Inputs'!$B$16)+'01_Inputs'!$B$17+'01_Inputs'!$B$18),MOD((114*24/6+2)-0,'03_Capacity_Model'!$B$96)&lt;((('01_Inputs'!$B$14+'01_Inputs'!$B$15+'01_Inputs'!$B$16)+'01_Inputs'!$B$17+'01_Inputs'!$B$18)+'01_Inputs'!$B$29*'01_Inputs'!$B$28)),AND(MOD((114*24/6+2)-'03_Capacity_Model'!$B$95,'03_Capacity_Model'!$B$96)&gt;=(('01_Inputs'!$B$14+'01_Inputs'!$B$15+'01_Inputs'!$B$16)+'01_Inputs'!$B$17+'01_Inputs'!$B$18),MOD((114*24/6+2)-'03_Capacity_Model'!$B$95,'03_Capacity_Model'!$B$96)&lt;((('01_Inputs'!$B$14+'01_Inputs'!$B$15+'01_Inputs'!$B$16)+'01_Inputs'!$B$17+'01_Inputs'!$B$18)+'01_Inputs'!$B$29*'01_Inputs'!$B$28))),4,0)</f>
        <v>4</v>
      </c>
      <c r="DN23" s="93">
        <f>IF(OR(AND(MOD((115*24/6+2)-0,'03_Capacity_Model'!$B$96)&gt;=(('01_Inputs'!$B$14+'01_Inputs'!$B$15+'01_Inputs'!$B$16)+'01_Inputs'!$B$17+'01_Inputs'!$B$18),MOD((115*24/6+2)-0,'03_Capacity_Model'!$B$96)&lt;((('01_Inputs'!$B$14+'01_Inputs'!$B$15+'01_Inputs'!$B$16)+'01_Inputs'!$B$17+'01_Inputs'!$B$18)+'01_Inputs'!$B$29*'01_Inputs'!$B$28)),AND(MOD((115*24/6+2)-'03_Capacity_Model'!$B$95,'03_Capacity_Model'!$B$96)&gt;=(('01_Inputs'!$B$14+'01_Inputs'!$B$15+'01_Inputs'!$B$16)+'01_Inputs'!$B$17+'01_Inputs'!$B$18),MOD((115*24/6+2)-'03_Capacity_Model'!$B$95,'03_Capacity_Model'!$B$96)&lt;((('01_Inputs'!$B$14+'01_Inputs'!$B$15+'01_Inputs'!$B$16)+'01_Inputs'!$B$17+'01_Inputs'!$B$18)+'01_Inputs'!$B$29*'01_Inputs'!$B$28))),4,0)</f>
        <v>4</v>
      </c>
      <c r="DO23" s="93">
        <f>IF(OR(AND(MOD((116*24/6+2)-0,'03_Capacity_Model'!$B$96)&gt;=(('01_Inputs'!$B$14+'01_Inputs'!$B$15+'01_Inputs'!$B$16)+'01_Inputs'!$B$17+'01_Inputs'!$B$18),MOD((116*24/6+2)-0,'03_Capacity_Model'!$B$96)&lt;((('01_Inputs'!$B$14+'01_Inputs'!$B$15+'01_Inputs'!$B$16)+'01_Inputs'!$B$17+'01_Inputs'!$B$18)+'01_Inputs'!$B$29*'01_Inputs'!$B$28)),AND(MOD((116*24/6+2)-'03_Capacity_Model'!$B$95,'03_Capacity_Model'!$B$96)&gt;=(('01_Inputs'!$B$14+'01_Inputs'!$B$15+'01_Inputs'!$B$16)+'01_Inputs'!$B$17+'01_Inputs'!$B$18),MOD((116*24/6+2)-'03_Capacity_Model'!$B$95,'03_Capacity_Model'!$B$96)&lt;((('01_Inputs'!$B$14+'01_Inputs'!$B$15+'01_Inputs'!$B$16)+'01_Inputs'!$B$17+'01_Inputs'!$B$18)+'01_Inputs'!$B$29*'01_Inputs'!$B$28))),4,0)</f>
        <v>0</v>
      </c>
      <c r="DP23" s="93">
        <f>IF(OR(AND(MOD((117*24/6+2)-0,'03_Capacity_Model'!$B$96)&gt;=(('01_Inputs'!$B$14+'01_Inputs'!$B$15+'01_Inputs'!$B$16)+'01_Inputs'!$B$17+'01_Inputs'!$B$18),MOD((117*24/6+2)-0,'03_Capacity_Model'!$B$96)&lt;((('01_Inputs'!$B$14+'01_Inputs'!$B$15+'01_Inputs'!$B$16)+'01_Inputs'!$B$17+'01_Inputs'!$B$18)+'01_Inputs'!$B$29*'01_Inputs'!$B$28)),AND(MOD((117*24/6+2)-'03_Capacity_Model'!$B$95,'03_Capacity_Model'!$B$96)&gt;=(('01_Inputs'!$B$14+'01_Inputs'!$B$15+'01_Inputs'!$B$16)+'01_Inputs'!$B$17+'01_Inputs'!$B$18),MOD((117*24/6+2)-'03_Capacity_Model'!$B$95,'03_Capacity_Model'!$B$96)&lt;((('01_Inputs'!$B$14+'01_Inputs'!$B$15+'01_Inputs'!$B$16)+'01_Inputs'!$B$17+'01_Inputs'!$B$18)+'01_Inputs'!$B$29*'01_Inputs'!$B$28))),4,0)</f>
        <v>0</v>
      </c>
      <c r="DQ23" s="93">
        <f>IF(OR(AND(MOD((118*24/6+2)-0,'03_Capacity_Model'!$B$96)&gt;=(('01_Inputs'!$B$14+'01_Inputs'!$B$15+'01_Inputs'!$B$16)+'01_Inputs'!$B$17+'01_Inputs'!$B$18),MOD((118*24/6+2)-0,'03_Capacity_Model'!$B$96)&lt;((('01_Inputs'!$B$14+'01_Inputs'!$B$15+'01_Inputs'!$B$16)+'01_Inputs'!$B$17+'01_Inputs'!$B$18)+'01_Inputs'!$B$29*'01_Inputs'!$B$28)),AND(MOD((118*24/6+2)-'03_Capacity_Model'!$B$95,'03_Capacity_Model'!$B$96)&gt;=(('01_Inputs'!$B$14+'01_Inputs'!$B$15+'01_Inputs'!$B$16)+'01_Inputs'!$B$17+'01_Inputs'!$B$18),MOD((118*24/6+2)-'03_Capacity_Model'!$B$95,'03_Capacity_Model'!$B$96)&lt;((('01_Inputs'!$B$14+'01_Inputs'!$B$15+'01_Inputs'!$B$16)+'01_Inputs'!$B$17+'01_Inputs'!$B$18)+'01_Inputs'!$B$29*'01_Inputs'!$B$28))),4,0)</f>
        <v>0</v>
      </c>
      <c r="DR23" s="93">
        <f>IF(OR(AND(MOD((119*24/6+2)-0,'03_Capacity_Model'!$B$96)&gt;=(('01_Inputs'!$B$14+'01_Inputs'!$B$15+'01_Inputs'!$B$16)+'01_Inputs'!$B$17+'01_Inputs'!$B$18),MOD((119*24/6+2)-0,'03_Capacity_Model'!$B$96)&lt;((('01_Inputs'!$B$14+'01_Inputs'!$B$15+'01_Inputs'!$B$16)+'01_Inputs'!$B$17+'01_Inputs'!$B$18)+'01_Inputs'!$B$29*'01_Inputs'!$B$28)),AND(MOD((119*24/6+2)-'03_Capacity_Model'!$B$95,'03_Capacity_Model'!$B$96)&gt;=(('01_Inputs'!$B$14+'01_Inputs'!$B$15+'01_Inputs'!$B$16)+'01_Inputs'!$B$17+'01_Inputs'!$B$18),MOD((119*24/6+2)-'03_Capacity_Model'!$B$95,'03_Capacity_Model'!$B$96)&lt;((('01_Inputs'!$B$14+'01_Inputs'!$B$15+'01_Inputs'!$B$16)+'01_Inputs'!$B$17+'01_Inputs'!$B$18)+'01_Inputs'!$B$29*'01_Inputs'!$B$28))),4,0)</f>
        <v>0</v>
      </c>
      <c r="DS23" s="93">
        <f>IF(OR(AND(MOD((120*24/6+2)-0,'03_Capacity_Model'!$B$96)&gt;=(('01_Inputs'!$B$14+'01_Inputs'!$B$15+'01_Inputs'!$B$16)+'01_Inputs'!$B$17+'01_Inputs'!$B$18),MOD((120*24/6+2)-0,'03_Capacity_Model'!$B$96)&lt;((('01_Inputs'!$B$14+'01_Inputs'!$B$15+'01_Inputs'!$B$16)+'01_Inputs'!$B$17+'01_Inputs'!$B$18)+'01_Inputs'!$B$29*'01_Inputs'!$B$28)),AND(MOD((120*24/6+2)-'03_Capacity_Model'!$B$95,'03_Capacity_Model'!$B$96)&gt;=(('01_Inputs'!$B$14+'01_Inputs'!$B$15+'01_Inputs'!$B$16)+'01_Inputs'!$B$17+'01_Inputs'!$B$18),MOD((120*24/6+2)-'03_Capacity_Model'!$B$95,'03_Capacity_Model'!$B$96)&lt;((('01_Inputs'!$B$14+'01_Inputs'!$B$15+'01_Inputs'!$B$16)+'01_Inputs'!$B$17+'01_Inputs'!$B$18)+'01_Inputs'!$B$29*'01_Inputs'!$B$28))),4,0)</f>
        <v>0</v>
      </c>
      <c r="DT23" s="93">
        <f>IF(OR(AND(MOD((121*24/6+2)-0,'03_Capacity_Model'!$B$96)&gt;=(('01_Inputs'!$B$14+'01_Inputs'!$B$15+'01_Inputs'!$B$16)+'01_Inputs'!$B$17+'01_Inputs'!$B$18),MOD((121*24/6+2)-0,'03_Capacity_Model'!$B$96)&lt;((('01_Inputs'!$B$14+'01_Inputs'!$B$15+'01_Inputs'!$B$16)+'01_Inputs'!$B$17+'01_Inputs'!$B$18)+'01_Inputs'!$B$29*'01_Inputs'!$B$28)),AND(MOD((121*24/6+2)-'03_Capacity_Model'!$B$95,'03_Capacity_Model'!$B$96)&gt;=(('01_Inputs'!$B$14+'01_Inputs'!$B$15+'01_Inputs'!$B$16)+'01_Inputs'!$B$17+'01_Inputs'!$B$18),MOD((121*24/6+2)-'03_Capacity_Model'!$B$95,'03_Capacity_Model'!$B$96)&lt;((('01_Inputs'!$B$14+'01_Inputs'!$B$15+'01_Inputs'!$B$16)+'01_Inputs'!$B$17+'01_Inputs'!$B$18)+'01_Inputs'!$B$29*'01_Inputs'!$B$28))),4,0)</f>
        <v>4</v>
      </c>
      <c r="DU23" s="93">
        <f>IF(OR(AND(MOD((122*24/6+2)-0,'03_Capacity_Model'!$B$96)&gt;=(('01_Inputs'!$B$14+'01_Inputs'!$B$15+'01_Inputs'!$B$16)+'01_Inputs'!$B$17+'01_Inputs'!$B$18),MOD((122*24/6+2)-0,'03_Capacity_Model'!$B$96)&lt;((('01_Inputs'!$B$14+'01_Inputs'!$B$15+'01_Inputs'!$B$16)+'01_Inputs'!$B$17+'01_Inputs'!$B$18)+'01_Inputs'!$B$29*'01_Inputs'!$B$28)),AND(MOD((122*24/6+2)-'03_Capacity_Model'!$B$95,'03_Capacity_Model'!$B$96)&gt;=(('01_Inputs'!$B$14+'01_Inputs'!$B$15+'01_Inputs'!$B$16)+'01_Inputs'!$B$17+'01_Inputs'!$B$18),MOD((122*24/6+2)-'03_Capacity_Model'!$B$95,'03_Capacity_Model'!$B$96)&lt;((('01_Inputs'!$B$14+'01_Inputs'!$B$15+'01_Inputs'!$B$16)+'01_Inputs'!$B$17+'01_Inputs'!$B$18)+'01_Inputs'!$B$29*'01_Inputs'!$B$28))),4,0)</f>
        <v>4</v>
      </c>
      <c r="DV23" s="93">
        <f>IF(OR(AND(MOD((123*24/6+2)-0,'03_Capacity_Model'!$B$96)&gt;=(('01_Inputs'!$B$14+'01_Inputs'!$B$15+'01_Inputs'!$B$16)+'01_Inputs'!$B$17+'01_Inputs'!$B$18),MOD((123*24/6+2)-0,'03_Capacity_Model'!$B$96)&lt;((('01_Inputs'!$B$14+'01_Inputs'!$B$15+'01_Inputs'!$B$16)+'01_Inputs'!$B$17+'01_Inputs'!$B$18)+'01_Inputs'!$B$29*'01_Inputs'!$B$28)),AND(MOD((123*24/6+2)-'03_Capacity_Model'!$B$95,'03_Capacity_Model'!$B$96)&gt;=(('01_Inputs'!$B$14+'01_Inputs'!$B$15+'01_Inputs'!$B$16)+'01_Inputs'!$B$17+'01_Inputs'!$B$18),MOD((123*24/6+2)-'03_Capacity_Model'!$B$95,'03_Capacity_Model'!$B$96)&lt;((('01_Inputs'!$B$14+'01_Inputs'!$B$15+'01_Inputs'!$B$16)+'01_Inputs'!$B$17+'01_Inputs'!$B$18)+'01_Inputs'!$B$29*'01_Inputs'!$B$28))),4,0)</f>
        <v>4</v>
      </c>
      <c r="DW23" s="93">
        <f>IF(OR(AND(MOD((124*24/6+2)-0,'03_Capacity_Model'!$B$96)&gt;=(('01_Inputs'!$B$14+'01_Inputs'!$B$15+'01_Inputs'!$B$16)+'01_Inputs'!$B$17+'01_Inputs'!$B$18),MOD((124*24/6+2)-0,'03_Capacity_Model'!$B$96)&lt;((('01_Inputs'!$B$14+'01_Inputs'!$B$15+'01_Inputs'!$B$16)+'01_Inputs'!$B$17+'01_Inputs'!$B$18)+'01_Inputs'!$B$29*'01_Inputs'!$B$28)),AND(MOD((124*24/6+2)-'03_Capacity_Model'!$B$95,'03_Capacity_Model'!$B$96)&gt;=(('01_Inputs'!$B$14+'01_Inputs'!$B$15+'01_Inputs'!$B$16)+'01_Inputs'!$B$17+'01_Inputs'!$B$18),MOD((124*24/6+2)-'03_Capacity_Model'!$B$95,'03_Capacity_Model'!$B$96)&lt;((('01_Inputs'!$B$14+'01_Inputs'!$B$15+'01_Inputs'!$B$16)+'01_Inputs'!$B$17+'01_Inputs'!$B$18)+'01_Inputs'!$B$29*'01_Inputs'!$B$28))),4,0)</f>
        <v>0</v>
      </c>
      <c r="DX23" s="93">
        <f>IF(OR(AND(MOD((125*24/6+2)-0,'03_Capacity_Model'!$B$96)&gt;=(('01_Inputs'!$B$14+'01_Inputs'!$B$15+'01_Inputs'!$B$16)+'01_Inputs'!$B$17+'01_Inputs'!$B$18),MOD((125*24/6+2)-0,'03_Capacity_Model'!$B$96)&lt;((('01_Inputs'!$B$14+'01_Inputs'!$B$15+'01_Inputs'!$B$16)+'01_Inputs'!$B$17+'01_Inputs'!$B$18)+'01_Inputs'!$B$29*'01_Inputs'!$B$28)),AND(MOD((125*24/6+2)-'03_Capacity_Model'!$B$95,'03_Capacity_Model'!$B$96)&gt;=(('01_Inputs'!$B$14+'01_Inputs'!$B$15+'01_Inputs'!$B$16)+'01_Inputs'!$B$17+'01_Inputs'!$B$18),MOD((125*24/6+2)-'03_Capacity_Model'!$B$95,'03_Capacity_Model'!$B$96)&lt;((('01_Inputs'!$B$14+'01_Inputs'!$B$15+'01_Inputs'!$B$16)+'01_Inputs'!$B$17+'01_Inputs'!$B$18)+'01_Inputs'!$B$29*'01_Inputs'!$B$28))),4,0)</f>
        <v>0</v>
      </c>
      <c r="DY23" s="93">
        <f>IF(OR(AND(MOD((126*24/6+2)-0,'03_Capacity_Model'!$B$96)&gt;=(('01_Inputs'!$B$14+'01_Inputs'!$B$15+'01_Inputs'!$B$16)+'01_Inputs'!$B$17+'01_Inputs'!$B$18),MOD((126*24/6+2)-0,'03_Capacity_Model'!$B$96)&lt;((('01_Inputs'!$B$14+'01_Inputs'!$B$15+'01_Inputs'!$B$16)+'01_Inputs'!$B$17+'01_Inputs'!$B$18)+'01_Inputs'!$B$29*'01_Inputs'!$B$28)),AND(MOD((126*24/6+2)-'03_Capacity_Model'!$B$95,'03_Capacity_Model'!$B$96)&gt;=(('01_Inputs'!$B$14+'01_Inputs'!$B$15+'01_Inputs'!$B$16)+'01_Inputs'!$B$17+'01_Inputs'!$B$18),MOD((126*24/6+2)-'03_Capacity_Model'!$B$95,'03_Capacity_Model'!$B$96)&lt;((('01_Inputs'!$B$14+'01_Inputs'!$B$15+'01_Inputs'!$B$16)+'01_Inputs'!$B$17+'01_Inputs'!$B$18)+'01_Inputs'!$B$29*'01_Inputs'!$B$28))),4,0)</f>
        <v>0</v>
      </c>
      <c r="DZ23" s="93">
        <f>IF(OR(AND(MOD((127*24/6+2)-0,'03_Capacity_Model'!$B$96)&gt;=(('01_Inputs'!$B$14+'01_Inputs'!$B$15+'01_Inputs'!$B$16)+'01_Inputs'!$B$17+'01_Inputs'!$B$18),MOD((127*24/6+2)-0,'03_Capacity_Model'!$B$96)&lt;((('01_Inputs'!$B$14+'01_Inputs'!$B$15+'01_Inputs'!$B$16)+'01_Inputs'!$B$17+'01_Inputs'!$B$18)+'01_Inputs'!$B$29*'01_Inputs'!$B$28)),AND(MOD((127*24/6+2)-'03_Capacity_Model'!$B$95,'03_Capacity_Model'!$B$96)&gt;=(('01_Inputs'!$B$14+'01_Inputs'!$B$15+'01_Inputs'!$B$16)+'01_Inputs'!$B$17+'01_Inputs'!$B$18),MOD((127*24/6+2)-'03_Capacity_Model'!$B$95,'03_Capacity_Model'!$B$96)&lt;((('01_Inputs'!$B$14+'01_Inputs'!$B$15+'01_Inputs'!$B$16)+'01_Inputs'!$B$17+'01_Inputs'!$B$18)+'01_Inputs'!$B$29*'01_Inputs'!$B$28))),4,0)</f>
        <v>0</v>
      </c>
      <c r="EA23" s="93">
        <f>IF(OR(AND(MOD((128*24/6+2)-0,'03_Capacity_Model'!$B$96)&gt;=(('01_Inputs'!$B$14+'01_Inputs'!$B$15+'01_Inputs'!$B$16)+'01_Inputs'!$B$17+'01_Inputs'!$B$18),MOD((128*24/6+2)-0,'03_Capacity_Model'!$B$96)&lt;((('01_Inputs'!$B$14+'01_Inputs'!$B$15+'01_Inputs'!$B$16)+'01_Inputs'!$B$17+'01_Inputs'!$B$18)+'01_Inputs'!$B$29*'01_Inputs'!$B$28)),AND(MOD((128*24/6+2)-'03_Capacity_Model'!$B$95,'03_Capacity_Model'!$B$96)&gt;=(('01_Inputs'!$B$14+'01_Inputs'!$B$15+'01_Inputs'!$B$16)+'01_Inputs'!$B$17+'01_Inputs'!$B$18),MOD((128*24/6+2)-'03_Capacity_Model'!$B$95,'03_Capacity_Model'!$B$96)&lt;((('01_Inputs'!$B$14+'01_Inputs'!$B$15+'01_Inputs'!$B$16)+'01_Inputs'!$B$17+'01_Inputs'!$B$18)+'01_Inputs'!$B$29*'01_Inputs'!$B$28))),4,0)</f>
        <v>0</v>
      </c>
      <c r="EB23" s="93">
        <f>IF(OR(AND(MOD((129*24/6+2)-0,'03_Capacity_Model'!$B$96)&gt;=(('01_Inputs'!$B$14+'01_Inputs'!$B$15+'01_Inputs'!$B$16)+'01_Inputs'!$B$17+'01_Inputs'!$B$18),MOD((129*24/6+2)-0,'03_Capacity_Model'!$B$96)&lt;((('01_Inputs'!$B$14+'01_Inputs'!$B$15+'01_Inputs'!$B$16)+'01_Inputs'!$B$17+'01_Inputs'!$B$18)+'01_Inputs'!$B$29*'01_Inputs'!$B$28)),AND(MOD((129*24/6+2)-'03_Capacity_Model'!$B$95,'03_Capacity_Model'!$B$96)&gt;=(('01_Inputs'!$B$14+'01_Inputs'!$B$15+'01_Inputs'!$B$16)+'01_Inputs'!$B$17+'01_Inputs'!$B$18),MOD((129*24/6+2)-'03_Capacity_Model'!$B$95,'03_Capacity_Model'!$B$96)&lt;((('01_Inputs'!$B$14+'01_Inputs'!$B$15+'01_Inputs'!$B$16)+'01_Inputs'!$B$17+'01_Inputs'!$B$18)+'01_Inputs'!$B$29*'01_Inputs'!$B$28))),4,0)</f>
        <v>0</v>
      </c>
      <c r="EC23" s="93">
        <f>IF(OR(AND(MOD((130*24/6+2)-0,'03_Capacity_Model'!$B$96)&gt;=(('01_Inputs'!$B$14+'01_Inputs'!$B$15+'01_Inputs'!$B$16)+'01_Inputs'!$B$17+'01_Inputs'!$B$18),MOD((130*24/6+2)-0,'03_Capacity_Model'!$B$96)&lt;((('01_Inputs'!$B$14+'01_Inputs'!$B$15+'01_Inputs'!$B$16)+'01_Inputs'!$B$17+'01_Inputs'!$B$18)+'01_Inputs'!$B$29*'01_Inputs'!$B$28)),AND(MOD((130*24/6+2)-'03_Capacity_Model'!$B$95,'03_Capacity_Model'!$B$96)&gt;=(('01_Inputs'!$B$14+'01_Inputs'!$B$15+'01_Inputs'!$B$16)+'01_Inputs'!$B$17+'01_Inputs'!$B$18),MOD((130*24/6+2)-'03_Capacity_Model'!$B$95,'03_Capacity_Model'!$B$96)&lt;((('01_Inputs'!$B$14+'01_Inputs'!$B$15+'01_Inputs'!$B$16)+'01_Inputs'!$B$17+'01_Inputs'!$B$18)+'01_Inputs'!$B$29*'01_Inputs'!$B$28))),4,0)</f>
        <v>4</v>
      </c>
      <c r="ED23" s="93">
        <f>IF(OR(AND(MOD((131*24/6+2)-0,'03_Capacity_Model'!$B$96)&gt;=(('01_Inputs'!$B$14+'01_Inputs'!$B$15+'01_Inputs'!$B$16)+'01_Inputs'!$B$17+'01_Inputs'!$B$18),MOD((131*24/6+2)-0,'03_Capacity_Model'!$B$96)&lt;((('01_Inputs'!$B$14+'01_Inputs'!$B$15+'01_Inputs'!$B$16)+'01_Inputs'!$B$17+'01_Inputs'!$B$18)+'01_Inputs'!$B$29*'01_Inputs'!$B$28)),AND(MOD((131*24/6+2)-'03_Capacity_Model'!$B$95,'03_Capacity_Model'!$B$96)&gt;=(('01_Inputs'!$B$14+'01_Inputs'!$B$15+'01_Inputs'!$B$16)+'01_Inputs'!$B$17+'01_Inputs'!$B$18),MOD((131*24/6+2)-'03_Capacity_Model'!$B$95,'03_Capacity_Model'!$B$96)&lt;((('01_Inputs'!$B$14+'01_Inputs'!$B$15+'01_Inputs'!$B$16)+'01_Inputs'!$B$17+'01_Inputs'!$B$18)+'01_Inputs'!$B$29*'01_Inputs'!$B$28))),4,0)</f>
        <v>4</v>
      </c>
      <c r="EE23" s="93">
        <f>IF(OR(AND(MOD((132*24/6+2)-0,'03_Capacity_Model'!$B$96)&gt;=(('01_Inputs'!$B$14+'01_Inputs'!$B$15+'01_Inputs'!$B$16)+'01_Inputs'!$B$17+'01_Inputs'!$B$18),MOD((132*24/6+2)-0,'03_Capacity_Model'!$B$96)&lt;((('01_Inputs'!$B$14+'01_Inputs'!$B$15+'01_Inputs'!$B$16)+'01_Inputs'!$B$17+'01_Inputs'!$B$18)+'01_Inputs'!$B$29*'01_Inputs'!$B$28)),AND(MOD((132*24/6+2)-'03_Capacity_Model'!$B$95,'03_Capacity_Model'!$B$96)&gt;=(('01_Inputs'!$B$14+'01_Inputs'!$B$15+'01_Inputs'!$B$16)+'01_Inputs'!$B$17+'01_Inputs'!$B$18),MOD((132*24/6+2)-'03_Capacity_Model'!$B$95,'03_Capacity_Model'!$B$96)&lt;((('01_Inputs'!$B$14+'01_Inputs'!$B$15+'01_Inputs'!$B$16)+'01_Inputs'!$B$17+'01_Inputs'!$B$18)+'01_Inputs'!$B$29*'01_Inputs'!$B$28))),4,0)</f>
        <v>4</v>
      </c>
      <c r="EF23" s="93">
        <f>IF(OR(AND(MOD((133*24/6+2)-0,'03_Capacity_Model'!$B$96)&gt;=(('01_Inputs'!$B$14+'01_Inputs'!$B$15+'01_Inputs'!$B$16)+'01_Inputs'!$B$17+'01_Inputs'!$B$18),MOD((133*24/6+2)-0,'03_Capacity_Model'!$B$96)&lt;((('01_Inputs'!$B$14+'01_Inputs'!$B$15+'01_Inputs'!$B$16)+'01_Inputs'!$B$17+'01_Inputs'!$B$18)+'01_Inputs'!$B$29*'01_Inputs'!$B$28)),AND(MOD((133*24/6+2)-'03_Capacity_Model'!$B$95,'03_Capacity_Model'!$B$96)&gt;=(('01_Inputs'!$B$14+'01_Inputs'!$B$15+'01_Inputs'!$B$16)+'01_Inputs'!$B$17+'01_Inputs'!$B$18),MOD((133*24/6+2)-'03_Capacity_Model'!$B$95,'03_Capacity_Model'!$B$96)&lt;((('01_Inputs'!$B$14+'01_Inputs'!$B$15+'01_Inputs'!$B$16)+'01_Inputs'!$B$17+'01_Inputs'!$B$18)+'01_Inputs'!$B$29*'01_Inputs'!$B$28))),4,0)</f>
        <v>0</v>
      </c>
      <c r="EG23" s="93">
        <f>IF(OR(AND(MOD((134*24/6+2)-0,'03_Capacity_Model'!$B$96)&gt;=(('01_Inputs'!$B$14+'01_Inputs'!$B$15+'01_Inputs'!$B$16)+'01_Inputs'!$B$17+'01_Inputs'!$B$18),MOD((134*24/6+2)-0,'03_Capacity_Model'!$B$96)&lt;((('01_Inputs'!$B$14+'01_Inputs'!$B$15+'01_Inputs'!$B$16)+'01_Inputs'!$B$17+'01_Inputs'!$B$18)+'01_Inputs'!$B$29*'01_Inputs'!$B$28)),AND(MOD((134*24/6+2)-'03_Capacity_Model'!$B$95,'03_Capacity_Model'!$B$96)&gt;=(('01_Inputs'!$B$14+'01_Inputs'!$B$15+'01_Inputs'!$B$16)+'01_Inputs'!$B$17+'01_Inputs'!$B$18),MOD((134*24/6+2)-'03_Capacity_Model'!$B$95,'03_Capacity_Model'!$B$96)&lt;((('01_Inputs'!$B$14+'01_Inputs'!$B$15+'01_Inputs'!$B$16)+'01_Inputs'!$B$17+'01_Inputs'!$B$18)+'01_Inputs'!$B$29*'01_Inputs'!$B$28))),4,0)</f>
        <v>0</v>
      </c>
      <c r="EH23" s="93">
        <f>IF(OR(AND(MOD((135*24/6+2)-0,'03_Capacity_Model'!$B$96)&gt;=(('01_Inputs'!$B$14+'01_Inputs'!$B$15+'01_Inputs'!$B$16)+'01_Inputs'!$B$17+'01_Inputs'!$B$18),MOD((135*24/6+2)-0,'03_Capacity_Model'!$B$96)&lt;((('01_Inputs'!$B$14+'01_Inputs'!$B$15+'01_Inputs'!$B$16)+'01_Inputs'!$B$17+'01_Inputs'!$B$18)+'01_Inputs'!$B$29*'01_Inputs'!$B$28)),AND(MOD((135*24/6+2)-'03_Capacity_Model'!$B$95,'03_Capacity_Model'!$B$96)&gt;=(('01_Inputs'!$B$14+'01_Inputs'!$B$15+'01_Inputs'!$B$16)+'01_Inputs'!$B$17+'01_Inputs'!$B$18),MOD((135*24/6+2)-'03_Capacity_Model'!$B$95,'03_Capacity_Model'!$B$96)&lt;((('01_Inputs'!$B$14+'01_Inputs'!$B$15+'01_Inputs'!$B$16)+'01_Inputs'!$B$17+'01_Inputs'!$B$18)+'01_Inputs'!$B$29*'01_Inputs'!$B$28))),4,0)</f>
        <v>0</v>
      </c>
      <c r="EI23" s="93">
        <f>IF(OR(AND(MOD((136*24/6+2)-0,'03_Capacity_Model'!$B$96)&gt;=(('01_Inputs'!$B$14+'01_Inputs'!$B$15+'01_Inputs'!$B$16)+'01_Inputs'!$B$17+'01_Inputs'!$B$18),MOD((136*24/6+2)-0,'03_Capacity_Model'!$B$96)&lt;((('01_Inputs'!$B$14+'01_Inputs'!$B$15+'01_Inputs'!$B$16)+'01_Inputs'!$B$17+'01_Inputs'!$B$18)+'01_Inputs'!$B$29*'01_Inputs'!$B$28)),AND(MOD((136*24/6+2)-'03_Capacity_Model'!$B$95,'03_Capacity_Model'!$B$96)&gt;=(('01_Inputs'!$B$14+'01_Inputs'!$B$15+'01_Inputs'!$B$16)+'01_Inputs'!$B$17+'01_Inputs'!$B$18),MOD((136*24/6+2)-'03_Capacity_Model'!$B$95,'03_Capacity_Model'!$B$96)&lt;((('01_Inputs'!$B$14+'01_Inputs'!$B$15+'01_Inputs'!$B$16)+'01_Inputs'!$B$17+'01_Inputs'!$B$18)+'01_Inputs'!$B$29*'01_Inputs'!$B$28))),4,0)</f>
        <v>0</v>
      </c>
      <c r="EJ23" s="93">
        <f>IF(OR(AND(MOD((137*24/6+2)-0,'03_Capacity_Model'!$B$96)&gt;=(('01_Inputs'!$B$14+'01_Inputs'!$B$15+'01_Inputs'!$B$16)+'01_Inputs'!$B$17+'01_Inputs'!$B$18),MOD((137*24/6+2)-0,'03_Capacity_Model'!$B$96)&lt;((('01_Inputs'!$B$14+'01_Inputs'!$B$15+'01_Inputs'!$B$16)+'01_Inputs'!$B$17+'01_Inputs'!$B$18)+'01_Inputs'!$B$29*'01_Inputs'!$B$28)),AND(MOD((137*24/6+2)-'03_Capacity_Model'!$B$95,'03_Capacity_Model'!$B$96)&gt;=(('01_Inputs'!$B$14+'01_Inputs'!$B$15+'01_Inputs'!$B$16)+'01_Inputs'!$B$17+'01_Inputs'!$B$18),MOD((137*24/6+2)-'03_Capacity_Model'!$B$95,'03_Capacity_Model'!$B$96)&lt;((('01_Inputs'!$B$14+'01_Inputs'!$B$15+'01_Inputs'!$B$16)+'01_Inputs'!$B$17+'01_Inputs'!$B$18)+'01_Inputs'!$B$29*'01_Inputs'!$B$28))),4,0)</f>
        <v>0</v>
      </c>
      <c r="EK23" s="93">
        <f>IF(OR(AND(MOD((138*24/6+2)-0,'03_Capacity_Model'!$B$96)&gt;=(('01_Inputs'!$B$14+'01_Inputs'!$B$15+'01_Inputs'!$B$16)+'01_Inputs'!$B$17+'01_Inputs'!$B$18),MOD((138*24/6+2)-0,'03_Capacity_Model'!$B$96)&lt;((('01_Inputs'!$B$14+'01_Inputs'!$B$15+'01_Inputs'!$B$16)+'01_Inputs'!$B$17+'01_Inputs'!$B$18)+'01_Inputs'!$B$29*'01_Inputs'!$B$28)),AND(MOD((138*24/6+2)-'03_Capacity_Model'!$B$95,'03_Capacity_Model'!$B$96)&gt;=(('01_Inputs'!$B$14+'01_Inputs'!$B$15+'01_Inputs'!$B$16)+'01_Inputs'!$B$17+'01_Inputs'!$B$18),MOD((138*24/6+2)-'03_Capacity_Model'!$B$95,'03_Capacity_Model'!$B$96)&lt;((('01_Inputs'!$B$14+'01_Inputs'!$B$15+'01_Inputs'!$B$16)+'01_Inputs'!$B$17+'01_Inputs'!$B$18)+'01_Inputs'!$B$29*'01_Inputs'!$B$28))),4,0)</f>
        <v>4</v>
      </c>
      <c r="EL23" s="93">
        <f>IF(OR(AND(MOD((139*24/6+2)-0,'03_Capacity_Model'!$B$96)&gt;=(('01_Inputs'!$B$14+'01_Inputs'!$B$15+'01_Inputs'!$B$16)+'01_Inputs'!$B$17+'01_Inputs'!$B$18),MOD((139*24/6+2)-0,'03_Capacity_Model'!$B$96)&lt;((('01_Inputs'!$B$14+'01_Inputs'!$B$15+'01_Inputs'!$B$16)+'01_Inputs'!$B$17+'01_Inputs'!$B$18)+'01_Inputs'!$B$29*'01_Inputs'!$B$28)),AND(MOD((139*24/6+2)-'03_Capacity_Model'!$B$95,'03_Capacity_Model'!$B$96)&gt;=(('01_Inputs'!$B$14+'01_Inputs'!$B$15+'01_Inputs'!$B$16)+'01_Inputs'!$B$17+'01_Inputs'!$B$18),MOD((139*24/6+2)-'03_Capacity_Model'!$B$95,'03_Capacity_Model'!$B$96)&lt;((('01_Inputs'!$B$14+'01_Inputs'!$B$15+'01_Inputs'!$B$16)+'01_Inputs'!$B$17+'01_Inputs'!$B$18)+'01_Inputs'!$B$29*'01_Inputs'!$B$28))),4,0)</f>
        <v>4</v>
      </c>
      <c r="EM23" s="93">
        <f>IF(OR(AND(MOD((140*24/6+2)-0,'03_Capacity_Model'!$B$96)&gt;=(('01_Inputs'!$B$14+'01_Inputs'!$B$15+'01_Inputs'!$B$16)+'01_Inputs'!$B$17+'01_Inputs'!$B$18),MOD((140*24/6+2)-0,'03_Capacity_Model'!$B$96)&lt;((('01_Inputs'!$B$14+'01_Inputs'!$B$15+'01_Inputs'!$B$16)+'01_Inputs'!$B$17+'01_Inputs'!$B$18)+'01_Inputs'!$B$29*'01_Inputs'!$B$28)),AND(MOD((140*24/6+2)-'03_Capacity_Model'!$B$95,'03_Capacity_Model'!$B$96)&gt;=(('01_Inputs'!$B$14+'01_Inputs'!$B$15+'01_Inputs'!$B$16)+'01_Inputs'!$B$17+'01_Inputs'!$B$18),MOD((140*24/6+2)-'03_Capacity_Model'!$B$95,'03_Capacity_Model'!$B$96)&lt;((('01_Inputs'!$B$14+'01_Inputs'!$B$15+'01_Inputs'!$B$16)+'01_Inputs'!$B$17+'01_Inputs'!$B$18)+'01_Inputs'!$B$29*'01_Inputs'!$B$28))),4,0)</f>
        <v>0</v>
      </c>
      <c r="EN23" s="93">
        <f>IF(OR(AND(MOD((141*24/6+2)-0,'03_Capacity_Model'!$B$96)&gt;=(('01_Inputs'!$B$14+'01_Inputs'!$B$15+'01_Inputs'!$B$16)+'01_Inputs'!$B$17+'01_Inputs'!$B$18),MOD((141*24/6+2)-0,'03_Capacity_Model'!$B$96)&lt;((('01_Inputs'!$B$14+'01_Inputs'!$B$15+'01_Inputs'!$B$16)+'01_Inputs'!$B$17+'01_Inputs'!$B$18)+'01_Inputs'!$B$29*'01_Inputs'!$B$28)),AND(MOD((141*24/6+2)-'03_Capacity_Model'!$B$95,'03_Capacity_Model'!$B$96)&gt;=(('01_Inputs'!$B$14+'01_Inputs'!$B$15+'01_Inputs'!$B$16)+'01_Inputs'!$B$17+'01_Inputs'!$B$18),MOD((141*24/6+2)-'03_Capacity_Model'!$B$95,'03_Capacity_Model'!$B$96)&lt;((('01_Inputs'!$B$14+'01_Inputs'!$B$15+'01_Inputs'!$B$16)+'01_Inputs'!$B$17+'01_Inputs'!$B$18)+'01_Inputs'!$B$29*'01_Inputs'!$B$28))),4,0)</f>
        <v>0</v>
      </c>
      <c r="EO23" s="93">
        <f>IF(OR(AND(MOD((142*24/6+2)-0,'03_Capacity_Model'!$B$96)&gt;=(('01_Inputs'!$B$14+'01_Inputs'!$B$15+'01_Inputs'!$B$16)+'01_Inputs'!$B$17+'01_Inputs'!$B$18),MOD((142*24/6+2)-0,'03_Capacity_Model'!$B$96)&lt;((('01_Inputs'!$B$14+'01_Inputs'!$B$15+'01_Inputs'!$B$16)+'01_Inputs'!$B$17+'01_Inputs'!$B$18)+'01_Inputs'!$B$29*'01_Inputs'!$B$28)),AND(MOD((142*24/6+2)-'03_Capacity_Model'!$B$95,'03_Capacity_Model'!$B$96)&gt;=(('01_Inputs'!$B$14+'01_Inputs'!$B$15+'01_Inputs'!$B$16)+'01_Inputs'!$B$17+'01_Inputs'!$B$18),MOD((142*24/6+2)-'03_Capacity_Model'!$B$95,'03_Capacity_Model'!$B$96)&lt;((('01_Inputs'!$B$14+'01_Inputs'!$B$15+'01_Inputs'!$B$16)+'01_Inputs'!$B$17+'01_Inputs'!$B$18)+'01_Inputs'!$B$29*'01_Inputs'!$B$28))),4,0)</f>
        <v>0</v>
      </c>
      <c r="EP23" s="93">
        <f>IF(OR(AND(MOD((143*24/6+2)-0,'03_Capacity_Model'!$B$96)&gt;=(('01_Inputs'!$B$14+'01_Inputs'!$B$15+'01_Inputs'!$B$16)+'01_Inputs'!$B$17+'01_Inputs'!$B$18),MOD((143*24/6+2)-0,'03_Capacity_Model'!$B$96)&lt;((('01_Inputs'!$B$14+'01_Inputs'!$B$15+'01_Inputs'!$B$16)+'01_Inputs'!$B$17+'01_Inputs'!$B$18)+'01_Inputs'!$B$29*'01_Inputs'!$B$28)),AND(MOD((143*24/6+2)-'03_Capacity_Model'!$B$95,'03_Capacity_Model'!$B$96)&gt;=(('01_Inputs'!$B$14+'01_Inputs'!$B$15+'01_Inputs'!$B$16)+'01_Inputs'!$B$17+'01_Inputs'!$B$18),MOD((143*24/6+2)-'03_Capacity_Model'!$B$95,'03_Capacity_Model'!$B$96)&lt;((('01_Inputs'!$B$14+'01_Inputs'!$B$15+'01_Inputs'!$B$16)+'01_Inputs'!$B$17+'01_Inputs'!$B$18)+'01_Inputs'!$B$29*'01_Inputs'!$B$28))),4,0)</f>
        <v>0</v>
      </c>
      <c r="EQ23" s="93">
        <f>IF(OR(AND(MOD((144*24/6+2)-0,'03_Capacity_Model'!$B$96)&gt;=(('01_Inputs'!$B$14+'01_Inputs'!$B$15+'01_Inputs'!$B$16)+'01_Inputs'!$B$17+'01_Inputs'!$B$18),MOD((144*24/6+2)-0,'03_Capacity_Model'!$B$96)&lt;((('01_Inputs'!$B$14+'01_Inputs'!$B$15+'01_Inputs'!$B$16)+'01_Inputs'!$B$17+'01_Inputs'!$B$18)+'01_Inputs'!$B$29*'01_Inputs'!$B$28)),AND(MOD((144*24/6+2)-'03_Capacity_Model'!$B$95,'03_Capacity_Model'!$B$96)&gt;=(('01_Inputs'!$B$14+'01_Inputs'!$B$15+'01_Inputs'!$B$16)+'01_Inputs'!$B$17+'01_Inputs'!$B$18),MOD((144*24/6+2)-'03_Capacity_Model'!$B$95,'03_Capacity_Model'!$B$96)&lt;((('01_Inputs'!$B$14+'01_Inputs'!$B$15+'01_Inputs'!$B$16)+'01_Inputs'!$B$17+'01_Inputs'!$B$18)+'01_Inputs'!$B$29*'01_Inputs'!$B$28))),4,0)</f>
        <v>0</v>
      </c>
      <c r="ER23" s="93">
        <f>IF(OR(AND(MOD((145*24/6+2)-0,'03_Capacity_Model'!$B$96)&gt;=(('01_Inputs'!$B$14+'01_Inputs'!$B$15+'01_Inputs'!$B$16)+'01_Inputs'!$B$17+'01_Inputs'!$B$18),MOD((145*24/6+2)-0,'03_Capacity_Model'!$B$96)&lt;((('01_Inputs'!$B$14+'01_Inputs'!$B$15+'01_Inputs'!$B$16)+'01_Inputs'!$B$17+'01_Inputs'!$B$18)+'01_Inputs'!$B$29*'01_Inputs'!$B$28)),AND(MOD((145*24/6+2)-'03_Capacity_Model'!$B$95,'03_Capacity_Model'!$B$96)&gt;=(('01_Inputs'!$B$14+'01_Inputs'!$B$15+'01_Inputs'!$B$16)+'01_Inputs'!$B$17+'01_Inputs'!$B$18),MOD((145*24/6+2)-'03_Capacity_Model'!$B$95,'03_Capacity_Model'!$B$96)&lt;((('01_Inputs'!$B$14+'01_Inputs'!$B$15+'01_Inputs'!$B$16)+'01_Inputs'!$B$17+'01_Inputs'!$B$18)+'01_Inputs'!$B$29*'01_Inputs'!$B$28))),4,0)</f>
        <v>0</v>
      </c>
      <c r="ES23" s="93">
        <f>IF(OR(AND(MOD((146*24/6+2)-0,'03_Capacity_Model'!$B$96)&gt;=(('01_Inputs'!$B$14+'01_Inputs'!$B$15+'01_Inputs'!$B$16)+'01_Inputs'!$B$17+'01_Inputs'!$B$18),MOD((146*24/6+2)-0,'03_Capacity_Model'!$B$96)&lt;((('01_Inputs'!$B$14+'01_Inputs'!$B$15+'01_Inputs'!$B$16)+'01_Inputs'!$B$17+'01_Inputs'!$B$18)+'01_Inputs'!$B$29*'01_Inputs'!$B$28)),AND(MOD((146*24/6+2)-'03_Capacity_Model'!$B$95,'03_Capacity_Model'!$B$96)&gt;=(('01_Inputs'!$B$14+'01_Inputs'!$B$15+'01_Inputs'!$B$16)+'01_Inputs'!$B$17+'01_Inputs'!$B$18),MOD((146*24/6+2)-'03_Capacity_Model'!$B$95,'03_Capacity_Model'!$B$96)&lt;((('01_Inputs'!$B$14+'01_Inputs'!$B$15+'01_Inputs'!$B$16)+'01_Inputs'!$B$17+'01_Inputs'!$B$18)+'01_Inputs'!$B$29*'01_Inputs'!$B$28))),4,0)</f>
        <v>0</v>
      </c>
      <c r="ET23" s="93">
        <f>IF(OR(AND(MOD((147*24/6+2)-0,'03_Capacity_Model'!$B$96)&gt;=(('01_Inputs'!$B$14+'01_Inputs'!$B$15+'01_Inputs'!$B$16)+'01_Inputs'!$B$17+'01_Inputs'!$B$18),MOD((147*24/6+2)-0,'03_Capacity_Model'!$B$96)&lt;((('01_Inputs'!$B$14+'01_Inputs'!$B$15+'01_Inputs'!$B$16)+'01_Inputs'!$B$17+'01_Inputs'!$B$18)+'01_Inputs'!$B$29*'01_Inputs'!$B$28)),AND(MOD((147*24/6+2)-'03_Capacity_Model'!$B$95,'03_Capacity_Model'!$B$96)&gt;=(('01_Inputs'!$B$14+'01_Inputs'!$B$15+'01_Inputs'!$B$16)+'01_Inputs'!$B$17+'01_Inputs'!$B$18),MOD((147*24/6+2)-'03_Capacity_Model'!$B$95,'03_Capacity_Model'!$B$96)&lt;((('01_Inputs'!$B$14+'01_Inputs'!$B$15+'01_Inputs'!$B$16)+'01_Inputs'!$B$17+'01_Inputs'!$B$18)+'01_Inputs'!$B$29*'01_Inputs'!$B$28))),4,0)</f>
        <v>4</v>
      </c>
      <c r="EU23" s="93">
        <f>IF(OR(AND(MOD((148*24/6+2)-0,'03_Capacity_Model'!$B$96)&gt;=(('01_Inputs'!$B$14+'01_Inputs'!$B$15+'01_Inputs'!$B$16)+'01_Inputs'!$B$17+'01_Inputs'!$B$18),MOD((148*24/6+2)-0,'03_Capacity_Model'!$B$96)&lt;((('01_Inputs'!$B$14+'01_Inputs'!$B$15+'01_Inputs'!$B$16)+'01_Inputs'!$B$17+'01_Inputs'!$B$18)+'01_Inputs'!$B$29*'01_Inputs'!$B$28)),AND(MOD((148*24/6+2)-'03_Capacity_Model'!$B$95,'03_Capacity_Model'!$B$96)&gt;=(('01_Inputs'!$B$14+'01_Inputs'!$B$15+'01_Inputs'!$B$16)+'01_Inputs'!$B$17+'01_Inputs'!$B$18),MOD((148*24/6+2)-'03_Capacity_Model'!$B$95,'03_Capacity_Model'!$B$96)&lt;((('01_Inputs'!$B$14+'01_Inputs'!$B$15+'01_Inputs'!$B$16)+'01_Inputs'!$B$17+'01_Inputs'!$B$18)+'01_Inputs'!$B$29*'01_Inputs'!$B$28))),4,0)</f>
        <v>4</v>
      </c>
      <c r="EV23" s="93">
        <f>IF(OR(AND(MOD((149*24/6+2)-0,'03_Capacity_Model'!$B$96)&gt;=(('01_Inputs'!$B$14+'01_Inputs'!$B$15+'01_Inputs'!$B$16)+'01_Inputs'!$B$17+'01_Inputs'!$B$18),MOD((149*24/6+2)-0,'03_Capacity_Model'!$B$96)&lt;((('01_Inputs'!$B$14+'01_Inputs'!$B$15+'01_Inputs'!$B$16)+'01_Inputs'!$B$17+'01_Inputs'!$B$18)+'01_Inputs'!$B$29*'01_Inputs'!$B$28)),AND(MOD((149*24/6+2)-'03_Capacity_Model'!$B$95,'03_Capacity_Model'!$B$96)&gt;=(('01_Inputs'!$B$14+'01_Inputs'!$B$15+'01_Inputs'!$B$16)+'01_Inputs'!$B$17+'01_Inputs'!$B$18),MOD((149*24/6+2)-'03_Capacity_Model'!$B$95,'03_Capacity_Model'!$B$96)&lt;((('01_Inputs'!$B$14+'01_Inputs'!$B$15+'01_Inputs'!$B$16)+'01_Inputs'!$B$17+'01_Inputs'!$B$18)+'01_Inputs'!$B$29*'01_Inputs'!$B$28))),4,0)</f>
        <v>0</v>
      </c>
      <c r="EW23" s="93">
        <f>IF(OR(AND(MOD((150*24/6+2)-0,'03_Capacity_Model'!$B$96)&gt;=(('01_Inputs'!$B$14+'01_Inputs'!$B$15+'01_Inputs'!$B$16)+'01_Inputs'!$B$17+'01_Inputs'!$B$18),MOD((150*24/6+2)-0,'03_Capacity_Model'!$B$96)&lt;((('01_Inputs'!$B$14+'01_Inputs'!$B$15+'01_Inputs'!$B$16)+'01_Inputs'!$B$17+'01_Inputs'!$B$18)+'01_Inputs'!$B$29*'01_Inputs'!$B$28)),AND(MOD((150*24/6+2)-'03_Capacity_Model'!$B$95,'03_Capacity_Model'!$B$96)&gt;=(('01_Inputs'!$B$14+'01_Inputs'!$B$15+'01_Inputs'!$B$16)+'01_Inputs'!$B$17+'01_Inputs'!$B$18),MOD((150*24/6+2)-'03_Capacity_Model'!$B$95,'03_Capacity_Model'!$B$96)&lt;((('01_Inputs'!$B$14+'01_Inputs'!$B$15+'01_Inputs'!$B$16)+'01_Inputs'!$B$17+'01_Inputs'!$B$18)+'01_Inputs'!$B$29*'01_Inputs'!$B$28))),4,0)</f>
        <v>0</v>
      </c>
      <c r="EX23" s="93">
        <f>IF(OR(AND(MOD((151*24/6+2)-0,'03_Capacity_Model'!$B$96)&gt;=(('01_Inputs'!$B$14+'01_Inputs'!$B$15+'01_Inputs'!$B$16)+'01_Inputs'!$B$17+'01_Inputs'!$B$18),MOD((151*24/6+2)-0,'03_Capacity_Model'!$B$96)&lt;((('01_Inputs'!$B$14+'01_Inputs'!$B$15+'01_Inputs'!$B$16)+'01_Inputs'!$B$17+'01_Inputs'!$B$18)+'01_Inputs'!$B$29*'01_Inputs'!$B$28)),AND(MOD((151*24/6+2)-'03_Capacity_Model'!$B$95,'03_Capacity_Model'!$B$96)&gt;=(('01_Inputs'!$B$14+'01_Inputs'!$B$15+'01_Inputs'!$B$16)+'01_Inputs'!$B$17+'01_Inputs'!$B$18),MOD((151*24/6+2)-'03_Capacity_Model'!$B$95,'03_Capacity_Model'!$B$96)&lt;((('01_Inputs'!$B$14+'01_Inputs'!$B$15+'01_Inputs'!$B$16)+'01_Inputs'!$B$17+'01_Inputs'!$B$18)+'01_Inputs'!$B$29*'01_Inputs'!$B$28))),4,0)</f>
        <v>0</v>
      </c>
      <c r="EY23" s="93">
        <f>IF(OR(AND(MOD((152*24/6+2)-0,'03_Capacity_Model'!$B$96)&gt;=(('01_Inputs'!$B$14+'01_Inputs'!$B$15+'01_Inputs'!$B$16)+'01_Inputs'!$B$17+'01_Inputs'!$B$18),MOD((152*24/6+2)-0,'03_Capacity_Model'!$B$96)&lt;((('01_Inputs'!$B$14+'01_Inputs'!$B$15+'01_Inputs'!$B$16)+'01_Inputs'!$B$17+'01_Inputs'!$B$18)+'01_Inputs'!$B$29*'01_Inputs'!$B$28)),AND(MOD((152*24/6+2)-'03_Capacity_Model'!$B$95,'03_Capacity_Model'!$B$96)&gt;=(('01_Inputs'!$B$14+'01_Inputs'!$B$15+'01_Inputs'!$B$16)+'01_Inputs'!$B$17+'01_Inputs'!$B$18),MOD((152*24/6+2)-'03_Capacity_Model'!$B$95,'03_Capacity_Model'!$B$96)&lt;((('01_Inputs'!$B$14+'01_Inputs'!$B$15+'01_Inputs'!$B$16)+'01_Inputs'!$B$17+'01_Inputs'!$B$18)+'01_Inputs'!$B$29*'01_Inputs'!$B$28))),4,0)</f>
        <v>0</v>
      </c>
      <c r="EZ23" s="93">
        <f>IF(OR(AND(MOD((153*24/6+2)-0,'03_Capacity_Model'!$B$96)&gt;=(('01_Inputs'!$B$14+'01_Inputs'!$B$15+'01_Inputs'!$B$16)+'01_Inputs'!$B$17+'01_Inputs'!$B$18),MOD((153*24/6+2)-0,'03_Capacity_Model'!$B$96)&lt;((('01_Inputs'!$B$14+'01_Inputs'!$B$15+'01_Inputs'!$B$16)+'01_Inputs'!$B$17+'01_Inputs'!$B$18)+'01_Inputs'!$B$29*'01_Inputs'!$B$28)),AND(MOD((153*24/6+2)-'03_Capacity_Model'!$B$95,'03_Capacity_Model'!$B$96)&gt;=(('01_Inputs'!$B$14+'01_Inputs'!$B$15+'01_Inputs'!$B$16)+'01_Inputs'!$B$17+'01_Inputs'!$B$18),MOD((153*24/6+2)-'03_Capacity_Model'!$B$95,'03_Capacity_Model'!$B$96)&lt;((('01_Inputs'!$B$14+'01_Inputs'!$B$15+'01_Inputs'!$B$16)+'01_Inputs'!$B$17+'01_Inputs'!$B$18)+'01_Inputs'!$B$29*'01_Inputs'!$B$28))),4,0)</f>
        <v>0</v>
      </c>
      <c r="FA23" s="93">
        <f>IF(OR(AND(MOD((154*24/6+2)-0,'03_Capacity_Model'!$B$96)&gt;=(('01_Inputs'!$B$14+'01_Inputs'!$B$15+'01_Inputs'!$B$16)+'01_Inputs'!$B$17+'01_Inputs'!$B$18),MOD((154*24/6+2)-0,'03_Capacity_Model'!$B$96)&lt;((('01_Inputs'!$B$14+'01_Inputs'!$B$15+'01_Inputs'!$B$16)+'01_Inputs'!$B$17+'01_Inputs'!$B$18)+'01_Inputs'!$B$29*'01_Inputs'!$B$28)),AND(MOD((154*24/6+2)-'03_Capacity_Model'!$B$95,'03_Capacity_Model'!$B$96)&gt;=(('01_Inputs'!$B$14+'01_Inputs'!$B$15+'01_Inputs'!$B$16)+'01_Inputs'!$B$17+'01_Inputs'!$B$18),MOD((154*24/6+2)-'03_Capacity_Model'!$B$95,'03_Capacity_Model'!$B$96)&lt;((('01_Inputs'!$B$14+'01_Inputs'!$B$15+'01_Inputs'!$B$16)+'01_Inputs'!$B$17+'01_Inputs'!$B$18)+'01_Inputs'!$B$29*'01_Inputs'!$B$28))),4,0)</f>
        <v>4</v>
      </c>
      <c r="FB23" s="93">
        <f>IF(OR(AND(MOD((155*24/6+2)-0,'03_Capacity_Model'!$B$96)&gt;=(('01_Inputs'!$B$14+'01_Inputs'!$B$15+'01_Inputs'!$B$16)+'01_Inputs'!$B$17+'01_Inputs'!$B$18),MOD((155*24/6+2)-0,'03_Capacity_Model'!$B$96)&lt;((('01_Inputs'!$B$14+'01_Inputs'!$B$15+'01_Inputs'!$B$16)+'01_Inputs'!$B$17+'01_Inputs'!$B$18)+'01_Inputs'!$B$29*'01_Inputs'!$B$28)),AND(MOD((155*24/6+2)-'03_Capacity_Model'!$B$95,'03_Capacity_Model'!$B$96)&gt;=(('01_Inputs'!$B$14+'01_Inputs'!$B$15+'01_Inputs'!$B$16)+'01_Inputs'!$B$17+'01_Inputs'!$B$18),MOD((155*24/6+2)-'03_Capacity_Model'!$B$95,'03_Capacity_Model'!$B$96)&lt;((('01_Inputs'!$B$14+'01_Inputs'!$B$15+'01_Inputs'!$B$16)+'01_Inputs'!$B$17+'01_Inputs'!$B$18)+'01_Inputs'!$B$29*'01_Inputs'!$B$28))),4,0)</f>
        <v>4</v>
      </c>
      <c r="FC23" s="93">
        <f>IF(OR(AND(MOD((156*24/6+2)-0,'03_Capacity_Model'!$B$96)&gt;=(('01_Inputs'!$B$14+'01_Inputs'!$B$15+'01_Inputs'!$B$16)+'01_Inputs'!$B$17+'01_Inputs'!$B$18),MOD((156*24/6+2)-0,'03_Capacity_Model'!$B$96)&lt;((('01_Inputs'!$B$14+'01_Inputs'!$B$15+'01_Inputs'!$B$16)+'01_Inputs'!$B$17+'01_Inputs'!$B$18)+'01_Inputs'!$B$29*'01_Inputs'!$B$28)),AND(MOD((156*24/6+2)-'03_Capacity_Model'!$B$95,'03_Capacity_Model'!$B$96)&gt;=(('01_Inputs'!$B$14+'01_Inputs'!$B$15+'01_Inputs'!$B$16)+'01_Inputs'!$B$17+'01_Inputs'!$B$18),MOD((156*24/6+2)-'03_Capacity_Model'!$B$95,'03_Capacity_Model'!$B$96)&lt;((('01_Inputs'!$B$14+'01_Inputs'!$B$15+'01_Inputs'!$B$16)+'01_Inputs'!$B$17+'01_Inputs'!$B$18)+'01_Inputs'!$B$29*'01_Inputs'!$B$28))),4,0)</f>
        <v>4</v>
      </c>
      <c r="FD23" s="93">
        <f>IF(OR(AND(MOD((157*24/6+2)-0,'03_Capacity_Model'!$B$96)&gt;=(('01_Inputs'!$B$14+'01_Inputs'!$B$15+'01_Inputs'!$B$16)+'01_Inputs'!$B$17+'01_Inputs'!$B$18),MOD((157*24/6+2)-0,'03_Capacity_Model'!$B$96)&lt;((('01_Inputs'!$B$14+'01_Inputs'!$B$15+'01_Inputs'!$B$16)+'01_Inputs'!$B$17+'01_Inputs'!$B$18)+'01_Inputs'!$B$29*'01_Inputs'!$B$28)),AND(MOD((157*24/6+2)-'03_Capacity_Model'!$B$95,'03_Capacity_Model'!$B$96)&gt;=(('01_Inputs'!$B$14+'01_Inputs'!$B$15+'01_Inputs'!$B$16)+'01_Inputs'!$B$17+'01_Inputs'!$B$18),MOD((157*24/6+2)-'03_Capacity_Model'!$B$95,'03_Capacity_Model'!$B$96)&lt;((('01_Inputs'!$B$14+'01_Inputs'!$B$15+'01_Inputs'!$B$16)+'01_Inputs'!$B$17+'01_Inputs'!$B$18)+'01_Inputs'!$B$29*'01_Inputs'!$B$28))),4,0)</f>
        <v>0</v>
      </c>
      <c r="FE23" s="93">
        <f>IF(OR(AND(MOD((158*24/6+2)-0,'03_Capacity_Model'!$B$96)&gt;=(('01_Inputs'!$B$14+'01_Inputs'!$B$15+'01_Inputs'!$B$16)+'01_Inputs'!$B$17+'01_Inputs'!$B$18),MOD((158*24/6+2)-0,'03_Capacity_Model'!$B$96)&lt;((('01_Inputs'!$B$14+'01_Inputs'!$B$15+'01_Inputs'!$B$16)+'01_Inputs'!$B$17+'01_Inputs'!$B$18)+'01_Inputs'!$B$29*'01_Inputs'!$B$28)),AND(MOD((158*24/6+2)-'03_Capacity_Model'!$B$95,'03_Capacity_Model'!$B$96)&gt;=(('01_Inputs'!$B$14+'01_Inputs'!$B$15+'01_Inputs'!$B$16)+'01_Inputs'!$B$17+'01_Inputs'!$B$18),MOD((158*24/6+2)-'03_Capacity_Model'!$B$95,'03_Capacity_Model'!$B$96)&lt;((('01_Inputs'!$B$14+'01_Inputs'!$B$15+'01_Inputs'!$B$16)+'01_Inputs'!$B$17+'01_Inputs'!$B$18)+'01_Inputs'!$B$29*'01_Inputs'!$B$28))),4,0)</f>
        <v>0</v>
      </c>
      <c r="FF23" s="93">
        <f>IF(OR(AND(MOD((159*24/6+2)-0,'03_Capacity_Model'!$B$96)&gt;=(('01_Inputs'!$B$14+'01_Inputs'!$B$15+'01_Inputs'!$B$16)+'01_Inputs'!$B$17+'01_Inputs'!$B$18),MOD((159*24/6+2)-0,'03_Capacity_Model'!$B$96)&lt;((('01_Inputs'!$B$14+'01_Inputs'!$B$15+'01_Inputs'!$B$16)+'01_Inputs'!$B$17+'01_Inputs'!$B$18)+'01_Inputs'!$B$29*'01_Inputs'!$B$28)),AND(MOD((159*24/6+2)-'03_Capacity_Model'!$B$95,'03_Capacity_Model'!$B$96)&gt;=(('01_Inputs'!$B$14+'01_Inputs'!$B$15+'01_Inputs'!$B$16)+'01_Inputs'!$B$17+'01_Inputs'!$B$18),MOD((159*24/6+2)-'03_Capacity_Model'!$B$95,'03_Capacity_Model'!$B$96)&lt;((('01_Inputs'!$B$14+'01_Inputs'!$B$15+'01_Inputs'!$B$16)+'01_Inputs'!$B$17+'01_Inputs'!$B$18)+'01_Inputs'!$B$29*'01_Inputs'!$B$28))),4,0)</f>
        <v>0</v>
      </c>
      <c r="FG23" s="93">
        <f>IF(OR(AND(MOD((160*24/6+2)-0,'03_Capacity_Model'!$B$96)&gt;=(('01_Inputs'!$B$14+'01_Inputs'!$B$15+'01_Inputs'!$B$16)+'01_Inputs'!$B$17+'01_Inputs'!$B$18),MOD((160*24/6+2)-0,'03_Capacity_Model'!$B$96)&lt;((('01_Inputs'!$B$14+'01_Inputs'!$B$15+'01_Inputs'!$B$16)+'01_Inputs'!$B$17+'01_Inputs'!$B$18)+'01_Inputs'!$B$29*'01_Inputs'!$B$28)),AND(MOD((160*24/6+2)-'03_Capacity_Model'!$B$95,'03_Capacity_Model'!$B$96)&gt;=(('01_Inputs'!$B$14+'01_Inputs'!$B$15+'01_Inputs'!$B$16)+'01_Inputs'!$B$17+'01_Inputs'!$B$18),MOD((160*24/6+2)-'03_Capacity_Model'!$B$95,'03_Capacity_Model'!$B$96)&lt;((('01_Inputs'!$B$14+'01_Inputs'!$B$15+'01_Inputs'!$B$16)+'01_Inputs'!$B$17+'01_Inputs'!$B$18)+'01_Inputs'!$B$29*'01_Inputs'!$B$28))),4,0)</f>
        <v>0</v>
      </c>
      <c r="FH23" s="93">
        <f>IF(OR(AND(MOD((161*24/6+2)-0,'03_Capacity_Model'!$B$96)&gt;=(('01_Inputs'!$B$14+'01_Inputs'!$B$15+'01_Inputs'!$B$16)+'01_Inputs'!$B$17+'01_Inputs'!$B$18),MOD((161*24/6+2)-0,'03_Capacity_Model'!$B$96)&lt;((('01_Inputs'!$B$14+'01_Inputs'!$B$15+'01_Inputs'!$B$16)+'01_Inputs'!$B$17+'01_Inputs'!$B$18)+'01_Inputs'!$B$29*'01_Inputs'!$B$28)),AND(MOD((161*24/6+2)-'03_Capacity_Model'!$B$95,'03_Capacity_Model'!$B$96)&gt;=(('01_Inputs'!$B$14+'01_Inputs'!$B$15+'01_Inputs'!$B$16)+'01_Inputs'!$B$17+'01_Inputs'!$B$18),MOD((161*24/6+2)-'03_Capacity_Model'!$B$95,'03_Capacity_Model'!$B$96)&lt;((('01_Inputs'!$B$14+'01_Inputs'!$B$15+'01_Inputs'!$B$16)+'01_Inputs'!$B$17+'01_Inputs'!$B$18)+'01_Inputs'!$B$29*'01_Inputs'!$B$28))),4,0)</f>
        <v>0</v>
      </c>
      <c r="FI23" s="93">
        <f>IF(OR(AND(MOD((162*24/6+2)-0,'03_Capacity_Model'!$B$96)&gt;=(('01_Inputs'!$B$14+'01_Inputs'!$B$15+'01_Inputs'!$B$16)+'01_Inputs'!$B$17+'01_Inputs'!$B$18),MOD((162*24/6+2)-0,'03_Capacity_Model'!$B$96)&lt;((('01_Inputs'!$B$14+'01_Inputs'!$B$15+'01_Inputs'!$B$16)+'01_Inputs'!$B$17+'01_Inputs'!$B$18)+'01_Inputs'!$B$29*'01_Inputs'!$B$28)),AND(MOD((162*24/6+2)-'03_Capacity_Model'!$B$95,'03_Capacity_Model'!$B$96)&gt;=(('01_Inputs'!$B$14+'01_Inputs'!$B$15+'01_Inputs'!$B$16)+'01_Inputs'!$B$17+'01_Inputs'!$B$18),MOD((162*24/6+2)-'03_Capacity_Model'!$B$95,'03_Capacity_Model'!$B$96)&lt;((('01_Inputs'!$B$14+'01_Inputs'!$B$15+'01_Inputs'!$B$16)+'01_Inputs'!$B$17+'01_Inputs'!$B$18)+'01_Inputs'!$B$29*'01_Inputs'!$B$28))),4,0)</f>
        <v>0</v>
      </c>
      <c r="FJ23" s="93">
        <f>IF(OR(AND(MOD((163*24/6+2)-0,'03_Capacity_Model'!$B$96)&gt;=(('01_Inputs'!$B$14+'01_Inputs'!$B$15+'01_Inputs'!$B$16)+'01_Inputs'!$B$17+'01_Inputs'!$B$18),MOD((163*24/6+2)-0,'03_Capacity_Model'!$B$96)&lt;((('01_Inputs'!$B$14+'01_Inputs'!$B$15+'01_Inputs'!$B$16)+'01_Inputs'!$B$17+'01_Inputs'!$B$18)+'01_Inputs'!$B$29*'01_Inputs'!$B$28)),AND(MOD((163*24/6+2)-'03_Capacity_Model'!$B$95,'03_Capacity_Model'!$B$96)&gt;=(('01_Inputs'!$B$14+'01_Inputs'!$B$15+'01_Inputs'!$B$16)+'01_Inputs'!$B$17+'01_Inputs'!$B$18),MOD((163*24/6+2)-'03_Capacity_Model'!$B$95,'03_Capacity_Model'!$B$96)&lt;((('01_Inputs'!$B$14+'01_Inputs'!$B$15+'01_Inputs'!$B$16)+'01_Inputs'!$B$17+'01_Inputs'!$B$18)+'01_Inputs'!$B$29*'01_Inputs'!$B$28))),4,0)</f>
        <v>4</v>
      </c>
      <c r="FK23" s="93">
        <f>IF(OR(AND(MOD((164*24/6+2)-0,'03_Capacity_Model'!$B$96)&gt;=(('01_Inputs'!$B$14+'01_Inputs'!$B$15+'01_Inputs'!$B$16)+'01_Inputs'!$B$17+'01_Inputs'!$B$18),MOD((164*24/6+2)-0,'03_Capacity_Model'!$B$96)&lt;((('01_Inputs'!$B$14+'01_Inputs'!$B$15+'01_Inputs'!$B$16)+'01_Inputs'!$B$17+'01_Inputs'!$B$18)+'01_Inputs'!$B$29*'01_Inputs'!$B$28)),AND(MOD((164*24/6+2)-'03_Capacity_Model'!$B$95,'03_Capacity_Model'!$B$96)&gt;=(('01_Inputs'!$B$14+'01_Inputs'!$B$15+'01_Inputs'!$B$16)+'01_Inputs'!$B$17+'01_Inputs'!$B$18),MOD((164*24/6+2)-'03_Capacity_Model'!$B$95,'03_Capacity_Model'!$B$96)&lt;((('01_Inputs'!$B$14+'01_Inputs'!$B$15+'01_Inputs'!$B$16)+'01_Inputs'!$B$17+'01_Inputs'!$B$18)+'01_Inputs'!$B$29*'01_Inputs'!$B$28))),4,0)</f>
        <v>4</v>
      </c>
      <c r="FL23" s="93">
        <f>IF(OR(AND(MOD((165*24/6+2)-0,'03_Capacity_Model'!$B$96)&gt;=(('01_Inputs'!$B$14+'01_Inputs'!$B$15+'01_Inputs'!$B$16)+'01_Inputs'!$B$17+'01_Inputs'!$B$18),MOD((165*24/6+2)-0,'03_Capacity_Model'!$B$96)&lt;((('01_Inputs'!$B$14+'01_Inputs'!$B$15+'01_Inputs'!$B$16)+'01_Inputs'!$B$17+'01_Inputs'!$B$18)+'01_Inputs'!$B$29*'01_Inputs'!$B$28)),AND(MOD((165*24/6+2)-'03_Capacity_Model'!$B$95,'03_Capacity_Model'!$B$96)&gt;=(('01_Inputs'!$B$14+'01_Inputs'!$B$15+'01_Inputs'!$B$16)+'01_Inputs'!$B$17+'01_Inputs'!$B$18),MOD((165*24/6+2)-'03_Capacity_Model'!$B$95,'03_Capacity_Model'!$B$96)&lt;((('01_Inputs'!$B$14+'01_Inputs'!$B$15+'01_Inputs'!$B$16)+'01_Inputs'!$B$17+'01_Inputs'!$B$18)+'01_Inputs'!$B$29*'01_Inputs'!$B$28))),4,0)</f>
        <v>4</v>
      </c>
      <c r="FM23" s="93">
        <f>IF(OR(AND(MOD((166*24/6+2)-0,'03_Capacity_Model'!$B$96)&gt;=(('01_Inputs'!$B$14+'01_Inputs'!$B$15+'01_Inputs'!$B$16)+'01_Inputs'!$B$17+'01_Inputs'!$B$18),MOD((166*24/6+2)-0,'03_Capacity_Model'!$B$96)&lt;((('01_Inputs'!$B$14+'01_Inputs'!$B$15+'01_Inputs'!$B$16)+'01_Inputs'!$B$17+'01_Inputs'!$B$18)+'01_Inputs'!$B$29*'01_Inputs'!$B$28)),AND(MOD((166*24/6+2)-'03_Capacity_Model'!$B$95,'03_Capacity_Model'!$B$96)&gt;=(('01_Inputs'!$B$14+'01_Inputs'!$B$15+'01_Inputs'!$B$16)+'01_Inputs'!$B$17+'01_Inputs'!$B$18),MOD((166*24/6+2)-'03_Capacity_Model'!$B$95,'03_Capacity_Model'!$B$96)&lt;((('01_Inputs'!$B$14+'01_Inputs'!$B$15+'01_Inputs'!$B$16)+'01_Inputs'!$B$17+'01_Inputs'!$B$18)+'01_Inputs'!$B$29*'01_Inputs'!$B$28))),4,0)</f>
        <v>0</v>
      </c>
      <c r="FN23" s="93">
        <f>IF(OR(AND(MOD((167*24/6+2)-0,'03_Capacity_Model'!$B$96)&gt;=(('01_Inputs'!$B$14+'01_Inputs'!$B$15+'01_Inputs'!$B$16)+'01_Inputs'!$B$17+'01_Inputs'!$B$18),MOD((167*24/6+2)-0,'03_Capacity_Model'!$B$96)&lt;((('01_Inputs'!$B$14+'01_Inputs'!$B$15+'01_Inputs'!$B$16)+'01_Inputs'!$B$17+'01_Inputs'!$B$18)+'01_Inputs'!$B$29*'01_Inputs'!$B$28)),AND(MOD((167*24/6+2)-'03_Capacity_Model'!$B$95,'03_Capacity_Model'!$B$96)&gt;=(('01_Inputs'!$B$14+'01_Inputs'!$B$15+'01_Inputs'!$B$16)+'01_Inputs'!$B$17+'01_Inputs'!$B$18),MOD((167*24/6+2)-'03_Capacity_Model'!$B$95,'03_Capacity_Model'!$B$96)&lt;((('01_Inputs'!$B$14+'01_Inputs'!$B$15+'01_Inputs'!$B$16)+'01_Inputs'!$B$17+'01_Inputs'!$B$18)+'01_Inputs'!$B$29*'01_Inputs'!$B$28))),4,0)</f>
        <v>0</v>
      </c>
      <c r="FO23" s="93">
        <f>IF(OR(AND(MOD((168*24/6+2)-0,'03_Capacity_Model'!$B$96)&gt;=(('01_Inputs'!$B$14+'01_Inputs'!$B$15+'01_Inputs'!$B$16)+'01_Inputs'!$B$17+'01_Inputs'!$B$18),MOD((168*24/6+2)-0,'03_Capacity_Model'!$B$96)&lt;((('01_Inputs'!$B$14+'01_Inputs'!$B$15+'01_Inputs'!$B$16)+'01_Inputs'!$B$17+'01_Inputs'!$B$18)+'01_Inputs'!$B$29*'01_Inputs'!$B$28)),AND(MOD((168*24/6+2)-'03_Capacity_Model'!$B$95,'03_Capacity_Model'!$B$96)&gt;=(('01_Inputs'!$B$14+'01_Inputs'!$B$15+'01_Inputs'!$B$16)+'01_Inputs'!$B$17+'01_Inputs'!$B$18),MOD((168*24/6+2)-'03_Capacity_Model'!$B$95,'03_Capacity_Model'!$B$96)&lt;((('01_Inputs'!$B$14+'01_Inputs'!$B$15+'01_Inputs'!$B$16)+'01_Inputs'!$B$17+'01_Inputs'!$B$18)+'01_Inputs'!$B$29*'01_Inputs'!$B$28))),4,0)</f>
        <v>0</v>
      </c>
      <c r="FP23" s="93">
        <f>IF(OR(AND(MOD((169*24/6+2)-0,'03_Capacity_Model'!$B$96)&gt;=(('01_Inputs'!$B$14+'01_Inputs'!$B$15+'01_Inputs'!$B$16)+'01_Inputs'!$B$17+'01_Inputs'!$B$18),MOD((169*24/6+2)-0,'03_Capacity_Model'!$B$96)&lt;((('01_Inputs'!$B$14+'01_Inputs'!$B$15+'01_Inputs'!$B$16)+'01_Inputs'!$B$17+'01_Inputs'!$B$18)+'01_Inputs'!$B$29*'01_Inputs'!$B$28)),AND(MOD((169*24/6+2)-'03_Capacity_Model'!$B$95,'03_Capacity_Model'!$B$96)&gt;=(('01_Inputs'!$B$14+'01_Inputs'!$B$15+'01_Inputs'!$B$16)+'01_Inputs'!$B$17+'01_Inputs'!$B$18),MOD((169*24/6+2)-'03_Capacity_Model'!$B$95,'03_Capacity_Model'!$B$96)&lt;((('01_Inputs'!$B$14+'01_Inputs'!$B$15+'01_Inputs'!$B$16)+'01_Inputs'!$B$17+'01_Inputs'!$B$18)+'01_Inputs'!$B$29*'01_Inputs'!$B$28))),4,0)</f>
        <v>0</v>
      </c>
      <c r="FQ23" s="93">
        <f>IF(OR(AND(MOD((170*24/6+2)-0,'03_Capacity_Model'!$B$96)&gt;=(('01_Inputs'!$B$14+'01_Inputs'!$B$15+'01_Inputs'!$B$16)+'01_Inputs'!$B$17+'01_Inputs'!$B$18),MOD((170*24/6+2)-0,'03_Capacity_Model'!$B$96)&lt;((('01_Inputs'!$B$14+'01_Inputs'!$B$15+'01_Inputs'!$B$16)+'01_Inputs'!$B$17+'01_Inputs'!$B$18)+'01_Inputs'!$B$29*'01_Inputs'!$B$28)),AND(MOD((170*24/6+2)-'03_Capacity_Model'!$B$95,'03_Capacity_Model'!$B$96)&gt;=(('01_Inputs'!$B$14+'01_Inputs'!$B$15+'01_Inputs'!$B$16)+'01_Inputs'!$B$17+'01_Inputs'!$B$18),MOD((170*24/6+2)-'03_Capacity_Model'!$B$95,'03_Capacity_Model'!$B$96)&lt;((('01_Inputs'!$B$14+'01_Inputs'!$B$15+'01_Inputs'!$B$16)+'01_Inputs'!$B$17+'01_Inputs'!$B$18)+'01_Inputs'!$B$29*'01_Inputs'!$B$28))),4,0)</f>
        <v>0</v>
      </c>
      <c r="FR23" s="93">
        <f>IF(OR(AND(MOD((171*24/6+2)-0,'03_Capacity_Model'!$B$96)&gt;=(('01_Inputs'!$B$14+'01_Inputs'!$B$15+'01_Inputs'!$B$16)+'01_Inputs'!$B$17+'01_Inputs'!$B$18),MOD((171*24/6+2)-0,'03_Capacity_Model'!$B$96)&lt;((('01_Inputs'!$B$14+'01_Inputs'!$B$15+'01_Inputs'!$B$16)+'01_Inputs'!$B$17+'01_Inputs'!$B$18)+'01_Inputs'!$B$29*'01_Inputs'!$B$28)),AND(MOD((171*24/6+2)-'03_Capacity_Model'!$B$95,'03_Capacity_Model'!$B$96)&gt;=(('01_Inputs'!$B$14+'01_Inputs'!$B$15+'01_Inputs'!$B$16)+'01_Inputs'!$B$17+'01_Inputs'!$B$18),MOD((171*24/6+2)-'03_Capacity_Model'!$B$95,'03_Capacity_Model'!$B$96)&lt;((('01_Inputs'!$B$14+'01_Inputs'!$B$15+'01_Inputs'!$B$16)+'01_Inputs'!$B$17+'01_Inputs'!$B$18)+'01_Inputs'!$B$29*'01_Inputs'!$B$28))),4,0)</f>
        <v>4</v>
      </c>
      <c r="FS23" s="93">
        <f>IF(OR(AND(MOD((172*24/6+2)-0,'03_Capacity_Model'!$B$96)&gt;=(('01_Inputs'!$B$14+'01_Inputs'!$B$15+'01_Inputs'!$B$16)+'01_Inputs'!$B$17+'01_Inputs'!$B$18),MOD((172*24/6+2)-0,'03_Capacity_Model'!$B$96)&lt;((('01_Inputs'!$B$14+'01_Inputs'!$B$15+'01_Inputs'!$B$16)+'01_Inputs'!$B$17+'01_Inputs'!$B$18)+'01_Inputs'!$B$29*'01_Inputs'!$B$28)),AND(MOD((172*24/6+2)-'03_Capacity_Model'!$B$95,'03_Capacity_Model'!$B$96)&gt;=(('01_Inputs'!$B$14+'01_Inputs'!$B$15+'01_Inputs'!$B$16)+'01_Inputs'!$B$17+'01_Inputs'!$B$18),MOD((172*24/6+2)-'03_Capacity_Model'!$B$95,'03_Capacity_Model'!$B$96)&lt;((('01_Inputs'!$B$14+'01_Inputs'!$B$15+'01_Inputs'!$B$16)+'01_Inputs'!$B$17+'01_Inputs'!$B$18)+'01_Inputs'!$B$29*'01_Inputs'!$B$28))),4,0)</f>
        <v>4</v>
      </c>
      <c r="FT23" s="93">
        <f>IF(OR(AND(MOD((173*24/6+2)-0,'03_Capacity_Model'!$B$96)&gt;=(('01_Inputs'!$B$14+'01_Inputs'!$B$15+'01_Inputs'!$B$16)+'01_Inputs'!$B$17+'01_Inputs'!$B$18),MOD((173*24/6+2)-0,'03_Capacity_Model'!$B$96)&lt;((('01_Inputs'!$B$14+'01_Inputs'!$B$15+'01_Inputs'!$B$16)+'01_Inputs'!$B$17+'01_Inputs'!$B$18)+'01_Inputs'!$B$29*'01_Inputs'!$B$28)),AND(MOD((173*24/6+2)-'03_Capacity_Model'!$B$95,'03_Capacity_Model'!$B$96)&gt;=(('01_Inputs'!$B$14+'01_Inputs'!$B$15+'01_Inputs'!$B$16)+'01_Inputs'!$B$17+'01_Inputs'!$B$18),MOD((173*24/6+2)-'03_Capacity_Model'!$B$95,'03_Capacity_Model'!$B$96)&lt;((('01_Inputs'!$B$14+'01_Inputs'!$B$15+'01_Inputs'!$B$16)+'01_Inputs'!$B$17+'01_Inputs'!$B$18)+'01_Inputs'!$B$29*'01_Inputs'!$B$28))),4,0)</f>
        <v>0</v>
      </c>
      <c r="FU23" s="93">
        <f>IF(OR(AND(MOD((174*24/6+2)-0,'03_Capacity_Model'!$B$96)&gt;=(('01_Inputs'!$B$14+'01_Inputs'!$B$15+'01_Inputs'!$B$16)+'01_Inputs'!$B$17+'01_Inputs'!$B$18),MOD((174*24/6+2)-0,'03_Capacity_Model'!$B$96)&lt;((('01_Inputs'!$B$14+'01_Inputs'!$B$15+'01_Inputs'!$B$16)+'01_Inputs'!$B$17+'01_Inputs'!$B$18)+'01_Inputs'!$B$29*'01_Inputs'!$B$28)),AND(MOD((174*24/6+2)-'03_Capacity_Model'!$B$95,'03_Capacity_Model'!$B$96)&gt;=(('01_Inputs'!$B$14+'01_Inputs'!$B$15+'01_Inputs'!$B$16)+'01_Inputs'!$B$17+'01_Inputs'!$B$18),MOD((174*24/6+2)-'03_Capacity_Model'!$B$95,'03_Capacity_Model'!$B$96)&lt;((('01_Inputs'!$B$14+'01_Inputs'!$B$15+'01_Inputs'!$B$16)+'01_Inputs'!$B$17+'01_Inputs'!$B$18)+'01_Inputs'!$B$29*'01_Inputs'!$B$28))),4,0)</f>
        <v>0</v>
      </c>
      <c r="FV23" s="93">
        <f>IF(OR(AND(MOD((175*24/6+2)-0,'03_Capacity_Model'!$B$96)&gt;=(('01_Inputs'!$B$14+'01_Inputs'!$B$15+'01_Inputs'!$B$16)+'01_Inputs'!$B$17+'01_Inputs'!$B$18),MOD((175*24/6+2)-0,'03_Capacity_Model'!$B$96)&lt;((('01_Inputs'!$B$14+'01_Inputs'!$B$15+'01_Inputs'!$B$16)+'01_Inputs'!$B$17+'01_Inputs'!$B$18)+'01_Inputs'!$B$29*'01_Inputs'!$B$28)),AND(MOD((175*24/6+2)-'03_Capacity_Model'!$B$95,'03_Capacity_Model'!$B$96)&gt;=(('01_Inputs'!$B$14+'01_Inputs'!$B$15+'01_Inputs'!$B$16)+'01_Inputs'!$B$17+'01_Inputs'!$B$18),MOD((175*24/6+2)-'03_Capacity_Model'!$B$95,'03_Capacity_Model'!$B$96)&lt;((('01_Inputs'!$B$14+'01_Inputs'!$B$15+'01_Inputs'!$B$16)+'01_Inputs'!$B$17+'01_Inputs'!$B$18)+'01_Inputs'!$B$29*'01_Inputs'!$B$28))),4,0)</f>
        <v>0</v>
      </c>
      <c r="FW23" s="93">
        <f>IF(OR(AND(MOD((176*24/6+2)-0,'03_Capacity_Model'!$B$96)&gt;=(('01_Inputs'!$B$14+'01_Inputs'!$B$15+'01_Inputs'!$B$16)+'01_Inputs'!$B$17+'01_Inputs'!$B$18),MOD((176*24/6+2)-0,'03_Capacity_Model'!$B$96)&lt;((('01_Inputs'!$B$14+'01_Inputs'!$B$15+'01_Inputs'!$B$16)+'01_Inputs'!$B$17+'01_Inputs'!$B$18)+'01_Inputs'!$B$29*'01_Inputs'!$B$28)),AND(MOD((176*24/6+2)-'03_Capacity_Model'!$B$95,'03_Capacity_Model'!$B$96)&gt;=(('01_Inputs'!$B$14+'01_Inputs'!$B$15+'01_Inputs'!$B$16)+'01_Inputs'!$B$17+'01_Inputs'!$B$18),MOD((176*24/6+2)-'03_Capacity_Model'!$B$95,'03_Capacity_Model'!$B$96)&lt;((('01_Inputs'!$B$14+'01_Inputs'!$B$15+'01_Inputs'!$B$16)+'01_Inputs'!$B$17+'01_Inputs'!$B$18)+'01_Inputs'!$B$29*'01_Inputs'!$B$28))),4,0)</f>
        <v>0</v>
      </c>
      <c r="FX23" s="93">
        <f>IF(OR(AND(MOD((177*24/6+2)-0,'03_Capacity_Model'!$B$96)&gt;=(('01_Inputs'!$B$14+'01_Inputs'!$B$15+'01_Inputs'!$B$16)+'01_Inputs'!$B$17+'01_Inputs'!$B$18),MOD((177*24/6+2)-0,'03_Capacity_Model'!$B$96)&lt;((('01_Inputs'!$B$14+'01_Inputs'!$B$15+'01_Inputs'!$B$16)+'01_Inputs'!$B$17+'01_Inputs'!$B$18)+'01_Inputs'!$B$29*'01_Inputs'!$B$28)),AND(MOD((177*24/6+2)-'03_Capacity_Model'!$B$95,'03_Capacity_Model'!$B$96)&gt;=(('01_Inputs'!$B$14+'01_Inputs'!$B$15+'01_Inputs'!$B$16)+'01_Inputs'!$B$17+'01_Inputs'!$B$18),MOD((177*24/6+2)-'03_Capacity_Model'!$B$95,'03_Capacity_Model'!$B$96)&lt;((('01_Inputs'!$B$14+'01_Inputs'!$B$15+'01_Inputs'!$B$16)+'01_Inputs'!$B$17+'01_Inputs'!$B$18)+'01_Inputs'!$B$29*'01_Inputs'!$B$28))),4,0)</f>
        <v>0</v>
      </c>
      <c r="FY23" s="93">
        <f>IF(OR(AND(MOD((178*24/6+2)-0,'03_Capacity_Model'!$B$96)&gt;=(('01_Inputs'!$B$14+'01_Inputs'!$B$15+'01_Inputs'!$B$16)+'01_Inputs'!$B$17+'01_Inputs'!$B$18),MOD((178*24/6+2)-0,'03_Capacity_Model'!$B$96)&lt;((('01_Inputs'!$B$14+'01_Inputs'!$B$15+'01_Inputs'!$B$16)+'01_Inputs'!$B$17+'01_Inputs'!$B$18)+'01_Inputs'!$B$29*'01_Inputs'!$B$28)),AND(MOD((178*24/6+2)-'03_Capacity_Model'!$B$95,'03_Capacity_Model'!$B$96)&gt;=(('01_Inputs'!$B$14+'01_Inputs'!$B$15+'01_Inputs'!$B$16)+'01_Inputs'!$B$17+'01_Inputs'!$B$18),MOD((178*24/6+2)-'03_Capacity_Model'!$B$95,'03_Capacity_Model'!$B$96)&lt;((('01_Inputs'!$B$14+'01_Inputs'!$B$15+'01_Inputs'!$B$16)+'01_Inputs'!$B$17+'01_Inputs'!$B$18)+'01_Inputs'!$B$29*'01_Inputs'!$B$28))),4,0)</f>
        <v>0</v>
      </c>
      <c r="FZ23" s="93">
        <f>IF(OR(AND(MOD((179*24/6+2)-0,'03_Capacity_Model'!$B$96)&gt;=(('01_Inputs'!$B$14+'01_Inputs'!$B$15+'01_Inputs'!$B$16)+'01_Inputs'!$B$17+'01_Inputs'!$B$18),MOD((179*24/6+2)-0,'03_Capacity_Model'!$B$96)&lt;((('01_Inputs'!$B$14+'01_Inputs'!$B$15+'01_Inputs'!$B$16)+'01_Inputs'!$B$17+'01_Inputs'!$B$18)+'01_Inputs'!$B$29*'01_Inputs'!$B$28)),AND(MOD((179*24/6+2)-'03_Capacity_Model'!$B$95,'03_Capacity_Model'!$B$96)&gt;=(('01_Inputs'!$B$14+'01_Inputs'!$B$15+'01_Inputs'!$B$16)+'01_Inputs'!$B$17+'01_Inputs'!$B$18),MOD((179*24/6+2)-'03_Capacity_Model'!$B$95,'03_Capacity_Model'!$B$96)&lt;((('01_Inputs'!$B$14+'01_Inputs'!$B$15+'01_Inputs'!$B$16)+'01_Inputs'!$B$17+'01_Inputs'!$B$18)+'01_Inputs'!$B$29*'01_Inputs'!$B$28))),4,0)</f>
        <v>0</v>
      </c>
    </row>
    <row r="24">
      <c r="B24" s="92" t="inlineStr">
        <is>
          <t>누적 생산 kg</t>
        </is>
      </c>
      <c r="C24" s="94">
        <f>((INT((24-0-(('01_Inputs'!$B$14+'01_Inputs'!$B$15+'01_Inputs'!$B$16)+'01_Inputs'!$B$17+'01_Inputs'!$B$18))/'03_Capacity_Model'!$B$96)-INT((0-0-(('01_Inputs'!$B$14+'01_Inputs'!$B$15+'01_Inputs'!$B$16)+'01_Inputs'!$B$17+'01_Inputs'!$B$18))/'03_Capacity_Model'!$B$96))+(INT((24-'03_Capacity_Model'!$B$95-(('01_Inputs'!$B$14+'01_Inputs'!$B$15+'01_Inputs'!$B$16)+'01_Inputs'!$B$17+'01_Inputs'!$B$18))/'03_Capacity_Model'!$B$96)-INT((0-'03_Capacity_Model'!$B$95-(('01_Inputs'!$B$14+'01_Inputs'!$B$15+'01_Inputs'!$B$16)+'01_Inputs'!$B$17+'01_Inputs'!$B$18))/'03_Capacity_Model'!$B$96)))*'01_Inputs'!$B$49</f>
        <v>190</v>
      </c>
      <c r="D24" s="77" t="n"/>
      <c r="E24" s="77" t="n"/>
      <c r="F24" s="77" t="n"/>
      <c r="G24" s="77" t="n"/>
      <c r="H24" s="77" t="n"/>
      <c r="I24" s="94">
        <f>((INT((48-0-(('01_Inputs'!$B$14+'01_Inputs'!$B$15+'01_Inputs'!$B$16)+'01_Inputs'!$B$17+'01_Inputs'!$B$18))/'03_Capacity_Model'!$B$96)-INT((0-0-(('01_Inputs'!$B$14+'01_Inputs'!$B$15+'01_Inputs'!$B$16)+'01_Inputs'!$B$17+'01_Inputs'!$B$18))/'03_Capacity_Model'!$B$96))+(INT((48-'03_Capacity_Model'!$B$95-(('01_Inputs'!$B$14+'01_Inputs'!$B$15+'01_Inputs'!$B$16)+'01_Inputs'!$B$17+'01_Inputs'!$B$18))/'03_Capacity_Model'!$B$96)-INT((0-'03_Capacity_Model'!$B$95-(('01_Inputs'!$B$14+'01_Inputs'!$B$15+'01_Inputs'!$B$16)+'01_Inputs'!$B$17+'01_Inputs'!$B$18))/'03_Capacity_Model'!$B$96)))*'01_Inputs'!$B$49</f>
        <v>190</v>
      </c>
      <c r="J24" s="77" t="n"/>
      <c r="K24" s="77" t="n"/>
      <c r="L24" s="77" t="n"/>
      <c r="M24" s="77" t="n"/>
      <c r="N24" s="77" t="n"/>
      <c r="O24" s="94">
        <f>((INT((72-0-(('01_Inputs'!$B$14+'01_Inputs'!$B$15+'01_Inputs'!$B$16)+'01_Inputs'!$B$17+'01_Inputs'!$B$18))/'03_Capacity_Model'!$B$96)-INT((0-0-(('01_Inputs'!$B$14+'01_Inputs'!$B$15+'01_Inputs'!$B$16)+'01_Inputs'!$B$17+'01_Inputs'!$B$18))/'03_Capacity_Model'!$B$96))+(INT((72-'03_Capacity_Model'!$B$95-(('01_Inputs'!$B$14+'01_Inputs'!$B$15+'01_Inputs'!$B$16)+'01_Inputs'!$B$17+'01_Inputs'!$B$18))/'03_Capacity_Model'!$B$96)-INT((0-'03_Capacity_Model'!$B$95-(('01_Inputs'!$B$14+'01_Inputs'!$B$15+'01_Inputs'!$B$16)+'01_Inputs'!$B$17+'01_Inputs'!$B$18))/'03_Capacity_Model'!$B$96)))*'01_Inputs'!$B$49</f>
        <v>380</v>
      </c>
      <c r="P24" s="77" t="n"/>
      <c r="Q24" s="77" t="n"/>
      <c r="R24" s="77" t="n"/>
      <c r="S24" s="77" t="n"/>
      <c r="T24" s="77" t="n"/>
      <c r="U24" s="94">
        <f>((INT((96-0-(('01_Inputs'!$B$14+'01_Inputs'!$B$15+'01_Inputs'!$B$16)+'01_Inputs'!$B$17+'01_Inputs'!$B$18))/'03_Capacity_Model'!$B$96)-INT((0-0-(('01_Inputs'!$B$14+'01_Inputs'!$B$15+'01_Inputs'!$B$16)+'01_Inputs'!$B$17+'01_Inputs'!$B$18))/'03_Capacity_Model'!$B$96))+(INT((96-'03_Capacity_Model'!$B$95-(('01_Inputs'!$B$14+'01_Inputs'!$B$15+'01_Inputs'!$B$16)+'01_Inputs'!$B$17+'01_Inputs'!$B$18))/'03_Capacity_Model'!$B$96)-INT((0-'03_Capacity_Model'!$B$95-(('01_Inputs'!$B$14+'01_Inputs'!$B$15+'01_Inputs'!$B$16)+'01_Inputs'!$B$17+'01_Inputs'!$B$18))/'03_Capacity_Model'!$B$96)))*'01_Inputs'!$B$49</f>
        <v>570</v>
      </c>
      <c r="V24" s="77" t="n"/>
      <c r="W24" s="77" t="n"/>
      <c r="X24" s="77" t="n"/>
      <c r="Y24" s="77" t="n"/>
      <c r="Z24" s="77" t="n"/>
      <c r="AA24" s="94">
        <f>((INT((120-0-(('01_Inputs'!$B$14+'01_Inputs'!$B$15+'01_Inputs'!$B$16)+'01_Inputs'!$B$17+'01_Inputs'!$B$18))/'03_Capacity_Model'!$B$96)-INT((0-0-(('01_Inputs'!$B$14+'01_Inputs'!$B$15+'01_Inputs'!$B$16)+'01_Inputs'!$B$17+'01_Inputs'!$B$18))/'03_Capacity_Model'!$B$96))+(INT((120-'03_Capacity_Model'!$B$95-(('01_Inputs'!$B$14+'01_Inputs'!$B$15+'01_Inputs'!$B$16)+'01_Inputs'!$B$17+'01_Inputs'!$B$18))/'03_Capacity_Model'!$B$96)-INT((0-'03_Capacity_Model'!$B$95-(('01_Inputs'!$B$14+'01_Inputs'!$B$15+'01_Inputs'!$B$16)+'01_Inputs'!$B$17+'01_Inputs'!$B$18))/'03_Capacity_Model'!$B$96)))*'01_Inputs'!$B$49</f>
        <v>570</v>
      </c>
      <c r="AB24" s="77" t="n"/>
      <c r="AC24" s="77" t="n"/>
      <c r="AD24" s="77" t="n"/>
      <c r="AE24" s="77" t="n"/>
      <c r="AF24" s="77" t="n"/>
      <c r="AG24" s="94">
        <f>((INT((144-0-(('01_Inputs'!$B$14+'01_Inputs'!$B$15+'01_Inputs'!$B$16)+'01_Inputs'!$B$17+'01_Inputs'!$B$18))/'03_Capacity_Model'!$B$96)-INT((0-0-(('01_Inputs'!$B$14+'01_Inputs'!$B$15+'01_Inputs'!$B$16)+'01_Inputs'!$B$17+'01_Inputs'!$B$18))/'03_Capacity_Model'!$B$96))+(INT((144-'03_Capacity_Model'!$B$95-(('01_Inputs'!$B$14+'01_Inputs'!$B$15+'01_Inputs'!$B$16)+'01_Inputs'!$B$17+'01_Inputs'!$B$18))/'03_Capacity_Model'!$B$96)-INT((0-'03_Capacity_Model'!$B$95-(('01_Inputs'!$B$14+'01_Inputs'!$B$15+'01_Inputs'!$B$16)+'01_Inputs'!$B$17+'01_Inputs'!$B$18))/'03_Capacity_Model'!$B$96)))*'01_Inputs'!$B$49</f>
        <v>760</v>
      </c>
      <c r="AH24" s="77" t="n"/>
      <c r="AI24" s="77" t="n"/>
      <c r="AJ24" s="77" t="n"/>
      <c r="AK24" s="77" t="n"/>
      <c r="AL24" s="77" t="n"/>
      <c r="AM24" s="94">
        <f>((INT((168-0-(('01_Inputs'!$B$14+'01_Inputs'!$B$15+'01_Inputs'!$B$16)+'01_Inputs'!$B$17+'01_Inputs'!$B$18))/'03_Capacity_Model'!$B$96)-INT((0-0-(('01_Inputs'!$B$14+'01_Inputs'!$B$15+'01_Inputs'!$B$16)+'01_Inputs'!$B$17+'01_Inputs'!$B$18))/'03_Capacity_Model'!$B$96))+(INT((168-'03_Capacity_Model'!$B$95-(('01_Inputs'!$B$14+'01_Inputs'!$B$15+'01_Inputs'!$B$16)+'01_Inputs'!$B$17+'01_Inputs'!$B$18))/'03_Capacity_Model'!$B$96)-INT((0-'03_Capacity_Model'!$B$95-(('01_Inputs'!$B$14+'01_Inputs'!$B$15+'01_Inputs'!$B$16)+'01_Inputs'!$B$17+'01_Inputs'!$B$18))/'03_Capacity_Model'!$B$96)))*'01_Inputs'!$B$49</f>
        <v>950</v>
      </c>
      <c r="AN24" s="77" t="n"/>
      <c r="AO24" s="77" t="n"/>
      <c r="AP24" s="77" t="n"/>
      <c r="AQ24" s="77" t="n"/>
      <c r="AR24" s="77" t="n"/>
      <c r="AS24" s="94">
        <f>((INT((192-0-(('01_Inputs'!$B$14+'01_Inputs'!$B$15+'01_Inputs'!$B$16)+'01_Inputs'!$B$17+'01_Inputs'!$B$18))/'03_Capacity_Model'!$B$96)-INT((0-0-(('01_Inputs'!$B$14+'01_Inputs'!$B$15+'01_Inputs'!$B$16)+'01_Inputs'!$B$17+'01_Inputs'!$B$18))/'03_Capacity_Model'!$B$96))+(INT((192-'03_Capacity_Model'!$B$95-(('01_Inputs'!$B$14+'01_Inputs'!$B$15+'01_Inputs'!$B$16)+'01_Inputs'!$B$17+'01_Inputs'!$B$18))/'03_Capacity_Model'!$B$96)-INT((0-'03_Capacity_Model'!$B$95-(('01_Inputs'!$B$14+'01_Inputs'!$B$15+'01_Inputs'!$B$16)+'01_Inputs'!$B$17+'01_Inputs'!$B$18))/'03_Capacity_Model'!$B$96)))*'01_Inputs'!$B$49</f>
        <v>1140</v>
      </c>
      <c r="AT24" s="77" t="n"/>
      <c r="AU24" s="77" t="n"/>
      <c r="AV24" s="77" t="n"/>
      <c r="AW24" s="77" t="n"/>
      <c r="AX24" s="77" t="n"/>
      <c r="AY24" s="94">
        <f>((INT((216-0-(('01_Inputs'!$B$14+'01_Inputs'!$B$15+'01_Inputs'!$B$16)+'01_Inputs'!$B$17+'01_Inputs'!$B$18))/'03_Capacity_Model'!$B$96)-INT((0-0-(('01_Inputs'!$B$14+'01_Inputs'!$B$15+'01_Inputs'!$B$16)+'01_Inputs'!$B$17+'01_Inputs'!$B$18))/'03_Capacity_Model'!$B$96))+(INT((216-'03_Capacity_Model'!$B$95-(('01_Inputs'!$B$14+'01_Inputs'!$B$15+'01_Inputs'!$B$16)+'01_Inputs'!$B$17+'01_Inputs'!$B$18))/'03_Capacity_Model'!$B$96)-INT((0-'03_Capacity_Model'!$B$95-(('01_Inputs'!$B$14+'01_Inputs'!$B$15+'01_Inputs'!$B$16)+'01_Inputs'!$B$17+'01_Inputs'!$B$18))/'03_Capacity_Model'!$B$96)))*'01_Inputs'!$B$49</f>
        <v>1140</v>
      </c>
      <c r="AZ24" s="77" t="n"/>
      <c r="BA24" s="77" t="n"/>
      <c r="BB24" s="77" t="n"/>
      <c r="BC24" s="77" t="n"/>
      <c r="BD24" s="77" t="n"/>
      <c r="BE24" s="94">
        <f>((INT((240-0-(('01_Inputs'!$B$14+'01_Inputs'!$B$15+'01_Inputs'!$B$16)+'01_Inputs'!$B$17+'01_Inputs'!$B$18))/'03_Capacity_Model'!$B$96)-INT((0-0-(('01_Inputs'!$B$14+'01_Inputs'!$B$15+'01_Inputs'!$B$16)+'01_Inputs'!$B$17+'01_Inputs'!$B$18))/'03_Capacity_Model'!$B$96))+(INT((240-'03_Capacity_Model'!$B$95-(('01_Inputs'!$B$14+'01_Inputs'!$B$15+'01_Inputs'!$B$16)+'01_Inputs'!$B$17+'01_Inputs'!$B$18))/'03_Capacity_Model'!$B$96)-INT((0-'03_Capacity_Model'!$B$95-(('01_Inputs'!$B$14+'01_Inputs'!$B$15+'01_Inputs'!$B$16)+'01_Inputs'!$B$17+'01_Inputs'!$B$18))/'03_Capacity_Model'!$B$96)))*'01_Inputs'!$B$49</f>
        <v>1330</v>
      </c>
      <c r="BF24" s="77" t="n"/>
      <c r="BG24" s="77" t="n"/>
      <c r="BH24" s="77" t="n"/>
      <c r="BI24" s="77" t="n"/>
      <c r="BJ24" s="77" t="n"/>
      <c r="BK24" s="94">
        <f>((INT((264-0-(('01_Inputs'!$B$14+'01_Inputs'!$B$15+'01_Inputs'!$B$16)+'01_Inputs'!$B$17+'01_Inputs'!$B$18))/'03_Capacity_Model'!$B$96)-INT((0-0-(('01_Inputs'!$B$14+'01_Inputs'!$B$15+'01_Inputs'!$B$16)+'01_Inputs'!$B$17+'01_Inputs'!$B$18))/'03_Capacity_Model'!$B$96))+(INT((264-'03_Capacity_Model'!$B$95-(('01_Inputs'!$B$14+'01_Inputs'!$B$15+'01_Inputs'!$B$16)+'01_Inputs'!$B$17+'01_Inputs'!$B$18))/'03_Capacity_Model'!$B$96)-INT((0-'03_Capacity_Model'!$B$95-(('01_Inputs'!$B$14+'01_Inputs'!$B$15+'01_Inputs'!$B$16)+'01_Inputs'!$B$17+'01_Inputs'!$B$18))/'03_Capacity_Model'!$B$96)))*'01_Inputs'!$B$49</f>
        <v>1520</v>
      </c>
      <c r="BL24" s="77" t="n"/>
      <c r="BM24" s="77" t="n"/>
      <c r="BN24" s="77" t="n"/>
      <c r="BO24" s="77" t="n"/>
      <c r="BP24" s="77" t="n"/>
      <c r="BQ24" s="94">
        <f>((INT((288-0-(('01_Inputs'!$B$14+'01_Inputs'!$B$15+'01_Inputs'!$B$16)+'01_Inputs'!$B$17+'01_Inputs'!$B$18))/'03_Capacity_Model'!$B$96)-INT((0-0-(('01_Inputs'!$B$14+'01_Inputs'!$B$15+'01_Inputs'!$B$16)+'01_Inputs'!$B$17+'01_Inputs'!$B$18))/'03_Capacity_Model'!$B$96))+(INT((288-'03_Capacity_Model'!$B$95-(('01_Inputs'!$B$14+'01_Inputs'!$B$15+'01_Inputs'!$B$16)+'01_Inputs'!$B$17+'01_Inputs'!$B$18))/'03_Capacity_Model'!$B$96)-INT((0-'03_Capacity_Model'!$B$95-(('01_Inputs'!$B$14+'01_Inputs'!$B$15+'01_Inputs'!$B$16)+'01_Inputs'!$B$17+'01_Inputs'!$B$18))/'03_Capacity_Model'!$B$96)))*'01_Inputs'!$B$49</f>
        <v>1710</v>
      </c>
      <c r="BR24" s="77" t="n"/>
      <c r="BS24" s="77" t="n"/>
      <c r="BT24" s="77" t="n"/>
      <c r="BU24" s="77" t="n"/>
      <c r="BV24" s="77" t="n"/>
      <c r="BW24" s="94">
        <f>((INT((312-0-(('01_Inputs'!$B$14+'01_Inputs'!$B$15+'01_Inputs'!$B$16)+'01_Inputs'!$B$17+'01_Inputs'!$B$18))/'03_Capacity_Model'!$B$96)-INT((0-0-(('01_Inputs'!$B$14+'01_Inputs'!$B$15+'01_Inputs'!$B$16)+'01_Inputs'!$B$17+'01_Inputs'!$B$18))/'03_Capacity_Model'!$B$96))+(INT((312-'03_Capacity_Model'!$B$95-(('01_Inputs'!$B$14+'01_Inputs'!$B$15+'01_Inputs'!$B$16)+'01_Inputs'!$B$17+'01_Inputs'!$B$18))/'03_Capacity_Model'!$B$96)-INT((0-'03_Capacity_Model'!$B$95-(('01_Inputs'!$B$14+'01_Inputs'!$B$15+'01_Inputs'!$B$16)+'01_Inputs'!$B$17+'01_Inputs'!$B$18))/'03_Capacity_Model'!$B$96)))*'01_Inputs'!$B$49</f>
        <v>1710</v>
      </c>
      <c r="BX24" s="77" t="n"/>
      <c r="BY24" s="77" t="n"/>
      <c r="BZ24" s="77" t="n"/>
      <c r="CA24" s="77" t="n"/>
      <c r="CB24" s="77" t="n"/>
      <c r="CC24" s="94">
        <f>((INT((336-0-(('01_Inputs'!$B$14+'01_Inputs'!$B$15+'01_Inputs'!$B$16)+'01_Inputs'!$B$17+'01_Inputs'!$B$18))/'03_Capacity_Model'!$B$96)-INT((0-0-(('01_Inputs'!$B$14+'01_Inputs'!$B$15+'01_Inputs'!$B$16)+'01_Inputs'!$B$17+'01_Inputs'!$B$18))/'03_Capacity_Model'!$B$96))+(INT((336-'03_Capacity_Model'!$B$95-(('01_Inputs'!$B$14+'01_Inputs'!$B$15+'01_Inputs'!$B$16)+'01_Inputs'!$B$17+'01_Inputs'!$B$18))/'03_Capacity_Model'!$B$96)-INT((0-'03_Capacity_Model'!$B$95-(('01_Inputs'!$B$14+'01_Inputs'!$B$15+'01_Inputs'!$B$16)+'01_Inputs'!$B$17+'01_Inputs'!$B$18))/'03_Capacity_Model'!$B$96)))*'01_Inputs'!$B$49</f>
        <v>1900</v>
      </c>
      <c r="CD24" s="77" t="n"/>
      <c r="CE24" s="77" t="n"/>
      <c r="CF24" s="77" t="n"/>
      <c r="CG24" s="77" t="n"/>
      <c r="CH24" s="77" t="n"/>
      <c r="CI24" s="94">
        <f>((INT((360-0-(('01_Inputs'!$B$14+'01_Inputs'!$B$15+'01_Inputs'!$B$16)+'01_Inputs'!$B$17+'01_Inputs'!$B$18))/'03_Capacity_Model'!$B$96)-INT((0-0-(('01_Inputs'!$B$14+'01_Inputs'!$B$15+'01_Inputs'!$B$16)+'01_Inputs'!$B$17+'01_Inputs'!$B$18))/'03_Capacity_Model'!$B$96))+(INT((360-'03_Capacity_Model'!$B$95-(('01_Inputs'!$B$14+'01_Inputs'!$B$15+'01_Inputs'!$B$16)+'01_Inputs'!$B$17+'01_Inputs'!$B$18))/'03_Capacity_Model'!$B$96)-INT((0-'03_Capacity_Model'!$B$95-(('01_Inputs'!$B$14+'01_Inputs'!$B$15+'01_Inputs'!$B$16)+'01_Inputs'!$B$17+'01_Inputs'!$B$18))/'03_Capacity_Model'!$B$96)))*'01_Inputs'!$B$49</f>
        <v>2090</v>
      </c>
      <c r="CJ24" s="77" t="n"/>
      <c r="CK24" s="77" t="n"/>
      <c r="CL24" s="77" t="n"/>
      <c r="CM24" s="77" t="n"/>
      <c r="CN24" s="77" t="n"/>
      <c r="CO24" s="94">
        <f>((INT((384-0-(('01_Inputs'!$B$14+'01_Inputs'!$B$15+'01_Inputs'!$B$16)+'01_Inputs'!$B$17+'01_Inputs'!$B$18))/'03_Capacity_Model'!$B$96)-INT((0-0-(('01_Inputs'!$B$14+'01_Inputs'!$B$15+'01_Inputs'!$B$16)+'01_Inputs'!$B$17+'01_Inputs'!$B$18))/'03_Capacity_Model'!$B$96))+(INT((384-'03_Capacity_Model'!$B$95-(('01_Inputs'!$B$14+'01_Inputs'!$B$15+'01_Inputs'!$B$16)+'01_Inputs'!$B$17+'01_Inputs'!$B$18))/'03_Capacity_Model'!$B$96)-INT((0-'03_Capacity_Model'!$B$95-(('01_Inputs'!$B$14+'01_Inputs'!$B$15+'01_Inputs'!$B$16)+'01_Inputs'!$B$17+'01_Inputs'!$B$18))/'03_Capacity_Model'!$B$96)))*'01_Inputs'!$B$49</f>
        <v>2090</v>
      </c>
      <c r="CP24" s="77" t="n"/>
      <c r="CQ24" s="77" t="n"/>
      <c r="CR24" s="77" t="n"/>
      <c r="CS24" s="77" t="n"/>
      <c r="CT24" s="77" t="n"/>
      <c r="CU24" s="94">
        <f>((INT((408-0-(('01_Inputs'!$B$14+'01_Inputs'!$B$15+'01_Inputs'!$B$16)+'01_Inputs'!$B$17+'01_Inputs'!$B$18))/'03_Capacity_Model'!$B$96)-INT((0-0-(('01_Inputs'!$B$14+'01_Inputs'!$B$15+'01_Inputs'!$B$16)+'01_Inputs'!$B$17+'01_Inputs'!$B$18))/'03_Capacity_Model'!$B$96))+(INT((408-'03_Capacity_Model'!$B$95-(('01_Inputs'!$B$14+'01_Inputs'!$B$15+'01_Inputs'!$B$16)+'01_Inputs'!$B$17+'01_Inputs'!$B$18))/'03_Capacity_Model'!$B$96)-INT((0-'03_Capacity_Model'!$B$95-(('01_Inputs'!$B$14+'01_Inputs'!$B$15+'01_Inputs'!$B$16)+'01_Inputs'!$B$17+'01_Inputs'!$B$18))/'03_Capacity_Model'!$B$96)))*'01_Inputs'!$B$49</f>
        <v>2280</v>
      </c>
      <c r="CV24" s="77" t="n"/>
      <c r="CW24" s="77" t="n"/>
      <c r="CX24" s="77" t="n"/>
      <c r="CY24" s="77" t="n"/>
      <c r="CZ24" s="77" t="n"/>
      <c r="DA24" s="94">
        <f>((INT((432-0-(('01_Inputs'!$B$14+'01_Inputs'!$B$15+'01_Inputs'!$B$16)+'01_Inputs'!$B$17+'01_Inputs'!$B$18))/'03_Capacity_Model'!$B$96)-INT((0-0-(('01_Inputs'!$B$14+'01_Inputs'!$B$15+'01_Inputs'!$B$16)+'01_Inputs'!$B$17+'01_Inputs'!$B$18))/'03_Capacity_Model'!$B$96))+(INT((432-'03_Capacity_Model'!$B$95-(('01_Inputs'!$B$14+'01_Inputs'!$B$15+'01_Inputs'!$B$16)+'01_Inputs'!$B$17+'01_Inputs'!$B$18))/'03_Capacity_Model'!$B$96)-INT((0-'03_Capacity_Model'!$B$95-(('01_Inputs'!$B$14+'01_Inputs'!$B$15+'01_Inputs'!$B$16)+'01_Inputs'!$B$17+'01_Inputs'!$B$18))/'03_Capacity_Model'!$B$96)))*'01_Inputs'!$B$49</f>
        <v>2470</v>
      </c>
      <c r="DB24" s="77" t="n"/>
      <c r="DC24" s="77" t="n"/>
      <c r="DD24" s="77" t="n"/>
      <c r="DE24" s="77" t="n"/>
      <c r="DF24" s="77" t="n"/>
      <c r="DG24" s="94">
        <f>((INT((456-0-(('01_Inputs'!$B$14+'01_Inputs'!$B$15+'01_Inputs'!$B$16)+'01_Inputs'!$B$17+'01_Inputs'!$B$18))/'03_Capacity_Model'!$B$96)-INT((0-0-(('01_Inputs'!$B$14+'01_Inputs'!$B$15+'01_Inputs'!$B$16)+'01_Inputs'!$B$17+'01_Inputs'!$B$18))/'03_Capacity_Model'!$B$96))+(INT((456-'03_Capacity_Model'!$B$95-(('01_Inputs'!$B$14+'01_Inputs'!$B$15+'01_Inputs'!$B$16)+'01_Inputs'!$B$17+'01_Inputs'!$B$18))/'03_Capacity_Model'!$B$96)-INT((0-'03_Capacity_Model'!$B$95-(('01_Inputs'!$B$14+'01_Inputs'!$B$15+'01_Inputs'!$B$16)+'01_Inputs'!$B$17+'01_Inputs'!$B$18))/'03_Capacity_Model'!$B$96)))*'01_Inputs'!$B$49</f>
        <v>2660</v>
      </c>
      <c r="DH24" s="77" t="n"/>
      <c r="DI24" s="77" t="n"/>
      <c r="DJ24" s="77" t="n"/>
      <c r="DK24" s="77" t="n"/>
      <c r="DL24" s="77" t="n"/>
      <c r="DM24" s="94">
        <f>((INT((480-0-(('01_Inputs'!$B$14+'01_Inputs'!$B$15+'01_Inputs'!$B$16)+'01_Inputs'!$B$17+'01_Inputs'!$B$18))/'03_Capacity_Model'!$B$96)-INT((0-0-(('01_Inputs'!$B$14+'01_Inputs'!$B$15+'01_Inputs'!$B$16)+'01_Inputs'!$B$17+'01_Inputs'!$B$18))/'03_Capacity_Model'!$B$96))+(INT((480-'03_Capacity_Model'!$B$95-(('01_Inputs'!$B$14+'01_Inputs'!$B$15+'01_Inputs'!$B$16)+'01_Inputs'!$B$17+'01_Inputs'!$B$18))/'03_Capacity_Model'!$B$96)-INT((0-'03_Capacity_Model'!$B$95-(('01_Inputs'!$B$14+'01_Inputs'!$B$15+'01_Inputs'!$B$16)+'01_Inputs'!$B$17+'01_Inputs'!$B$18))/'03_Capacity_Model'!$B$96)))*'01_Inputs'!$B$49</f>
        <v>2660</v>
      </c>
      <c r="DN24" s="77" t="n"/>
      <c r="DO24" s="77" t="n"/>
      <c r="DP24" s="77" t="n"/>
      <c r="DQ24" s="77" t="n"/>
      <c r="DR24" s="77" t="n"/>
      <c r="DS24" s="94">
        <f>((INT((504-0-(('01_Inputs'!$B$14+'01_Inputs'!$B$15+'01_Inputs'!$B$16)+'01_Inputs'!$B$17+'01_Inputs'!$B$18))/'03_Capacity_Model'!$B$96)-INT((0-0-(('01_Inputs'!$B$14+'01_Inputs'!$B$15+'01_Inputs'!$B$16)+'01_Inputs'!$B$17+'01_Inputs'!$B$18))/'03_Capacity_Model'!$B$96))+(INT((504-'03_Capacity_Model'!$B$95-(('01_Inputs'!$B$14+'01_Inputs'!$B$15+'01_Inputs'!$B$16)+'01_Inputs'!$B$17+'01_Inputs'!$B$18))/'03_Capacity_Model'!$B$96)-INT((0-'03_Capacity_Model'!$B$95-(('01_Inputs'!$B$14+'01_Inputs'!$B$15+'01_Inputs'!$B$16)+'01_Inputs'!$B$17+'01_Inputs'!$B$18))/'03_Capacity_Model'!$B$96)))*'01_Inputs'!$B$49</f>
        <v>2850</v>
      </c>
      <c r="DT24" s="77" t="n"/>
      <c r="DU24" s="77" t="n"/>
      <c r="DV24" s="77" t="n"/>
      <c r="DW24" s="77" t="n"/>
      <c r="DX24" s="77" t="n"/>
      <c r="DY24" s="94">
        <f>((INT((528-0-(('01_Inputs'!$B$14+'01_Inputs'!$B$15+'01_Inputs'!$B$16)+'01_Inputs'!$B$17+'01_Inputs'!$B$18))/'03_Capacity_Model'!$B$96)-INT((0-0-(('01_Inputs'!$B$14+'01_Inputs'!$B$15+'01_Inputs'!$B$16)+'01_Inputs'!$B$17+'01_Inputs'!$B$18))/'03_Capacity_Model'!$B$96))+(INT((528-'03_Capacity_Model'!$B$95-(('01_Inputs'!$B$14+'01_Inputs'!$B$15+'01_Inputs'!$B$16)+'01_Inputs'!$B$17+'01_Inputs'!$B$18))/'03_Capacity_Model'!$B$96)-INT((0-'03_Capacity_Model'!$B$95-(('01_Inputs'!$B$14+'01_Inputs'!$B$15+'01_Inputs'!$B$16)+'01_Inputs'!$B$17+'01_Inputs'!$B$18))/'03_Capacity_Model'!$B$96)))*'01_Inputs'!$B$49</f>
        <v>3040</v>
      </c>
      <c r="DZ24" s="77" t="n"/>
      <c r="EA24" s="77" t="n"/>
      <c r="EB24" s="77" t="n"/>
      <c r="EC24" s="77" t="n"/>
      <c r="ED24" s="77" t="n"/>
      <c r="EE24" s="94">
        <f>((INT((552-0-(('01_Inputs'!$B$14+'01_Inputs'!$B$15+'01_Inputs'!$B$16)+'01_Inputs'!$B$17+'01_Inputs'!$B$18))/'03_Capacity_Model'!$B$96)-INT((0-0-(('01_Inputs'!$B$14+'01_Inputs'!$B$15+'01_Inputs'!$B$16)+'01_Inputs'!$B$17+'01_Inputs'!$B$18))/'03_Capacity_Model'!$B$96))+(INT((552-'03_Capacity_Model'!$B$95-(('01_Inputs'!$B$14+'01_Inputs'!$B$15+'01_Inputs'!$B$16)+'01_Inputs'!$B$17+'01_Inputs'!$B$18))/'03_Capacity_Model'!$B$96)-INT((0-'03_Capacity_Model'!$B$95-(('01_Inputs'!$B$14+'01_Inputs'!$B$15+'01_Inputs'!$B$16)+'01_Inputs'!$B$17+'01_Inputs'!$B$18))/'03_Capacity_Model'!$B$96)))*'01_Inputs'!$B$49</f>
        <v>3230</v>
      </c>
      <c r="EF24" s="77" t="n"/>
      <c r="EG24" s="77" t="n"/>
      <c r="EH24" s="77" t="n"/>
      <c r="EI24" s="77" t="n"/>
      <c r="EJ24" s="77" t="n"/>
      <c r="EK24" s="94">
        <f>((INT((576-0-(('01_Inputs'!$B$14+'01_Inputs'!$B$15+'01_Inputs'!$B$16)+'01_Inputs'!$B$17+'01_Inputs'!$B$18))/'03_Capacity_Model'!$B$96)-INT((0-0-(('01_Inputs'!$B$14+'01_Inputs'!$B$15+'01_Inputs'!$B$16)+'01_Inputs'!$B$17+'01_Inputs'!$B$18))/'03_Capacity_Model'!$B$96))+(INT((576-'03_Capacity_Model'!$B$95-(('01_Inputs'!$B$14+'01_Inputs'!$B$15+'01_Inputs'!$B$16)+'01_Inputs'!$B$17+'01_Inputs'!$B$18))/'03_Capacity_Model'!$B$96)-INT((0-'03_Capacity_Model'!$B$95-(('01_Inputs'!$B$14+'01_Inputs'!$B$15+'01_Inputs'!$B$16)+'01_Inputs'!$B$17+'01_Inputs'!$B$18))/'03_Capacity_Model'!$B$96)))*'01_Inputs'!$B$49</f>
        <v>3230</v>
      </c>
      <c r="EL24" s="77" t="n"/>
      <c r="EM24" s="77" t="n"/>
      <c r="EN24" s="77" t="n"/>
      <c r="EO24" s="77" t="n"/>
      <c r="EP24" s="77" t="n"/>
      <c r="EQ24" s="94">
        <f>((INT((600-0-(('01_Inputs'!$B$14+'01_Inputs'!$B$15+'01_Inputs'!$B$16)+'01_Inputs'!$B$17+'01_Inputs'!$B$18))/'03_Capacity_Model'!$B$96)-INT((0-0-(('01_Inputs'!$B$14+'01_Inputs'!$B$15+'01_Inputs'!$B$16)+'01_Inputs'!$B$17+'01_Inputs'!$B$18))/'03_Capacity_Model'!$B$96))+(INT((600-'03_Capacity_Model'!$B$95-(('01_Inputs'!$B$14+'01_Inputs'!$B$15+'01_Inputs'!$B$16)+'01_Inputs'!$B$17+'01_Inputs'!$B$18))/'03_Capacity_Model'!$B$96)-INT((0-'03_Capacity_Model'!$B$95-(('01_Inputs'!$B$14+'01_Inputs'!$B$15+'01_Inputs'!$B$16)+'01_Inputs'!$B$17+'01_Inputs'!$B$18))/'03_Capacity_Model'!$B$96)))*'01_Inputs'!$B$49</f>
        <v>3420</v>
      </c>
      <c r="ER24" s="77" t="n"/>
      <c r="ES24" s="77" t="n"/>
      <c r="ET24" s="77" t="n"/>
      <c r="EU24" s="77" t="n"/>
      <c r="EV24" s="77" t="n"/>
      <c r="EW24" s="94">
        <f>((INT((624-0-(('01_Inputs'!$B$14+'01_Inputs'!$B$15+'01_Inputs'!$B$16)+'01_Inputs'!$B$17+'01_Inputs'!$B$18))/'03_Capacity_Model'!$B$96)-INT((0-0-(('01_Inputs'!$B$14+'01_Inputs'!$B$15+'01_Inputs'!$B$16)+'01_Inputs'!$B$17+'01_Inputs'!$B$18))/'03_Capacity_Model'!$B$96))+(INT((624-'03_Capacity_Model'!$B$95-(('01_Inputs'!$B$14+'01_Inputs'!$B$15+'01_Inputs'!$B$16)+'01_Inputs'!$B$17+'01_Inputs'!$B$18))/'03_Capacity_Model'!$B$96)-INT((0-'03_Capacity_Model'!$B$95-(('01_Inputs'!$B$14+'01_Inputs'!$B$15+'01_Inputs'!$B$16)+'01_Inputs'!$B$17+'01_Inputs'!$B$18))/'03_Capacity_Model'!$B$96)))*'01_Inputs'!$B$49</f>
        <v>3610</v>
      </c>
      <c r="EX24" s="77" t="n"/>
      <c r="EY24" s="77" t="n"/>
      <c r="EZ24" s="77" t="n"/>
      <c r="FA24" s="77" t="n"/>
      <c r="FB24" s="77" t="n"/>
      <c r="FC24" s="94">
        <f>((INT((648-0-(('01_Inputs'!$B$14+'01_Inputs'!$B$15+'01_Inputs'!$B$16)+'01_Inputs'!$B$17+'01_Inputs'!$B$18))/'03_Capacity_Model'!$B$96)-INT((0-0-(('01_Inputs'!$B$14+'01_Inputs'!$B$15+'01_Inputs'!$B$16)+'01_Inputs'!$B$17+'01_Inputs'!$B$18))/'03_Capacity_Model'!$B$96))+(INT((648-'03_Capacity_Model'!$B$95-(('01_Inputs'!$B$14+'01_Inputs'!$B$15+'01_Inputs'!$B$16)+'01_Inputs'!$B$17+'01_Inputs'!$B$18))/'03_Capacity_Model'!$B$96)-INT((0-'03_Capacity_Model'!$B$95-(('01_Inputs'!$B$14+'01_Inputs'!$B$15+'01_Inputs'!$B$16)+'01_Inputs'!$B$17+'01_Inputs'!$B$18))/'03_Capacity_Model'!$B$96)))*'01_Inputs'!$B$49</f>
        <v>3610</v>
      </c>
      <c r="FD24" s="77" t="n"/>
      <c r="FE24" s="77" t="n"/>
      <c r="FF24" s="77" t="n"/>
      <c r="FG24" s="77" t="n"/>
      <c r="FH24" s="77" t="n"/>
      <c r="FI24" s="94">
        <f>((INT((672-0-(('01_Inputs'!$B$14+'01_Inputs'!$B$15+'01_Inputs'!$B$16)+'01_Inputs'!$B$17+'01_Inputs'!$B$18))/'03_Capacity_Model'!$B$96)-INT((0-0-(('01_Inputs'!$B$14+'01_Inputs'!$B$15+'01_Inputs'!$B$16)+'01_Inputs'!$B$17+'01_Inputs'!$B$18))/'03_Capacity_Model'!$B$96))+(INT((672-'03_Capacity_Model'!$B$95-(('01_Inputs'!$B$14+'01_Inputs'!$B$15+'01_Inputs'!$B$16)+'01_Inputs'!$B$17+'01_Inputs'!$B$18))/'03_Capacity_Model'!$B$96)-INT((0-'03_Capacity_Model'!$B$95-(('01_Inputs'!$B$14+'01_Inputs'!$B$15+'01_Inputs'!$B$16)+'01_Inputs'!$B$17+'01_Inputs'!$B$18))/'03_Capacity_Model'!$B$96)))*'01_Inputs'!$B$49</f>
        <v>3800</v>
      </c>
      <c r="FJ24" s="77" t="n"/>
      <c r="FK24" s="77" t="n"/>
      <c r="FL24" s="77" t="n"/>
      <c r="FM24" s="77" t="n"/>
      <c r="FN24" s="77" t="n"/>
      <c r="FO24" s="94">
        <f>((INT((696-0-(('01_Inputs'!$B$14+'01_Inputs'!$B$15+'01_Inputs'!$B$16)+'01_Inputs'!$B$17+'01_Inputs'!$B$18))/'03_Capacity_Model'!$B$96)-INT((0-0-(('01_Inputs'!$B$14+'01_Inputs'!$B$15+'01_Inputs'!$B$16)+'01_Inputs'!$B$17+'01_Inputs'!$B$18))/'03_Capacity_Model'!$B$96))+(INT((696-'03_Capacity_Model'!$B$95-(('01_Inputs'!$B$14+'01_Inputs'!$B$15+'01_Inputs'!$B$16)+'01_Inputs'!$B$17+'01_Inputs'!$B$18))/'03_Capacity_Model'!$B$96)-INT((0-'03_Capacity_Model'!$B$95-(('01_Inputs'!$B$14+'01_Inputs'!$B$15+'01_Inputs'!$B$16)+'01_Inputs'!$B$17+'01_Inputs'!$B$18))/'03_Capacity_Model'!$B$96)))*'01_Inputs'!$B$49</f>
        <v>3990</v>
      </c>
      <c r="FP24" s="77" t="n"/>
      <c r="FQ24" s="77" t="n"/>
      <c r="FR24" s="77" t="n"/>
      <c r="FS24" s="77" t="n"/>
      <c r="FT24" s="77" t="n"/>
      <c r="FU24" s="94">
        <f>((INT((720-0-(('01_Inputs'!$B$14+'01_Inputs'!$B$15+'01_Inputs'!$B$16)+'01_Inputs'!$B$17+'01_Inputs'!$B$18))/'03_Capacity_Model'!$B$96)-INT((0-0-(('01_Inputs'!$B$14+'01_Inputs'!$B$15+'01_Inputs'!$B$16)+'01_Inputs'!$B$17+'01_Inputs'!$B$18))/'03_Capacity_Model'!$B$96))+(INT((720-'03_Capacity_Model'!$B$95-(('01_Inputs'!$B$14+'01_Inputs'!$B$15+'01_Inputs'!$B$16)+'01_Inputs'!$B$17+'01_Inputs'!$B$18))/'03_Capacity_Model'!$B$96)-INT((0-'03_Capacity_Model'!$B$95-(('01_Inputs'!$B$14+'01_Inputs'!$B$15+'01_Inputs'!$B$16)+'01_Inputs'!$B$17+'01_Inputs'!$B$18))/'03_Capacity_Model'!$B$96)))*'01_Inputs'!$B$49</f>
        <v>4180</v>
      </c>
      <c r="FV24" s="77" t="n"/>
      <c r="FW24" s="77" t="n"/>
      <c r="FX24" s="77" t="n"/>
      <c r="FY24" s="77" t="n"/>
      <c r="FZ24" s="77" t="n"/>
    </row>
    <row r="25">
      <c r="B25" s="75" t="inlineStr">
        <is>
          <t>범례: 주황 = 준비·정제 · 연노랑 = 기타(Mix·이송·대기, 확인) · 파랑 = PQC·이송·FQC · 초록 = 5 Gal 충진</t>
        </is>
      </c>
    </row>
  </sheetData>
  <mergeCells count="204">
    <mergeCell ref="EW14:FF14"/>
    <mergeCell ref="BA15:BJ15"/>
    <mergeCell ref="DS12:EB12"/>
    <mergeCell ref="FG14:FP14"/>
    <mergeCell ref="BU15:CD15"/>
    <mergeCell ref="EC12:EL12"/>
    <mergeCell ref="FU24:FZ24"/>
    <mergeCell ref="DA19:DF19"/>
    <mergeCell ref="FG6:FZ6"/>
    <mergeCell ref="FQ15:FZ15"/>
    <mergeCell ref="DS14:EB14"/>
    <mergeCell ref="EM13:EV13"/>
    <mergeCell ref="CY13:DH13"/>
    <mergeCell ref="DI13:DR13"/>
    <mergeCell ref="DS6:EL6"/>
    <mergeCell ref="BK10:BT10"/>
    <mergeCell ref="DI16:DR16"/>
    <mergeCell ref="EK19:EP19"/>
    <mergeCell ref="BU16:CD16"/>
    <mergeCell ref="EM15:EV15"/>
    <mergeCell ref="FG15:FP15"/>
    <mergeCell ref="FI19:FN19"/>
    <mergeCell ref="CO10:CX10"/>
    <mergeCell ref="CY10:DH10"/>
    <mergeCell ref="EM16:EV16"/>
    <mergeCell ref="FG16:FP16"/>
    <mergeCell ref="M11:V11"/>
    <mergeCell ref="AG11:AP11"/>
    <mergeCell ref="BA10:BJ10"/>
    <mergeCell ref="CY16:DH16"/>
    <mergeCell ref="C24:H24"/>
    <mergeCell ref="BE24:BJ24"/>
    <mergeCell ref="BK5:CD5"/>
    <mergeCell ref="EC11:EL11"/>
    <mergeCell ref="C12:L12"/>
    <mergeCell ref="FQ10:FZ10"/>
    <mergeCell ref="M15:V15"/>
    <mergeCell ref="DS24:DX24"/>
    <mergeCell ref="W12:AF12"/>
    <mergeCell ref="CO11:CX11"/>
    <mergeCell ref="AA24:AF24"/>
    <mergeCell ref="AQ14:AZ14"/>
    <mergeCell ref="CY11:DH11"/>
    <mergeCell ref="CC24:CH24"/>
    <mergeCell ref="BA14:BJ14"/>
    <mergeCell ref="AG13:AP13"/>
    <mergeCell ref="BK14:BT14"/>
    <mergeCell ref="AM24:AR24"/>
    <mergeCell ref="CO24:CT24"/>
    <mergeCell ref="AQ13:AZ13"/>
    <mergeCell ref="C6:V6"/>
    <mergeCell ref="BK6:CD6"/>
    <mergeCell ref="FQ11:FZ11"/>
    <mergeCell ref="W6:AP6"/>
    <mergeCell ref="AG15:AP15"/>
    <mergeCell ref="EW13:FF13"/>
    <mergeCell ref="CO12:CX12"/>
    <mergeCell ref="C13:L13"/>
    <mergeCell ref="AQ15:AZ15"/>
    <mergeCell ref="DI12:DR12"/>
    <mergeCell ref="AG19:AL19"/>
    <mergeCell ref="EC14:EL14"/>
    <mergeCell ref="AY19:BD19"/>
    <mergeCell ref="EM11:EV11"/>
    <mergeCell ref="EW15:FF15"/>
    <mergeCell ref="CI19:CN19"/>
    <mergeCell ref="CO14:CX14"/>
    <mergeCell ref="DS13:EB13"/>
    <mergeCell ref="C15:L15"/>
    <mergeCell ref="AS19:AX19"/>
    <mergeCell ref="W10:AF10"/>
    <mergeCell ref="CE13:CN13"/>
    <mergeCell ref="CU19:CZ19"/>
    <mergeCell ref="EW12:FF12"/>
    <mergeCell ref="AG10:AP10"/>
    <mergeCell ref="CE16:CN16"/>
    <mergeCell ref="C19:H19"/>
    <mergeCell ref="EW19:FB19"/>
    <mergeCell ref="DS15:EB15"/>
    <mergeCell ref="EM5:FF5"/>
    <mergeCell ref="AQ16:AZ16"/>
    <mergeCell ref="BQ19:BV19"/>
    <mergeCell ref="C10:L10"/>
    <mergeCell ref="C16:L16"/>
    <mergeCell ref="DS19:DX19"/>
    <mergeCell ref="FU19:FZ19"/>
    <mergeCell ref="EE19:EJ19"/>
    <mergeCell ref="DI10:DR10"/>
    <mergeCell ref="FQ13:FZ13"/>
    <mergeCell ref="BU10:CD10"/>
    <mergeCell ref="DS16:EB16"/>
    <mergeCell ref="C11:L11"/>
    <mergeCell ref="AQ10:AZ10"/>
    <mergeCell ref="CO16:CX16"/>
    <mergeCell ref="DI11:DR11"/>
    <mergeCell ref="EQ19:EV19"/>
    <mergeCell ref="DS11:EB11"/>
    <mergeCell ref="EM10:EV10"/>
    <mergeCell ref="AG12:AP12"/>
    <mergeCell ref="AY24:BD24"/>
    <mergeCell ref="FC19:FH19"/>
    <mergeCell ref="FG10:FP10"/>
    <mergeCell ref="BK11:BT11"/>
    <mergeCell ref="C5:V5"/>
    <mergeCell ref="M14:V14"/>
    <mergeCell ref="W14:AF14"/>
    <mergeCell ref="CE11:CN11"/>
    <mergeCell ref="W5:AP5"/>
    <mergeCell ref="AG14:AP14"/>
    <mergeCell ref="U24:Z24"/>
    <mergeCell ref="W13:AF13"/>
    <mergeCell ref="BW24:CB24"/>
    <mergeCell ref="DS5:EL5"/>
    <mergeCell ref="BA12:BJ12"/>
    <mergeCell ref="BK15:BT15"/>
    <mergeCell ref="C14:L14"/>
    <mergeCell ref="BK12:BT12"/>
    <mergeCell ref="BU12:CD12"/>
    <mergeCell ref="EK24:EP24"/>
    <mergeCell ref="W15:AF15"/>
    <mergeCell ref="CE5:CX5"/>
    <mergeCell ref="I19:N19"/>
    <mergeCell ref="CY6:DR6"/>
    <mergeCell ref="BK19:BP19"/>
    <mergeCell ref="CY14:DH14"/>
    <mergeCell ref="FQ12:FZ12"/>
    <mergeCell ref="U19:Z19"/>
    <mergeCell ref="BE19:BJ19"/>
    <mergeCell ref="BU14:CD14"/>
    <mergeCell ref="CO13:CX13"/>
    <mergeCell ref="BW19:CB19"/>
    <mergeCell ref="DG19:DL19"/>
    <mergeCell ref="EQ24:EV24"/>
    <mergeCell ref="O19:T19"/>
    <mergeCell ref="M10:V10"/>
    <mergeCell ref="EW11:FF11"/>
    <mergeCell ref="FQ14:FZ14"/>
    <mergeCell ref="CE15:CN15"/>
    <mergeCell ref="EM12:EV12"/>
    <mergeCell ref="CE6:CX6"/>
    <mergeCell ref="FC24:FH24"/>
    <mergeCell ref="CO15:CX15"/>
    <mergeCell ref="FG13:FP13"/>
    <mergeCell ref="AA19:AF19"/>
    <mergeCell ref="M13:V13"/>
    <mergeCell ref="DI15:DR15"/>
    <mergeCell ref="CC19:CH19"/>
    <mergeCell ref="AM19:AR19"/>
    <mergeCell ref="M16:V16"/>
    <mergeCell ref="CO19:CT19"/>
    <mergeCell ref="AG16:AP16"/>
    <mergeCell ref="EM14:EV14"/>
    <mergeCell ref="DY19:ED19"/>
    <mergeCell ref="DY24:ED24"/>
    <mergeCell ref="EC13:EL13"/>
    <mergeCell ref="EM6:FF6"/>
    <mergeCell ref="CE10:CN10"/>
    <mergeCell ref="EC16:EL16"/>
    <mergeCell ref="EE24:EJ24"/>
    <mergeCell ref="FO24:FT24"/>
    <mergeCell ref="EC15:EL15"/>
    <mergeCell ref="W11:AF11"/>
    <mergeCell ref="EW10:FF10"/>
    <mergeCell ref="BA16:BJ16"/>
    <mergeCell ref="BK16:BT16"/>
    <mergeCell ref="I24:N24"/>
    <mergeCell ref="DM19:DR19"/>
    <mergeCell ref="EW16:FF16"/>
    <mergeCell ref="BK24:BP24"/>
    <mergeCell ref="DS10:EB10"/>
    <mergeCell ref="FQ16:FZ16"/>
    <mergeCell ref="FO19:FT19"/>
    <mergeCell ref="EC10:EL10"/>
    <mergeCell ref="AQ11:AZ11"/>
    <mergeCell ref="BA11:BJ11"/>
    <mergeCell ref="AG24:AL24"/>
    <mergeCell ref="BU11:CD11"/>
    <mergeCell ref="CI24:CN24"/>
    <mergeCell ref="AS24:AX24"/>
    <mergeCell ref="FG11:FP11"/>
    <mergeCell ref="CY5:DR5"/>
    <mergeCell ref="DI14:DR14"/>
    <mergeCell ref="CU24:CZ24"/>
    <mergeCell ref="CE12:CN12"/>
    <mergeCell ref="EW24:FB24"/>
    <mergeCell ref="AQ5:BJ5"/>
    <mergeCell ref="AQ12:AZ12"/>
    <mergeCell ref="DG24:DL24"/>
    <mergeCell ref="FI24:FN24"/>
    <mergeCell ref="O24:T24"/>
    <mergeCell ref="CE14:CN14"/>
    <mergeCell ref="BA13:BJ13"/>
    <mergeCell ref="BK13:BT13"/>
    <mergeCell ref="BQ24:BV24"/>
    <mergeCell ref="CY15:DH15"/>
    <mergeCell ref="DA24:DF24"/>
    <mergeCell ref="FG5:FZ5"/>
    <mergeCell ref="FG12:FP12"/>
    <mergeCell ref="M12:V12"/>
    <mergeCell ref="BU13:CD13"/>
    <mergeCell ref="DM24:DR24"/>
    <mergeCell ref="W16:AF16"/>
    <mergeCell ref="CY12:DH12"/>
    <mergeCell ref="AQ6:BJ6"/>
  </mergeCells>
  <conditionalFormatting sqref="C11:FZ11">
    <cfRule type="expression" priority="1" dxfId="7">
      <formula>AND(C11&lt;&gt;"",C11&lt;&gt;"수동",C11&lt;&gt;"미정")</formula>
    </cfRule>
  </conditionalFormatting>
  <conditionalFormatting sqref="C12:FZ12">
    <cfRule type="expression" priority="2" dxfId="8">
      <formula>AND(C12&lt;&gt;"",C12&lt;&gt;"수동",C12&lt;&gt;"미정")</formula>
    </cfRule>
  </conditionalFormatting>
  <conditionalFormatting sqref="C13:FZ13">
    <cfRule type="expression" priority="3" dxfId="9">
      <formula>AND(C13&lt;&gt;"",C13&lt;&gt;"수동",C13&lt;&gt;"미정")</formula>
    </cfRule>
  </conditionalFormatting>
  <conditionalFormatting sqref="C14:FZ14">
    <cfRule type="expression" priority="4" dxfId="10">
      <formula>AND(C14&lt;&gt;"",C14&lt;&gt;"수동",C14&lt;&gt;"미정")</formula>
    </cfRule>
  </conditionalFormatting>
  <conditionalFormatting sqref="C15:FZ15">
    <cfRule type="expression" priority="5" dxfId="10">
      <formula>AND(C15&lt;&gt;"",C15&lt;&gt;"수동",C15&lt;&gt;"미정")</formula>
    </cfRule>
  </conditionalFormatting>
  <conditionalFormatting sqref="C20:FZ23">
    <cfRule type="cellIs" priority="6" operator="equal" dxfId="11">
      <formula>1</formula>
    </cfRule>
    <cfRule type="cellIs" priority="7" operator="equal" dxfId="12">
      <formula>2</formula>
    </cfRule>
    <cfRule type="cellIs" priority="8" operator="equal" dxfId="13">
      <formula>3</formula>
    </cfRule>
    <cfRule type="cellIs" priority="9" operator="equal" dxfId="14">
      <formula>4</formula>
    </cfRule>
  </conditionalFormatting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AY22"/>
  <sheetViews>
    <sheetView showGridLines="0" zoomScale="90" workbookViewId="0">
      <selection activeCell="A1" sqref="A1"/>
    </sheetView>
  </sheetViews>
  <sheetFormatPr baseColWidth="8" defaultRowHeight="15"/>
  <cols>
    <col width="1.5" customWidth="1" min="1" max="1"/>
    <col width="6.83" customWidth="1" min="2" max="2"/>
    <col width="1.41" customWidth="1" min="3" max="3"/>
    <col width="1.41" customWidth="1" min="4" max="4"/>
    <col width="1.41" customWidth="1" min="5" max="5"/>
    <col width="1.41" customWidth="1" min="6" max="6"/>
    <col width="1.41" customWidth="1" min="7" max="7"/>
    <col width="1.41" customWidth="1" min="8" max="8"/>
    <col width="1.41" customWidth="1" min="9" max="9"/>
    <col width="1.41" customWidth="1" min="10" max="10"/>
    <col width="1.41" customWidth="1" min="11" max="11"/>
    <col width="1.41" customWidth="1" min="12" max="12"/>
    <col width="1.41" customWidth="1" min="13" max="13"/>
    <col width="1.41" customWidth="1" min="14" max="14"/>
    <col width="1.41" customWidth="1" min="15" max="15"/>
    <col width="1.41" customWidth="1" min="16" max="16"/>
    <col width="1.41" customWidth="1" min="17" max="17"/>
    <col width="1.41" customWidth="1" min="18" max="18"/>
    <col width="1.41" customWidth="1" min="19" max="19"/>
    <col width="1.41" customWidth="1" min="20" max="20"/>
    <col width="1.41" customWidth="1" min="21" max="21"/>
    <col width="1.41" customWidth="1" min="22" max="22"/>
    <col width="1.41" customWidth="1" min="23" max="23"/>
    <col width="1.41" customWidth="1" min="24" max="24"/>
    <col width="1.41" customWidth="1" min="25" max="25"/>
    <col width="1.41" customWidth="1" min="26" max="26"/>
    <col width="1.41" customWidth="1" min="27" max="27"/>
    <col width="1.41" customWidth="1" min="28" max="28"/>
    <col width="1.41" customWidth="1" min="29" max="29"/>
    <col width="1.41" customWidth="1" min="30" max="30"/>
    <col width="1.41" customWidth="1" min="31" max="31"/>
    <col width="1.41" customWidth="1" min="32" max="32"/>
    <col width="1.41" customWidth="1" min="33" max="33"/>
    <col width="5.05" customWidth="1" min="34" max="34"/>
    <col width="5.05" customWidth="1" min="35" max="35"/>
    <col width="5.05" customWidth="1" min="36" max="36"/>
    <col width="20.54" customWidth="1" min="38" max="38"/>
    <col width="6.97" customWidth="1" min="39" max="39"/>
    <col width="6.97" customWidth="1" min="40" max="40"/>
    <col width="6.97" customWidth="1" min="41" max="41"/>
    <col width="6.97" customWidth="1" min="42" max="42"/>
    <col width="6.97" customWidth="1" min="43" max="43"/>
    <col width="6.97" customWidth="1" min="44" max="44"/>
    <col width="6.97" customWidth="1" min="45" max="45"/>
    <col width="6.97" customWidth="1" min="46" max="46"/>
    <col width="6.97" customWidth="1" min="47" max="47"/>
    <col width="6.97" customWidth="1" min="48" max="48"/>
    <col width="6.97" customWidth="1" min="49" max="49"/>
    <col width="6.97" customWidth="1" min="50" max="50"/>
    <col width="6.97" customWidth="1" min="51" max="51"/>
  </cols>
  <sheetData>
    <row r="1">
      <c r="A1" s="64" t="inlineStr">
        <is>
          <t>P3 | 과거 Batch 표시일자 · 간격 · 생산능력 · 2026 출하 (PPT 3장)</t>
        </is>
      </c>
    </row>
    <row r="2">
      <c r="A2" s="65" t="inlineStr">
        <is>
          <t>파란 글자 = 입력 칸 (여기서 고치면 다른 P 표·계산 시트가 모두 같이 바뀜) · 검정 = 자동 계산. PPT: 범위 복사 → 붙여넣기(원본 서식 유지/그림) · 계속 연동하려면 [선택하여 붙여넣기 → 연결하여 붙여넣기].</t>
        </is>
      </c>
    </row>
    <row r="4" ht="15" customHeight="1">
      <c r="B4" s="66" t="inlineStr">
        <is>
          <t>① Batch 표시일자 달력 (입력: 해당 날짜 칸에 Batch 번호)</t>
        </is>
      </c>
      <c r="U4" s="67" t="inlineStr">
        <is>
          <t>→ 02_Batch_Raw 간격·관측 간격·04 과거계획 자동 반영</t>
        </is>
      </c>
      <c r="AL4" s="66" t="inlineStr">
        <is>
          <t>③ 월 생산능력 비교 (정제기 1대 · 720 h)</t>
        </is>
      </c>
    </row>
    <row r="5" ht="12" customHeight="1">
      <c r="B5" s="68" t="inlineStr">
        <is>
          <t>월</t>
        </is>
      </c>
      <c r="C5" s="95" t="n">
        <v>1</v>
      </c>
      <c r="D5" s="95" t="n">
        <v>2</v>
      </c>
      <c r="E5" s="95" t="n">
        <v>3</v>
      </c>
      <c r="F5" s="95" t="n">
        <v>4</v>
      </c>
      <c r="G5" s="95" t="n">
        <v>5</v>
      </c>
      <c r="H5" s="95" t="n">
        <v>6</v>
      </c>
      <c r="I5" s="95" t="n">
        <v>7</v>
      </c>
      <c r="J5" s="95" t="n">
        <v>8</v>
      </c>
      <c r="K5" s="95" t="n">
        <v>9</v>
      </c>
      <c r="L5" s="95" t="n">
        <v>10</v>
      </c>
      <c r="M5" s="95" t="n">
        <v>11</v>
      </c>
      <c r="N5" s="95" t="n">
        <v>12</v>
      </c>
      <c r="O5" s="95" t="n">
        <v>13</v>
      </c>
      <c r="P5" s="95" t="n">
        <v>14</v>
      </c>
      <c r="Q5" s="95" t="n">
        <v>15</v>
      </c>
      <c r="R5" s="95" t="n">
        <v>16</v>
      </c>
      <c r="S5" s="95" t="n">
        <v>17</v>
      </c>
      <c r="T5" s="95" t="n">
        <v>18</v>
      </c>
      <c r="U5" s="95" t="n">
        <v>19</v>
      </c>
      <c r="V5" s="95" t="n">
        <v>20</v>
      </c>
      <c r="W5" s="95" t="n">
        <v>21</v>
      </c>
      <c r="X5" s="95" t="n">
        <v>22</v>
      </c>
      <c r="Y5" s="95" t="n">
        <v>23</v>
      </c>
      <c r="Z5" s="95" t="n">
        <v>24</v>
      </c>
      <c r="AA5" s="95" t="n">
        <v>25</v>
      </c>
      <c r="AB5" s="95" t="n">
        <v>26</v>
      </c>
      <c r="AC5" s="95" t="n">
        <v>27</v>
      </c>
      <c r="AD5" s="95" t="n">
        <v>28</v>
      </c>
      <c r="AE5" s="95" t="n">
        <v>29</v>
      </c>
      <c r="AF5" s="95" t="n">
        <v>30</v>
      </c>
      <c r="AG5" s="95" t="n">
        <v>31</v>
      </c>
      <c r="AH5" s="82" t="inlineStr">
        <is>
          <t>번호</t>
        </is>
      </c>
      <c r="AI5" s="82" t="inlineStr">
        <is>
          <t>Total</t>
        </is>
      </c>
      <c r="AJ5" s="82" t="inlineStr">
        <is>
          <t>차이</t>
        </is>
      </c>
      <c r="AL5" s="68" t="inlineStr">
        <is>
          <t>기준</t>
        </is>
      </c>
      <c r="AM5" s="69" t="inlineStr">
        <is>
          <t>간격 h</t>
        </is>
      </c>
      <c r="AN5" s="69" t="inlineStr"/>
      <c r="AO5" s="69" t="inlineStr">
        <is>
          <t>월 Batch</t>
        </is>
      </c>
      <c r="AP5" s="69" t="inlineStr"/>
      <c r="AQ5" s="69" t="inlineStr">
        <is>
          <t>월 kg</t>
        </is>
      </c>
      <c r="AR5" s="69" t="inlineStr"/>
      <c r="AS5" s="69" t="inlineStr">
        <is>
          <t>연 환산 t</t>
        </is>
      </c>
      <c r="AT5" s="69" t="inlineStr"/>
      <c r="AU5" s="69" t="inlineStr">
        <is>
          <t>26.2 대비</t>
        </is>
      </c>
      <c r="AV5" s="69" t="inlineStr"/>
      <c r="AW5" s="69" t="inlineStr"/>
      <c r="AX5" s="69" t="inlineStr"/>
      <c r="AY5" s="69" t="inlineStr"/>
    </row>
    <row r="6">
      <c r="B6" s="70" t="inlineStr">
        <is>
          <t>5월 *</t>
        </is>
      </c>
      <c r="C6" s="96" t="n"/>
      <c r="D6" s="96" t="n"/>
      <c r="E6" s="96" t="n"/>
      <c r="F6" s="96" t="n"/>
      <c r="G6" s="96" t="n"/>
      <c r="H6" s="96" t="n"/>
      <c r="I6" s="96" t="n"/>
      <c r="J6" s="96" t="n"/>
      <c r="K6" s="96" t="n"/>
      <c r="L6" s="96" t="n"/>
      <c r="M6" s="96" t="n"/>
      <c r="N6" s="96" t="n"/>
      <c r="O6" s="96" t="n"/>
      <c r="P6" s="96" t="n"/>
      <c r="Q6" s="96" t="n"/>
      <c r="R6" s="96" t="n"/>
      <c r="S6" s="96" t="n"/>
      <c r="T6" s="96" t="n"/>
      <c r="U6" s="96" t="n"/>
      <c r="V6" s="96" t="n"/>
      <c r="W6" s="96" t="n"/>
      <c r="X6" s="96" t="n"/>
      <c r="Y6" s="96" t="n">
        <v>37</v>
      </c>
      <c r="Z6" s="96" t="n"/>
      <c r="AA6" s="96" t="n"/>
      <c r="AB6" s="96" t="n">
        <v>38</v>
      </c>
      <c r="AC6" s="96" t="n"/>
      <c r="AD6" s="96" t="n"/>
      <c r="AE6" s="96" t="n"/>
      <c r="AF6" s="96" t="n"/>
      <c r="AG6" s="96" t="n"/>
      <c r="AH6" s="97">
        <f>COUNT(C6:AG6)</f>
        <v>2</v>
      </c>
      <c r="AI6" s="76" t="n"/>
      <c r="AJ6" s="98" t="str">
        <f>IF(ISNUMBER(AI6),AH6-AI6,"–")</f>
        <v>–</v>
      </c>
      <c r="AL6" s="70" t="str">
        <f>'03_Capacity_Model'!A76</f>
        <v>① 이론 (정제 45 h만)</v>
      </c>
      <c r="AM6" s="79">
        <f>'03_Capacity_Model'!B76</f>
        <v>45</v>
      </c>
      <c r="AN6" s="77" t="n"/>
      <c r="AO6" s="79">
        <f>'03_Capacity_Model'!C76</f>
        <v>16</v>
      </c>
      <c r="AP6" s="77" t="n"/>
      <c r="AQ6" s="81">
        <f>'03_Capacity_Model'!D76</f>
        <v>3040</v>
      </c>
      <c r="AR6" s="77" t="n"/>
      <c r="AS6" s="99">
        <f>'03_Capacity_Model'!E76</f>
        <v>36.48</v>
      </c>
      <c r="AT6" s="77" t="n"/>
      <c r="AU6" s="100">
        <f>'03_Capacity_Model'!F76</f>
        <v>10.28</v>
      </c>
      <c r="AV6" s="77" t="n"/>
      <c r="AW6" s="101" t="str">
        <f>'03_Capacity_Model'!H76</f>
        <v>720 ÷ 45 = 16 · 준비·전환·이송·세척·대기·보수 제외</v>
      </c>
      <c r="AX6" s="77" t="n"/>
      <c r="AY6" s="77" t="n"/>
    </row>
    <row r="7">
      <c r="B7" s="70" t="inlineStr">
        <is>
          <t>6월</t>
        </is>
      </c>
      <c r="C7" s="96" t="n"/>
      <c r="D7" s="96" t="n">
        <v>39</v>
      </c>
      <c r="E7" s="96" t="n"/>
      <c r="F7" s="96" t="n"/>
      <c r="G7" s="96" t="n">
        <v>40</v>
      </c>
      <c r="H7" s="96" t="n"/>
      <c r="I7" s="96" t="n"/>
      <c r="J7" s="96" t="n">
        <v>41</v>
      </c>
      <c r="K7" s="96" t="n"/>
      <c r="L7" s="96" t="n"/>
      <c r="M7" s="96" t="n">
        <v>42</v>
      </c>
      <c r="N7" s="96" t="n"/>
      <c r="O7" s="96" t="n"/>
      <c r="P7" s="96" t="n">
        <v>43</v>
      </c>
      <c r="Q7" s="96" t="n"/>
      <c r="R7" s="96" t="n"/>
      <c r="S7" s="96" t="n">
        <v>44</v>
      </c>
      <c r="T7" s="96" t="n"/>
      <c r="U7" s="96" t="n"/>
      <c r="V7" s="96" t="n">
        <v>45</v>
      </c>
      <c r="W7" s="96" t="n"/>
      <c r="X7" s="96" t="n"/>
      <c r="Y7" s="96" t="n">
        <v>46</v>
      </c>
      <c r="Z7" s="96" t="n"/>
      <c r="AA7" s="96" t="n">
        <v>47</v>
      </c>
      <c r="AB7" s="96" t="n"/>
      <c r="AC7" s="96" t="n">
        <v>48</v>
      </c>
      <c r="AD7" s="96" t="n">
        <v>49</v>
      </c>
      <c r="AE7" s="96" t="n"/>
      <c r="AF7" s="96" t="n"/>
      <c r="AG7" s="96" t="n"/>
      <c r="AH7" s="97">
        <f>COUNT(C7:AG7)</f>
        <v>11</v>
      </c>
      <c r="AI7" s="76" t="n">
        <v>8</v>
      </c>
      <c r="AJ7" s="98">
        <f>IF(ISNUMBER(AI7),AH7-AI7,"–")</f>
        <v>3</v>
      </c>
      <c r="AL7" s="70" t="str">
        <f>'03_Capacity_Model'!A77</f>
        <v>② 과거 월 최대 11 Batch</v>
      </c>
      <c r="AM7" s="79">
        <f>'03_Capacity_Model'!B77</f>
        <v>65.4545454545455</v>
      </c>
      <c r="AN7" s="77" t="n"/>
      <c r="AO7" s="79">
        <f>'03_Capacity_Model'!C77</f>
        <v>11</v>
      </c>
      <c r="AP7" s="77" t="n"/>
      <c r="AQ7" s="81">
        <f>'03_Capacity_Model'!D77</f>
        <v>2090</v>
      </c>
      <c r="AR7" s="77" t="n"/>
      <c r="AS7" s="99">
        <f>'03_Capacity_Model'!E77</f>
        <v>25.08</v>
      </c>
      <c r="AT7" s="77" t="n"/>
      <c r="AU7" s="100">
        <f>'03_Capacity_Model'!F77</f>
        <v>-1.12</v>
      </c>
      <c r="AV7" s="77" t="n"/>
      <c r="AW7" s="101" t="str">
        <f>'03_Capacity_Model'!H77</f>
        <v>정제 495 h + 225 h · 매월 11회 반복 참고</v>
      </c>
      <c r="AX7" s="77" t="n"/>
      <c r="AY7" s="77" t="n"/>
    </row>
    <row r="8">
      <c r="B8" s="70" t="inlineStr">
        <is>
          <t>7월</t>
        </is>
      </c>
      <c r="C8" s="96" t="n">
        <v>50</v>
      </c>
      <c r="D8" s="96" t="n"/>
      <c r="E8" s="96" t="n">
        <v>51</v>
      </c>
      <c r="F8" s="96" t="n"/>
      <c r="G8" s="96" t="n"/>
      <c r="H8" s="96" t="n">
        <v>52</v>
      </c>
      <c r="I8" s="96" t="n"/>
      <c r="J8" s="96" t="n">
        <v>53</v>
      </c>
      <c r="K8" s="96" t="n"/>
      <c r="L8" s="96" t="n"/>
      <c r="M8" s="96" t="n">
        <v>54</v>
      </c>
      <c r="N8" s="96" t="n"/>
      <c r="O8" s="96" t="n"/>
      <c r="P8" s="96" t="n">
        <v>55</v>
      </c>
      <c r="Q8" s="96" t="n"/>
      <c r="R8" s="96" t="n"/>
      <c r="S8" s="96" t="n">
        <v>56</v>
      </c>
      <c r="T8" s="96" t="n"/>
      <c r="U8" s="96" t="n"/>
      <c r="V8" s="96" t="n">
        <v>57</v>
      </c>
      <c r="W8" s="96" t="n"/>
      <c r="X8" s="96" t="n"/>
      <c r="Y8" s="96" t="n">
        <v>58</v>
      </c>
      <c r="Z8" s="96" t="n"/>
      <c r="AA8" s="96" t="n"/>
      <c r="AB8" s="96" t="n">
        <v>59</v>
      </c>
      <c r="AC8" s="96" t="n"/>
      <c r="AD8" s="96" t="n"/>
      <c r="AE8" s="96" t="n">
        <v>60</v>
      </c>
      <c r="AF8" s="96" t="n"/>
      <c r="AG8" s="96" t="n"/>
      <c r="AH8" s="97">
        <f>COUNT(C8:AG8)</f>
        <v>11</v>
      </c>
      <c r="AI8" s="76" t="n">
        <v>11</v>
      </c>
      <c r="AJ8" s="98">
        <f>IF(ISNUMBER(AI8),AH8-AI8,"–")</f>
        <v>0</v>
      </c>
      <c r="AL8" s="70" t="str">
        <f>'03_Capacity_Model'!A78</f>
        <v>③ 과거 일정 관측 추정</v>
      </c>
      <c r="AM8" s="74">
        <f>'03_Capacity_Model'!B78</f>
        <v>67.4716981132076</v>
      </c>
      <c r="AN8" s="77" t="n"/>
      <c r="AO8" s="74">
        <f>'03_Capacity_Model'!C78</f>
        <v>10.6711409395973</v>
      </c>
      <c r="AP8" s="77" t="n"/>
      <c r="AQ8" s="102">
        <f>'03_Capacity_Model'!D78</f>
        <v>2027.51677852349</v>
      </c>
      <c r="AR8" s="77" t="n"/>
      <c r="AS8" s="103">
        <f>'03_Capacity_Model'!E78</f>
        <v>24.51</v>
      </c>
      <c r="AT8" s="77" t="n"/>
      <c r="AU8" s="104">
        <f>'03_Capacity_Model'!F78</f>
        <v>-1.69</v>
      </c>
      <c r="AV8" s="77" t="n"/>
      <c r="AW8" s="101" t="str">
        <f>'03_Capacity_Model'!H78</f>
        <v>6/2~10/29 · 149일 ÷ 53간격 · 달력 연속</v>
      </c>
      <c r="AX8" s="77" t="n"/>
      <c r="AY8" s="77" t="n"/>
    </row>
    <row r="9">
      <c r="B9" s="70" t="inlineStr">
        <is>
          <t>8월</t>
        </is>
      </c>
      <c r="C9" s="96" t="n">
        <v>61</v>
      </c>
      <c r="D9" s="96" t="n"/>
      <c r="E9" s="96" t="n"/>
      <c r="F9" s="96" t="n">
        <v>62</v>
      </c>
      <c r="G9" s="96" t="n"/>
      <c r="H9" s="96" t="n"/>
      <c r="I9" s="96" t="n">
        <v>63</v>
      </c>
      <c r="J9" s="96" t="n"/>
      <c r="K9" s="96" t="n"/>
      <c r="L9" s="96" t="n">
        <v>64</v>
      </c>
      <c r="M9" s="96" t="n"/>
      <c r="N9" s="96" t="n"/>
      <c r="O9" s="96" t="n">
        <v>65</v>
      </c>
      <c r="P9" s="96" t="n"/>
      <c r="Q9" s="96" t="n"/>
      <c r="R9" s="96" t="n">
        <v>66</v>
      </c>
      <c r="S9" s="96" t="n"/>
      <c r="T9" s="96" t="n"/>
      <c r="U9" s="96" t="n">
        <v>67</v>
      </c>
      <c r="V9" s="96" t="n"/>
      <c r="W9" s="96" t="n"/>
      <c r="X9" s="96" t="n">
        <v>68</v>
      </c>
      <c r="Y9" s="96" t="n"/>
      <c r="Z9" s="96" t="n"/>
      <c r="AA9" s="96" t="n">
        <v>69</v>
      </c>
      <c r="AB9" s="96" t="n"/>
      <c r="AC9" s="96" t="n"/>
      <c r="AD9" s="96" t="n">
        <v>70</v>
      </c>
      <c r="AE9" s="96" t="n"/>
      <c r="AF9" s="96" t="n"/>
      <c r="AG9" s="96" t="n">
        <v>71</v>
      </c>
      <c r="AH9" s="97">
        <f>COUNT(C9:AG9)</f>
        <v>11</v>
      </c>
      <c r="AI9" s="76" t="n">
        <v>8</v>
      </c>
      <c r="AJ9" s="98">
        <f>IF(ISNUMBER(AI9),AH9-AI9,"–")</f>
        <v>3</v>
      </c>
      <c r="AL9" s="70" t="str">
        <f>'03_Capacity_Model'!A79</f>
        <v>현재 Capa. 26.2톤 환산</v>
      </c>
      <c r="AM9" s="79">
        <f>'03_Capacity_Model'!B79</f>
        <v>63.5267175572519</v>
      </c>
      <c r="AN9" s="77" t="n"/>
      <c r="AO9" s="79">
        <f>'03_Capacity_Model'!C79</f>
        <v>11.3338139870224</v>
      </c>
      <c r="AP9" s="77" t="n"/>
      <c r="AQ9" s="81">
        <f>'03_Capacity_Model'!D79</f>
        <v>2153.42465753425</v>
      </c>
      <c r="AR9" s="77" t="n"/>
      <c r="AS9" s="99">
        <f>'03_Capacity_Model'!E79</f>
        <v>26.2</v>
      </c>
      <c r="AT9" s="77" t="n"/>
      <c r="AU9" s="100">
        <f>'03_Capacity_Model'!F79</f>
        <v>0</v>
      </c>
      <c r="AV9" s="77" t="n"/>
      <c r="AW9" s="101" t="str">
        <f>'03_Capacity_Model'!H79</f>
        <v>26,200 ÷ 190 = 137.9 Batch 상당</v>
      </c>
      <c r="AX9" s="77" t="n"/>
      <c r="AY9" s="77" t="n"/>
    </row>
    <row r="10">
      <c r="B10" s="70" t="inlineStr">
        <is>
          <t>9월</t>
        </is>
      </c>
      <c r="C10" s="96" t="n"/>
      <c r="D10" s="96" t="n"/>
      <c r="E10" s="96" t="n">
        <v>72</v>
      </c>
      <c r="F10" s="96" t="n"/>
      <c r="G10" s="96" t="n">
        <v>73</v>
      </c>
      <c r="H10" s="96" t="n"/>
      <c r="I10" s="96" t="n">
        <v>74</v>
      </c>
      <c r="J10" s="96" t="n"/>
      <c r="K10" s="96" t="n">
        <v>75</v>
      </c>
      <c r="L10" s="96" t="n"/>
      <c r="M10" s="96" t="n">
        <v>76</v>
      </c>
      <c r="N10" s="96" t="n"/>
      <c r="O10" s="96" t="n"/>
      <c r="P10" s="96" t="n">
        <v>77</v>
      </c>
      <c r="Q10" s="96" t="n"/>
      <c r="R10" s="96" t="n"/>
      <c r="S10" s="96" t="n"/>
      <c r="T10" s="96" t="n"/>
      <c r="U10" s="96" t="n">
        <v>78</v>
      </c>
      <c r="V10" s="96" t="n"/>
      <c r="W10" s="96" t="n"/>
      <c r="X10" s="96" t="n"/>
      <c r="Y10" s="96" t="n">
        <v>79</v>
      </c>
      <c r="Z10" s="96" t="n"/>
      <c r="AA10" s="96" t="n"/>
      <c r="AB10" s="96" t="n">
        <v>80</v>
      </c>
      <c r="AC10" s="96" t="n"/>
      <c r="AD10" s="96" t="n">
        <v>81</v>
      </c>
      <c r="AE10" s="96" t="n"/>
      <c r="AF10" s="96" t="n"/>
      <c r="AG10" s="96" t="n"/>
      <c r="AH10" s="97">
        <f>COUNT(C10:AG10)</f>
        <v>10</v>
      </c>
      <c r="AI10" s="76" t="n">
        <v>8</v>
      </c>
      <c r="AJ10" s="98">
        <f>IF(ISNUMBER(AI10),AH10-AI10,"–")</f>
        <v>2</v>
      </c>
    </row>
    <row r="11" ht="15" customHeight="1">
      <c r="B11" s="70" t="inlineStr">
        <is>
          <t>10월</t>
        </is>
      </c>
      <c r="C11" s="96" t="n">
        <v>82</v>
      </c>
      <c r="D11" s="96" t="n"/>
      <c r="E11" s="96" t="n"/>
      <c r="F11" s="96" t="n">
        <v>83</v>
      </c>
      <c r="G11" s="96" t="n"/>
      <c r="H11" s="96" t="n"/>
      <c r="I11" s="96" t="n">
        <v>84</v>
      </c>
      <c r="J11" s="96" t="n"/>
      <c r="K11" s="96" t="n"/>
      <c r="L11" s="96" t="n">
        <v>85</v>
      </c>
      <c r="M11" s="96" t="n"/>
      <c r="N11" s="96" t="n">
        <v>86</v>
      </c>
      <c r="O11" s="96" t="n"/>
      <c r="P11" s="96" t="n"/>
      <c r="Q11" s="96" t="n">
        <v>87</v>
      </c>
      <c r="R11" s="96" t="n"/>
      <c r="S11" s="96" t="n"/>
      <c r="T11" s="96" t="n">
        <v>88</v>
      </c>
      <c r="U11" s="96" t="n"/>
      <c r="V11" s="96" t="n">
        <v>89</v>
      </c>
      <c r="W11" s="96" t="n"/>
      <c r="X11" s="96" t="n"/>
      <c r="Y11" s="96" t="n">
        <v>90</v>
      </c>
      <c r="Z11" s="96" t="n"/>
      <c r="AA11" s="96" t="n"/>
      <c r="AB11" s="96" t="n">
        <v>91</v>
      </c>
      <c r="AC11" s="96" t="n"/>
      <c r="AD11" s="96" t="n"/>
      <c r="AE11" s="96" t="n">
        <v>92</v>
      </c>
      <c r="AF11" s="96" t="n"/>
      <c r="AG11" s="96" t="n"/>
      <c r="AH11" s="97">
        <f>COUNT(C11:AG11)</f>
        <v>11</v>
      </c>
      <c r="AI11" s="76" t="n">
        <v>11</v>
      </c>
      <c r="AJ11" s="98">
        <f>IF(ISNUMBER(AI11),AH11-AI11,"–")</f>
        <v>0</v>
      </c>
      <c r="AL11" s="66" t="inlineStr">
        <is>
          <t>⑤ 2026 출하 제시분 vs 현재 Capa. (kg)</t>
        </is>
      </c>
      <c r="AQ11" s="67" t="inlineStr">
        <is>
          <t>고객 행 = 입력 · CXMT·한솔 미제시(공란) — 합계 미포함</t>
        </is>
      </c>
    </row>
    <row r="12" ht="12" customHeight="1">
      <c r="B12" s="70" t="inlineStr">
        <is>
          <t>11월</t>
        </is>
      </c>
      <c r="C12" s="96" t="n"/>
      <c r="D12" s="96" t="n"/>
      <c r="E12" s="96" t="n"/>
      <c r="F12" s="96" t="n"/>
      <c r="G12" s="96" t="n"/>
      <c r="H12" s="96" t="n"/>
      <c r="I12" s="96" t="n"/>
      <c r="J12" s="96" t="n"/>
      <c r="K12" s="96" t="n"/>
      <c r="L12" s="96" t="n"/>
      <c r="M12" s="96" t="n"/>
      <c r="N12" s="96" t="n"/>
      <c r="O12" s="96" t="n"/>
      <c r="P12" s="96" t="n"/>
      <c r="Q12" s="96" t="n"/>
      <c r="R12" s="96" t="n"/>
      <c r="S12" s="96" t="n"/>
      <c r="T12" s="96" t="n"/>
      <c r="U12" s="96" t="n"/>
      <c r="V12" s="96" t="n"/>
      <c r="W12" s="96" t="n"/>
      <c r="X12" s="96" t="n"/>
      <c r="Y12" s="96" t="n"/>
      <c r="Z12" s="96" t="n"/>
      <c r="AA12" s="96" t="n"/>
      <c r="AB12" s="96" t="n"/>
      <c r="AC12" s="96" t="n"/>
      <c r="AD12" s="96" t="n"/>
      <c r="AE12" s="96" t="n"/>
      <c r="AF12" s="96" t="n"/>
      <c r="AG12" s="96" t="n"/>
      <c r="AH12" s="97">
        <f>COUNT(C12:AG12)</f>
        <v>0</v>
      </c>
      <c r="AI12" s="76" t="n"/>
      <c r="AJ12" s="98" t="str">
        <f>IF(ISNUMBER(AI12),AH12-AI12,"–")</f>
        <v>–</v>
      </c>
      <c r="AL12" s="68" t="inlineStr">
        <is>
          <t>구분</t>
        </is>
      </c>
      <c r="AM12" s="69" t="inlineStr">
        <is>
          <t>1월</t>
        </is>
      </c>
      <c r="AN12" s="69" t="inlineStr">
        <is>
          <t>2월</t>
        </is>
      </c>
      <c r="AO12" s="69" t="inlineStr">
        <is>
          <t>3월</t>
        </is>
      </c>
      <c r="AP12" s="69" t="inlineStr">
        <is>
          <t>4월</t>
        </is>
      </c>
      <c r="AQ12" s="69" t="inlineStr">
        <is>
          <t>5월</t>
        </is>
      </c>
      <c r="AR12" s="69" t="inlineStr">
        <is>
          <t>6월</t>
        </is>
      </c>
      <c r="AS12" s="69" t="inlineStr">
        <is>
          <t>7월</t>
        </is>
      </c>
      <c r="AT12" s="69" t="inlineStr">
        <is>
          <t>8월</t>
        </is>
      </c>
      <c r="AU12" s="69" t="inlineStr">
        <is>
          <t>9월</t>
        </is>
      </c>
      <c r="AV12" s="69" t="inlineStr">
        <is>
          <t>10월</t>
        </is>
      </c>
      <c r="AW12" s="69" t="inlineStr">
        <is>
          <t>11월</t>
        </is>
      </c>
      <c r="AX12" s="69" t="inlineStr">
        <is>
          <t>12월</t>
        </is>
      </c>
      <c r="AY12" s="69" t="inlineStr">
        <is>
          <t>연간</t>
        </is>
      </c>
    </row>
    <row r="13">
      <c r="B13" s="70" t="inlineStr">
        <is>
          <t>12월</t>
        </is>
      </c>
      <c r="C13" s="96" t="n"/>
      <c r="D13" s="96" t="n"/>
      <c r="E13" s="96" t="n"/>
      <c r="F13" s="96" t="n"/>
      <c r="G13" s="96" t="n"/>
      <c r="H13" s="96" t="n"/>
      <c r="I13" s="96" t="n"/>
      <c r="J13" s="96" t="n"/>
      <c r="K13" s="96" t="n"/>
      <c r="L13" s="96" t="n"/>
      <c r="M13" s="96" t="n"/>
      <c r="N13" s="96" t="n"/>
      <c r="O13" s="96" t="n"/>
      <c r="P13" s="96" t="n"/>
      <c r="Q13" s="96" t="n"/>
      <c r="R13" s="96" t="n"/>
      <c r="S13" s="96" t="n"/>
      <c r="T13" s="96" t="n"/>
      <c r="U13" s="96" t="n"/>
      <c r="V13" s="96" t="n"/>
      <c r="W13" s="96" t="n"/>
      <c r="X13" s="96" t="n"/>
      <c r="Y13" s="96" t="n"/>
      <c r="Z13" s="96" t="n"/>
      <c r="AA13" s="96" t="n"/>
      <c r="AB13" s="96" t="n"/>
      <c r="AC13" s="96" t="n"/>
      <c r="AD13" s="96" t="n"/>
      <c r="AE13" s="96" t="n"/>
      <c r="AF13" s="96" t="n"/>
      <c r="AG13" s="96" t="n"/>
      <c r="AH13" s="97">
        <f>COUNT(C13:AG13)</f>
        <v>0</v>
      </c>
      <c r="AI13" s="76" t="n"/>
      <c r="AJ13" s="98" t="str">
        <f>IF(ISNUMBER(AI13),AH13-AI13,"–")</f>
        <v>–</v>
      </c>
      <c r="AL13" s="105" t="inlineStr">
        <is>
          <t>■ SK하이닉스</t>
        </is>
      </c>
      <c r="AM13" s="106" t="n">
        <v>1600</v>
      </c>
      <c r="AN13" s="106" t="n">
        <v>1420</v>
      </c>
      <c r="AO13" s="106" t="n">
        <v>1440</v>
      </c>
      <c r="AP13" s="106" t="n">
        <v>1580</v>
      </c>
      <c r="AQ13" s="106" t="n">
        <v>1200</v>
      </c>
      <c r="AR13" s="106" t="n">
        <v>1200</v>
      </c>
      <c r="AS13" s="106" t="n">
        <v>1360</v>
      </c>
      <c r="AT13" s="106" t="n">
        <v>1420</v>
      </c>
      <c r="AU13" s="106" t="n">
        <v>1380</v>
      </c>
      <c r="AV13" s="106" t="n">
        <v>1480</v>
      </c>
      <c r="AW13" s="106" t="n">
        <v>1480</v>
      </c>
      <c r="AX13" s="106" t="n">
        <v>1420</v>
      </c>
      <c r="AY13" s="107">
        <f>IF(COUNT(AM13:AX13)=0,"미제시",SUM(AM13:AX13))</f>
        <v>16980</v>
      </c>
    </row>
    <row r="14">
      <c r="B14" s="75" t="inlineStr">
        <is>
          <t>* 5월 일부(#37·#38) · 번호 = 입력된 Batch 수 · Total = 원자료 월 Total(입력) · 빨강 = 불일치 · 회색 칸 = 없는 날짜</t>
        </is>
      </c>
      <c r="AL14" s="108" t="inlineStr">
        <is>
          <t>■ 이지켐</t>
        </is>
      </c>
      <c r="AM14" s="106" t="n">
        <v>0</v>
      </c>
      <c r="AN14" s="106" t="n">
        <v>0</v>
      </c>
      <c r="AO14" s="106" t="n">
        <v>0</v>
      </c>
      <c r="AP14" s="106" t="n">
        <v>0</v>
      </c>
      <c r="AQ14" s="106" t="n">
        <v>0</v>
      </c>
      <c r="AR14" s="106" t="n">
        <v>0</v>
      </c>
      <c r="AS14" s="106" t="n">
        <v>0</v>
      </c>
      <c r="AT14" s="106" t="n">
        <v>0</v>
      </c>
      <c r="AU14" s="106" t="n">
        <v>560</v>
      </c>
      <c r="AV14" s="106" t="n">
        <v>560</v>
      </c>
      <c r="AW14" s="106" t="n">
        <v>560</v>
      </c>
      <c r="AX14" s="106" t="n">
        <v>560</v>
      </c>
      <c r="AY14" s="107">
        <f>IF(COUNT(AM14:AX14)=0,"미제시",SUM(AM14:AX14))</f>
        <v>2240</v>
      </c>
    </row>
    <row r="15">
      <c r="AL15" s="109" t="inlineStr">
        <is>
          <t>■ CXMT</t>
        </is>
      </c>
      <c r="AM15" s="106" t="n"/>
      <c r="AN15" s="106" t="n"/>
      <c r="AO15" s="106" t="n"/>
      <c r="AP15" s="106" t="n"/>
      <c r="AQ15" s="106" t="n"/>
      <c r="AR15" s="106" t="n"/>
      <c r="AS15" s="106" t="n"/>
      <c r="AT15" s="106" t="n"/>
      <c r="AU15" s="106" t="n"/>
      <c r="AV15" s="106" t="n"/>
      <c r="AW15" s="106" t="n"/>
      <c r="AX15" s="106" t="n"/>
      <c r="AY15" s="107" t="str">
        <f>IF(COUNT(AM15:AX15)=0,"미제시",SUM(AM15:AX15))</f>
        <v>미제시</v>
      </c>
    </row>
    <row r="16" ht="15" customHeight="1">
      <c r="B16" s="66" t="inlineStr">
        <is>
          <t>② 표시일자 간격 분포 (분석 범위)</t>
        </is>
      </c>
      <c r="AL16" s="110" t="inlineStr">
        <is>
          <t>■ 한솔</t>
        </is>
      </c>
      <c r="AM16" s="106" t="n"/>
      <c r="AN16" s="106" t="n"/>
      <c r="AO16" s="106" t="n"/>
      <c r="AP16" s="106" t="n"/>
      <c r="AQ16" s="106" t="n"/>
      <c r="AR16" s="106" t="n"/>
      <c r="AS16" s="106" t="n"/>
      <c r="AT16" s="106" t="n"/>
      <c r="AU16" s="106" t="n"/>
      <c r="AV16" s="106" t="n"/>
      <c r="AW16" s="106" t="n"/>
      <c r="AX16" s="106" t="n"/>
      <c r="AY16" s="107" t="str">
        <f>IF(COUNT(AM16:AX16)=0,"미제시",SUM(AM16:AX16))</f>
        <v>미제시</v>
      </c>
    </row>
    <row r="17">
      <c r="B17" s="68" t="inlineStr">
        <is>
          <t>간격</t>
        </is>
      </c>
      <c r="C17" s="69" t="inlineStr">
        <is>
          <t>1일</t>
        </is>
      </c>
      <c r="D17" s="77" t="n"/>
      <c r="E17" s="77" t="n"/>
      <c r="F17" s="69" t="inlineStr">
        <is>
          <t>2일</t>
        </is>
      </c>
      <c r="G17" s="77" t="n"/>
      <c r="H17" s="77" t="n"/>
      <c r="I17" s="69" t="inlineStr">
        <is>
          <t>3일</t>
        </is>
      </c>
      <c r="J17" s="77" t="n"/>
      <c r="K17" s="77" t="n"/>
      <c r="L17" s="69" t="inlineStr">
        <is>
          <t>4일</t>
        </is>
      </c>
      <c r="M17" s="77" t="n"/>
      <c r="N17" s="77" t="n"/>
      <c r="O17" s="69" t="inlineStr">
        <is>
          <t>5일</t>
        </is>
      </c>
      <c r="P17" s="77" t="n"/>
      <c r="Q17" s="77" t="n"/>
      <c r="R17" s="69" t="inlineStr">
        <is>
          <t>평균 간격</t>
        </is>
      </c>
      <c r="S17" s="77" t="n"/>
      <c r="T17" s="77" t="n"/>
      <c r="U17" s="77" t="n"/>
      <c r="V17" s="77" t="n"/>
      <c r="W17" s="77" t="n"/>
      <c r="X17" s="77" t="n"/>
      <c r="Y17" s="77" t="n"/>
      <c r="Z17" s="69" t="inlineStr">
        <is>
          <t>중앙값</t>
        </is>
      </c>
      <c r="AA17" s="77" t="n"/>
      <c r="AB17" s="77" t="n"/>
      <c r="AC17" s="77" t="n"/>
      <c r="AD17" s="77" t="n"/>
      <c r="AL17" s="70" t="inlineStr">
        <is>
          <t>출하 합계 (제시분)</t>
        </is>
      </c>
      <c r="AM17" s="81">
        <f>'04_Monthly_2026_2028'!Y6</f>
        <v>1600</v>
      </c>
      <c r="AN17" s="81">
        <f>'04_Monthly_2026_2028'!Y7</f>
        <v>1420</v>
      </c>
      <c r="AO17" s="81">
        <f>'04_Monthly_2026_2028'!Y8</f>
        <v>1440</v>
      </c>
      <c r="AP17" s="81">
        <f>'04_Monthly_2026_2028'!Y9</f>
        <v>1580</v>
      </c>
      <c r="AQ17" s="81">
        <f>'04_Monthly_2026_2028'!Y10</f>
        <v>1200</v>
      </c>
      <c r="AR17" s="81">
        <f>'04_Monthly_2026_2028'!Y11</f>
        <v>1200</v>
      </c>
      <c r="AS17" s="81">
        <f>'04_Monthly_2026_2028'!Y12</f>
        <v>1360</v>
      </c>
      <c r="AT17" s="81">
        <f>'04_Monthly_2026_2028'!Y13</f>
        <v>1420</v>
      </c>
      <c r="AU17" s="81">
        <f>'04_Monthly_2026_2028'!Y14</f>
        <v>1940</v>
      </c>
      <c r="AV17" s="81">
        <f>'04_Monthly_2026_2028'!Y15</f>
        <v>2040</v>
      </c>
      <c r="AW17" s="81">
        <f>'04_Monthly_2026_2028'!Y16</f>
        <v>2040</v>
      </c>
      <c r="AX17" s="81">
        <f>'04_Monthly_2026_2028'!Y17</f>
        <v>1980</v>
      </c>
      <c r="AY17" s="107">
        <f>SUM('04_Monthly_2026_2028'!Y6:Y17)</f>
        <v>19220</v>
      </c>
    </row>
    <row r="18">
      <c r="B18" s="70" t="inlineStr">
        <is>
          <t>건수</t>
        </is>
      </c>
      <c r="C18" s="97">
        <f>'02_Batch_Raw'!O111</f>
        <v>1</v>
      </c>
      <c r="D18" s="77" t="n"/>
      <c r="E18" s="77" t="n"/>
      <c r="F18" s="97">
        <f>'02_Batch_Raw'!P111</f>
        <v>11</v>
      </c>
      <c r="G18" s="77" t="n"/>
      <c r="H18" s="77" t="n"/>
      <c r="I18" s="97">
        <f>'02_Batch_Raw'!Q111</f>
        <v>39</v>
      </c>
      <c r="J18" s="77" t="n"/>
      <c r="K18" s="77" t="n"/>
      <c r="L18" s="97">
        <f>'02_Batch_Raw'!R111</f>
        <v>1</v>
      </c>
      <c r="M18" s="77" t="n"/>
      <c r="N18" s="77" t="n"/>
      <c r="O18" s="97">
        <f>'02_Batch_Raw'!S111</f>
        <v>1</v>
      </c>
      <c r="P18" s="77" t="n"/>
      <c r="Q18" s="77" t="n"/>
      <c r="R18" s="111" t="str">
        <f>TEXT('03_Capacity_Model'!B51,"0.0")&amp;" h ("&amp;TEXT('03_Capacity_Model'!B52,"0.0")&amp;"~"&amp;TEXT('03_Capacity_Model'!B53,"0.0")&amp;")"</f>
        <v>67.5 h (67.0~67.9)</v>
      </c>
      <c r="S18" s="77" t="n"/>
      <c r="T18" s="77" t="n"/>
      <c r="U18" s="77" t="n"/>
      <c r="V18" s="77" t="n"/>
      <c r="W18" s="77" t="n"/>
      <c r="X18" s="77" t="n"/>
      <c r="Y18" s="77" t="n"/>
      <c r="Z18" s="78" t="str">
        <f>'03_Capacity_Model'!B54&amp;" h"</f>
        <v>72 h</v>
      </c>
      <c r="AA18" s="77" t="n"/>
      <c r="AB18" s="77" t="n"/>
      <c r="AC18" s="77" t="n"/>
      <c r="AD18" s="77" t="n"/>
      <c r="AL18" s="70" t="inlineStr">
        <is>
          <t>계획 Total×190</t>
        </is>
      </c>
      <c r="AM18" s="112">
        <f>IF(ISNUMBER('04_Monthly_2026_2028'!M6),'04_Monthly_2026_2028'!M6*'01_Inputs'!$B$49,"")</f>
      </c>
      <c r="AN18" s="112">
        <f>IF(ISNUMBER('04_Monthly_2026_2028'!M7),'04_Monthly_2026_2028'!M7*'01_Inputs'!$B$49,"")</f>
      </c>
      <c r="AO18" s="112">
        <f>IF(ISNUMBER('04_Monthly_2026_2028'!M8),'04_Monthly_2026_2028'!M8*'01_Inputs'!$B$49,"")</f>
      </c>
      <c r="AP18" s="112">
        <f>IF(ISNUMBER('04_Monthly_2026_2028'!M9),'04_Monthly_2026_2028'!M9*'01_Inputs'!$B$49,"")</f>
      </c>
      <c r="AQ18" s="112">
        <f>IF(ISNUMBER('04_Monthly_2026_2028'!M10),'04_Monthly_2026_2028'!M10*'01_Inputs'!$B$49,"")</f>
      </c>
      <c r="AR18" s="112">
        <f>IF(ISNUMBER('04_Monthly_2026_2028'!M11),'04_Monthly_2026_2028'!M11*'01_Inputs'!$B$49,"")</f>
        <v>1520</v>
      </c>
      <c r="AS18" s="112">
        <f>IF(ISNUMBER('04_Monthly_2026_2028'!M12),'04_Monthly_2026_2028'!M12*'01_Inputs'!$B$49,"")</f>
        <v>2090</v>
      </c>
      <c r="AT18" s="112">
        <f>IF(ISNUMBER('04_Monthly_2026_2028'!M13),'04_Monthly_2026_2028'!M13*'01_Inputs'!$B$49,"")</f>
        <v>1520</v>
      </c>
      <c r="AU18" s="112">
        <f>IF(ISNUMBER('04_Monthly_2026_2028'!M14),'04_Monthly_2026_2028'!M14*'01_Inputs'!$B$49,"")</f>
        <v>1520</v>
      </c>
      <c r="AV18" s="112">
        <f>IF(ISNUMBER('04_Monthly_2026_2028'!M15),'04_Monthly_2026_2028'!M15*'01_Inputs'!$B$49,"")</f>
        <v>2090</v>
      </c>
      <c r="AW18" s="112">
        <f>IF(ISNUMBER('04_Monthly_2026_2028'!M16),'04_Monthly_2026_2028'!M16*'01_Inputs'!$B$49,"")</f>
      </c>
      <c r="AX18" s="112">
        <f>IF(ISNUMBER('04_Monthly_2026_2028'!M17),'04_Monthly_2026_2028'!M17*'01_Inputs'!$B$49,"")</f>
      </c>
      <c r="AY18" s="107">
        <f>SUM('04_Monthly_2026_2028'!M6:M17)*'01_Inputs'!$B$49</f>
        <v>8740</v>
      </c>
    </row>
    <row r="19">
      <c r="AL19" s="70" t="inlineStr">
        <is>
          <t>계획 번호×190</t>
        </is>
      </c>
      <c r="AM19" s="112">
        <f>IF(ISNUMBER('04_Monthly_2026_2028'!L6),'04_Monthly_2026_2028'!L6*'01_Inputs'!$B$49,"")</f>
      </c>
      <c r="AN19" s="112">
        <f>IF(ISNUMBER('04_Monthly_2026_2028'!L7),'04_Monthly_2026_2028'!L7*'01_Inputs'!$B$49,"")</f>
      </c>
      <c r="AO19" s="112">
        <f>IF(ISNUMBER('04_Monthly_2026_2028'!L8),'04_Monthly_2026_2028'!L8*'01_Inputs'!$B$49,"")</f>
      </c>
      <c r="AP19" s="112">
        <f>IF(ISNUMBER('04_Monthly_2026_2028'!L9),'04_Monthly_2026_2028'!L9*'01_Inputs'!$B$49,"")</f>
      </c>
      <c r="AQ19" s="112">
        <f>IF(ISNUMBER('04_Monthly_2026_2028'!L10),'04_Monthly_2026_2028'!L10*'01_Inputs'!$B$49,"")</f>
        <v>380</v>
      </c>
      <c r="AR19" s="112">
        <f>IF(ISNUMBER('04_Monthly_2026_2028'!L11),'04_Monthly_2026_2028'!L11*'01_Inputs'!$B$49,"")</f>
        <v>2090</v>
      </c>
      <c r="AS19" s="112">
        <f>IF(ISNUMBER('04_Monthly_2026_2028'!L12),'04_Monthly_2026_2028'!L12*'01_Inputs'!$B$49,"")</f>
        <v>2090</v>
      </c>
      <c r="AT19" s="112">
        <f>IF(ISNUMBER('04_Monthly_2026_2028'!L13),'04_Monthly_2026_2028'!L13*'01_Inputs'!$B$49,"")</f>
        <v>2090</v>
      </c>
      <c r="AU19" s="112">
        <f>IF(ISNUMBER('04_Monthly_2026_2028'!L14),'04_Monthly_2026_2028'!L14*'01_Inputs'!$B$49,"")</f>
        <v>1900</v>
      </c>
      <c r="AV19" s="112">
        <f>IF(ISNUMBER('04_Monthly_2026_2028'!L15),'04_Monthly_2026_2028'!L15*'01_Inputs'!$B$49,"")</f>
        <v>2090</v>
      </c>
      <c r="AW19" s="112">
        <f>IF(ISNUMBER('04_Monthly_2026_2028'!L16),'04_Monthly_2026_2028'!L16*'01_Inputs'!$B$49,"")</f>
      </c>
      <c r="AX19" s="112">
        <f>IF(ISNUMBER('04_Monthly_2026_2028'!L17),'04_Monthly_2026_2028'!L17*'01_Inputs'!$B$49,"")</f>
      </c>
      <c r="AY19" s="107">
        <f>SUM('04_Monthly_2026_2028'!L6:L17)*'01_Inputs'!$B$49</f>
        <v>10640</v>
      </c>
    </row>
    <row r="20">
      <c r="AL20" s="70" t="inlineStr">
        <is>
          <t>추정 생산 가능 (관측)</t>
        </is>
      </c>
      <c r="AM20" s="81">
        <f>'04_Monthly_2026_2028'!S6</f>
        <v>2090</v>
      </c>
      <c r="AN20" s="81">
        <f>'04_Monthly_2026_2028'!S7</f>
        <v>1710</v>
      </c>
      <c r="AO20" s="81">
        <f>'04_Monthly_2026_2028'!S8</f>
        <v>2280</v>
      </c>
      <c r="AP20" s="81">
        <f>'04_Monthly_2026_2028'!S9</f>
        <v>1900</v>
      </c>
      <c r="AQ20" s="81">
        <f>'04_Monthly_2026_2028'!S10</f>
        <v>2090</v>
      </c>
      <c r="AR20" s="81">
        <f>'04_Monthly_2026_2028'!S11</f>
        <v>2090</v>
      </c>
      <c r="AS20" s="81">
        <f>'04_Monthly_2026_2028'!S12</f>
        <v>2090</v>
      </c>
      <c r="AT20" s="81">
        <f>'04_Monthly_2026_2028'!S13</f>
        <v>2090</v>
      </c>
      <c r="AU20" s="81">
        <f>'04_Monthly_2026_2028'!S14</f>
        <v>2090</v>
      </c>
      <c r="AV20" s="81">
        <f>'04_Monthly_2026_2028'!S15</f>
        <v>2090</v>
      </c>
      <c r="AW20" s="81">
        <f>'04_Monthly_2026_2028'!S16</f>
        <v>1900</v>
      </c>
      <c r="AX20" s="81">
        <f>'04_Monthly_2026_2028'!S17</f>
        <v>2090</v>
      </c>
      <c r="AY20" s="107">
        <f>SUM('04_Monthly_2026_2028'!S6:S17)</f>
        <v>24510</v>
      </c>
    </row>
    <row r="21">
      <c r="AL21" s="70" t="inlineStr">
        <is>
          <t>추정 − 출하</t>
        </is>
      </c>
      <c r="AM21" s="98">
        <f>'04_Monthly_2026_2028'!AP6</f>
        <v>490</v>
      </c>
      <c r="AN21" s="98">
        <f>'04_Monthly_2026_2028'!AP7</f>
        <v>290</v>
      </c>
      <c r="AO21" s="98">
        <f>'04_Monthly_2026_2028'!AP8</f>
        <v>840</v>
      </c>
      <c r="AP21" s="98">
        <f>'04_Monthly_2026_2028'!AP9</f>
        <v>320</v>
      </c>
      <c r="AQ21" s="98">
        <f>'04_Monthly_2026_2028'!AP10</f>
        <v>890</v>
      </c>
      <c r="AR21" s="98">
        <f>'04_Monthly_2026_2028'!AP11</f>
        <v>890</v>
      </c>
      <c r="AS21" s="98">
        <f>'04_Monthly_2026_2028'!AP12</f>
        <v>730</v>
      </c>
      <c r="AT21" s="98">
        <f>'04_Monthly_2026_2028'!AP13</f>
        <v>670</v>
      </c>
      <c r="AU21" s="98">
        <f>'04_Monthly_2026_2028'!AP14</f>
        <v>150</v>
      </c>
      <c r="AV21" s="98">
        <f>'04_Monthly_2026_2028'!AP15</f>
        <v>50</v>
      </c>
      <c r="AW21" s="98">
        <f>'04_Monthly_2026_2028'!AP16</f>
        <v>-140</v>
      </c>
      <c r="AX21" s="98">
        <f>'04_Monthly_2026_2028'!AP17</f>
        <v>110</v>
      </c>
      <c r="AY21" s="113">
        <f>SUM('04_Monthly_2026_2028'!AP6:AP17)</f>
        <v>5290</v>
      </c>
    </row>
    <row r="22">
      <c r="AL22" s="70" t="inlineStr">
        <is>
          <t>현재 Capa. 대비</t>
        </is>
      </c>
      <c r="AM22" s="105" t="str">
        <f>TEXT('05_Reflux_Scenarios'!B23,"0.00")&amp;"톤 = 현재 "&amp;TEXT('01_Inputs'!$B$63,"0.0")&amp;"톤의 "&amp;TEXT('05_Reflux_Scenarios'!B23/'01_Inputs'!$B$63,"0.0%")&amp;" · 산술 차이 "&amp;TEXT('05_Reflux_Scenarios'!D23,"0.00")&amp;"톤 (가동률·판매 가능량 아님)"</f>
        <v>19.22톤 = 현재 26.2톤의 73.4% · 산술 차이 6.98톤 (가동률·판매 가능량 아님)</v>
      </c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</row>
  </sheetData>
  <mergeCells count="39">
    <mergeCell ref="AM8:AN8"/>
    <mergeCell ref="AO8:AP8"/>
    <mergeCell ref="AU8:AV8"/>
    <mergeCell ref="F18:H18"/>
    <mergeCell ref="L18:N18"/>
    <mergeCell ref="AW6:AY6"/>
    <mergeCell ref="AO7:AP7"/>
    <mergeCell ref="AW9:AY9"/>
    <mergeCell ref="F17:H17"/>
    <mergeCell ref="I18:K18"/>
    <mergeCell ref="AS9:AT9"/>
    <mergeCell ref="AQ7:AR7"/>
    <mergeCell ref="AU9:AV9"/>
    <mergeCell ref="AS6:AT6"/>
    <mergeCell ref="AU6:AV6"/>
    <mergeCell ref="C17:E17"/>
    <mergeCell ref="I17:K17"/>
    <mergeCell ref="O17:Q17"/>
    <mergeCell ref="AM9:AN9"/>
    <mergeCell ref="Z18:AD18"/>
    <mergeCell ref="AQ8:AR8"/>
    <mergeCell ref="Z17:AD17"/>
    <mergeCell ref="AS8:AT8"/>
    <mergeCell ref="AM22:AY22"/>
    <mergeCell ref="C18:E18"/>
    <mergeCell ref="AS7:AT7"/>
    <mergeCell ref="L17:N17"/>
    <mergeCell ref="AW8:AY8"/>
    <mergeCell ref="R17:Y17"/>
    <mergeCell ref="AO9:AP9"/>
    <mergeCell ref="AM7:AN7"/>
    <mergeCell ref="AQ9:AR9"/>
    <mergeCell ref="AW7:AY7"/>
    <mergeCell ref="AU7:AV7"/>
    <mergeCell ref="AM6:AN6"/>
    <mergeCell ref="AO6:AP6"/>
    <mergeCell ref="O18:Q18"/>
    <mergeCell ref="AQ6:AR6"/>
    <mergeCell ref="R18:Y18"/>
  </mergeCells>
  <conditionalFormatting sqref="C6:AG13">
    <cfRule type="expression" priority="1" dxfId="15">
      <formula>COLUMN(C6)-2&gt;DAY(EOMONTH(DATE('01_Inputs'!$B$100,ROW(C6)-6+5,1),0))</formula>
    </cfRule>
  </conditionalFormatting>
  <conditionalFormatting sqref="C6:AG6">
    <cfRule type="expression" priority="2" dxfId="16">
      <formula>C6&lt;&gt;""</formula>
    </cfRule>
  </conditionalFormatting>
  <conditionalFormatting sqref="C7:AG13">
    <cfRule type="expression" priority="3" dxfId="17">
      <formula>C7&lt;&gt;""</formula>
    </cfRule>
  </conditionalFormatting>
  <conditionalFormatting sqref="AH6:AJ13">
    <cfRule type="expression" priority="4" dxfId="18">
      <formula>AND(ISNUMBER($AJ6),$AJ6&lt;&gt;0)</formula>
    </cfRule>
  </conditionalFormatting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tabColor rgb="00FF7900"/>
    <outlinePr summaryBelow="1" summaryRight="1"/>
    <pageSetUpPr fitToPage="1"/>
  </sheetPr>
  <dimension ref="A1:O23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5" customWidth="1" min="1" max="1"/>
    <col width="28.09" customWidth="1" min="2" max="2"/>
    <col width="6.55" customWidth="1" min="3" max="3"/>
    <col width="6.55" customWidth="1" min="4" max="4"/>
    <col width="6.55" customWidth="1" min="5" max="5"/>
    <col width="6.55" customWidth="1" min="6" max="6"/>
    <col width="6.55" customWidth="1" min="7" max="7"/>
    <col width="6.55" customWidth="1" min="8" max="8"/>
    <col width="6.55" customWidth="1" min="9" max="9"/>
    <col width="6.55" customWidth="1" min="10" max="10"/>
    <col width="6.55" customWidth="1" min="11" max="11"/>
    <col width="6.55" customWidth="1" min="12" max="12"/>
    <col width="6.55" customWidth="1" min="13" max="13"/>
    <col width="6.55" customWidth="1" min="14" max="14"/>
    <col width="10.94" customWidth="1" min="15" max="15"/>
  </cols>
  <sheetData>
    <row r="1">
      <c r="A1" s="64" t="inlineStr">
        <is>
          <t>P4 | 2027 월별 생산 계획 · 출하 · 충진 (PPT 4장 표) — kg</t>
        </is>
      </c>
    </row>
    <row r="2">
      <c r="A2" s="65" t="inlineStr">
        <is>
          <t>파란 글자 = 입력 칸 (여기서 고치면 다른 P 표·계산 시트가 모두 같이 바뀜) · 검정 = 자동 계산. PPT: 범위 복사 → 붙여넣기(원본 서식 유지/그림) · 계속 연동하려면 [선택하여 붙여넣기 → 연결하여 붙여넣기]. 생산 계획 1~4월 + 고객 4행이 입력 칸 (4월 = 대정비 월 생산량 → Capa. 기준 차감값).</t>
        </is>
      </c>
    </row>
    <row r="4" ht="12" customHeight="1">
      <c r="B4" s="68" t="inlineStr">
        <is>
          <t>구분</t>
        </is>
      </c>
      <c r="C4" s="69" t="inlineStr">
        <is>
          <t>1월</t>
        </is>
      </c>
      <c r="D4" s="69" t="inlineStr">
        <is>
          <t>2월</t>
        </is>
      </c>
      <c r="E4" s="69" t="inlineStr">
        <is>
          <t>3월</t>
        </is>
      </c>
      <c r="F4" s="69" t="inlineStr">
        <is>
          <t>4월</t>
        </is>
      </c>
      <c r="G4" s="69" t="inlineStr">
        <is>
          <t>5월</t>
        </is>
      </c>
      <c r="H4" s="69" t="inlineStr">
        <is>
          <t>6월</t>
        </is>
      </c>
      <c r="I4" s="69" t="inlineStr">
        <is>
          <t>7월</t>
        </is>
      </c>
      <c r="J4" s="69" t="inlineStr">
        <is>
          <t>8월</t>
        </is>
      </c>
      <c r="K4" s="69" t="inlineStr">
        <is>
          <t>9월</t>
        </is>
      </c>
      <c r="L4" s="69" t="inlineStr">
        <is>
          <t>10월</t>
        </is>
      </c>
      <c r="M4" s="69" t="inlineStr">
        <is>
          <t>11월</t>
        </is>
      </c>
      <c r="N4" s="69" t="inlineStr">
        <is>
          <t>12월</t>
        </is>
      </c>
      <c r="O4" s="69" t="inlineStr">
        <is>
          <t>연간</t>
        </is>
      </c>
    </row>
    <row r="5">
      <c r="B5" s="70" t="inlineStr">
        <is>
          <t>운전 조건</t>
        </is>
      </c>
      <c r="C5" s="114" t="str">
        <f>'04_Monthly_2026_2028'!D18</f>
        <v>현재 (1대)</v>
      </c>
      <c r="D5" s="114" t="str">
        <f>'04_Monthly_2026_2028'!D19</f>
        <v>현재 (1대)</v>
      </c>
      <c r="E5" s="114" t="str">
        <f>'04_Monthly_2026_2028'!D20</f>
        <v>현재 (1대)</v>
      </c>
      <c r="F5" s="114" t="str">
        <f>'04_Monthly_2026_2028'!D21</f>
        <v>대정비</v>
      </c>
      <c r="G5" s="114" t="str">
        <f>'04_Monthly_2026_2028'!D22</f>
        <v>개선 (2대)</v>
      </c>
      <c r="H5" s="114" t="str">
        <f>'04_Monthly_2026_2028'!D23</f>
        <v>개선 (2대)</v>
      </c>
      <c r="I5" s="114" t="str">
        <f>'04_Monthly_2026_2028'!D24</f>
        <v>개선 (2대)</v>
      </c>
      <c r="J5" s="114" t="str">
        <f>'04_Monthly_2026_2028'!D25</f>
        <v>개선 (2대)</v>
      </c>
      <c r="K5" s="114" t="str">
        <f>'04_Monthly_2026_2028'!D26</f>
        <v>개선 (2대)</v>
      </c>
      <c r="L5" s="114" t="str">
        <f>'04_Monthly_2026_2028'!D27</f>
        <v>개선 (2대)</v>
      </c>
      <c r="M5" s="114" t="str">
        <f>'04_Monthly_2026_2028'!D28</f>
        <v>개선 (2대)</v>
      </c>
      <c r="N5" s="114" t="str">
        <f>'04_Monthly_2026_2028'!D29</f>
        <v>개선 (2대)</v>
      </c>
      <c r="O5" s="115" t="inlineStr">
        <is>
          <t>-</t>
        </is>
      </c>
    </row>
    <row r="6">
      <c r="B6" s="70" t="inlineStr">
        <is>
          <t>생산 계획 (kg) — 1~4월 확정</t>
        </is>
      </c>
      <c r="C6" s="116" t="n">
        <v>2178</v>
      </c>
      <c r="D6" s="116" t="n">
        <v>2178</v>
      </c>
      <c r="E6" s="116" t="n">
        <v>3168</v>
      </c>
      <c r="F6" s="116" t="n">
        <v>1188</v>
      </c>
      <c r="G6" s="117">
        <f>IF(5='01_Inputs'!$B$69,'01_Inputs'!$B$70,IF(AND(ISNUMBER('01_Inputs'!$B$76),DATE(2027,5,1)&gt;='01_Inputs'!$B$76),'01_Inputs'!$B$72,IF(DATE(2027,5,1)&gt;='01_Inputs'!$B$80,'01_Inputs'!$B$71,'01_Inputs'!$B$63*1000/12)))</f>
        <v>4182.90909090909</v>
      </c>
      <c r="H6" s="117">
        <f>IF(6='01_Inputs'!$B$69,'01_Inputs'!$B$70,IF(AND(ISNUMBER('01_Inputs'!$B$76),DATE(2027,6,1)&gt;='01_Inputs'!$B$76),'01_Inputs'!$B$72,IF(DATE(2027,6,1)&gt;='01_Inputs'!$B$80,'01_Inputs'!$B$71,'01_Inputs'!$B$63*1000/12)))</f>
        <v>4182.90909090909</v>
      </c>
      <c r="I6" s="117">
        <f>IF(7='01_Inputs'!$B$69,'01_Inputs'!$B$70,IF(AND(ISNUMBER('01_Inputs'!$B$76),DATE(2027,7,1)&gt;='01_Inputs'!$B$76),'01_Inputs'!$B$72,IF(DATE(2027,7,1)&gt;='01_Inputs'!$B$80,'01_Inputs'!$B$71,'01_Inputs'!$B$63*1000/12)))</f>
        <v>4182.90909090909</v>
      </c>
      <c r="J6" s="117">
        <f>IF(8='01_Inputs'!$B$69,'01_Inputs'!$B$70,IF(AND(ISNUMBER('01_Inputs'!$B$76),DATE(2027,8,1)&gt;='01_Inputs'!$B$76),'01_Inputs'!$B$72,IF(DATE(2027,8,1)&gt;='01_Inputs'!$B$80,'01_Inputs'!$B$71,'01_Inputs'!$B$63*1000/12)))</f>
        <v>4182.90909090909</v>
      </c>
      <c r="K6" s="117">
        <f>IF(9='01_Inputs'!$B$69,'01_Inputs'!$B$70,IF(AND(ISNUMBER('01_Inputs'!$B$76),DATE(2027,9,1)&gt;='01_Inputs'!$B$76),'01_Inputs'!$B$72,IF(DATE(2027,9,1)&gt;='01_Inputs'!$B$80,'01_Inputs'!$B$71,'01_Inputs'!$B$63*1000/12)))</f>
        <v>4182.90909090909</v>
      </c>
      <c r="L6" s="117">
        <f>IF(10='01_Inputs'!$B$69,'01_Inputs'!$B$70,IF(AND(ISNUMBER('01_Inputs'!$B$76),DATE(2027,10,1)&gt;='01_Inputs'!$B$76),'01_Inputs'!$B$72,IF(DATE(2027,10,1)&gt;='01_Inputs'!$B$80,'01_Inputs'!$B$71,'01_Inputs'!$B$63*1000/12)))</f>
        <v>4182.90909090909</v>
      </c>
      <c r="M6" s="117">
        <f>IF(11='01_Inputs'!$B$69,'01_Inputs'!$B$70,IF(AND(ISNUMBER('01_Inputs'!$B$76),DATE(2027,11,1)&gt;='01_Inputs'!$B$76),'01_Inputs'!$B$72,IF(DATE(2027,11,1)&gt;='01_Inputs'!$B$80,'01_Inputs'!$B$71,'01_Inputs'!$B$63*1000/12)))</f>
        <v>4182.90909090909</v>
      </c>
      <c r="N6" s="117">
        <f>IF(12='01_Inputs'!$B$69,'01_Inputs'!$B$70,IF(AND(ISNUMBER('01_Inputs'!$B$76),DATE(2027,12,1)&gt;='01_Inputs'!$B$76),'01_Inputs'!$B$72,IF(DATE(2027,12,1)&gt;='01_Inputs'!$B$80,'01_Inputs'!$B$71,'01_Inputs'!$B$63*1000/12)))</f>
        <v>4182.90909090909</v>
      </c>
      <c r="O6" s="107">
        <f>SUM(C6:N6)</f>
        <v>42175.2727272727</v>
      </c>
    </row>
    <row r="7">
      <c r="B7" s="70" t="inlineStr">
        <is>
          <t>Batch 환산 (÷190)</t>
        </is>
      </c>
      <c r="C7" s="73">
        <f>C6/'01_Inputs'!$B$49</f>
        <v>11.4631578947368</v>
      </c>
      <c r="D7" s="73">
        <f>D6/'01_Inputs'!$B$49</f>
        <v>11.4631578947368</v>
      </c>
      <c r="E7" s="73">
        <f>E6/'01_Inputs'!$B$49</f>
        <v>16.6736842105263</v>
      </c>
      <c r="F7" s="73">
        <f>F6/'01_Inputs'!$B$49</f>
        <v>6.25263157894737</v>
      </c>
      <c r="G7" s="73">
        <f>G6/'01_Inputs'!$B$49</f>
        <v>22.0153110047847</v>
      </c>
      <c r="H7" s="73">
        <f>H6/'01_Inputs'!$B$49</f>
        <v>22.0153110047847</v>
      </c>
      <c r="I7" s="73">
        <f>I6/'01_Inputs'!$B$49</f>
        <v>22.0153110047847</v>
      </c>
      <c r="J7" s="73">
        <f>J6/'01_Inputs'!$B$49</f>
        <v>22.0153110047847</v>
      </c>
      <c r="K7" s="73">
        <f>K6/'01_Inputs'!$B$49</f>
        <v>22.0153110047847</v>
      </c>
      <c r="L7" s="73">
        <f>L6/'01_Inputs'!$B$49</f>
        <v>22.0153110047847</v>
      </c>
      <c r="M7" s="73">
        <f>M6/'01_Inputs'!$B$49</f>
        <v>22.0153110047847</v>
      </c>
      <c r="N7" s="73">
        <f>N6/'01_Inputs'!$B$49</f>
        <v>22.0153110047847</v>
      </c>
      <c r="O7" s="118">
        <f>SUM(C7:N7)</f>
        <v>221.975119617225</v>
      </c>
    </row>
    <row r="8">
      <c r="B8" s="70" t="inlineStr">
        <is>
          <t>생산 계획 − 출하</t>
        </is>
      </c>
      <c r="C8" s="98">
        <f>'04_Monthly_2026_2028'!AP18</f>
        <v>-575.333333333333</v>
      </c>
      <c r="D8" s="98">
        <f>'04_Monthly_2026_2028'!AP19</f>
        <v>-575.333333333333</v>
      </c>
      <c r="E8" s="98">
        <f>'04_Monthly_2026_2028'!AP20</f>
        <v>-165.333333333333</v>
      </c>
      <c r="F8" s="98">
        <f>'04_Monthly_2026_2028'!AP21</f>
        <v>-2145.33333333333</v>
      </c>
      <c r="G8" s="98">
        <f>'04_Monthly_2026_2028'!AP22</f>
        <v>849.575757575758</v>
      </c>
      <c r="H8" s="98">
        <f>'04_Monthly_2026_2028'!AP23</f>
        <v>849.575757575758</v>
      </c>
      <c r="I8" s="98">
        <f>'04_Monthly_2026_2028'!AP24</f>
        <v>89.575757575758</v>
      </c>
      <c r="J8" s="98">
        <f>'04_Monthly_2026_2028'!AP25</f>
        <v>89.575757575758</v>
      </c>
      <c r="K8" s="98">
        <f>'04_Monthly_2026_2028'!AP26</f>
        <v>89.575757575758</v>
      </c>
      <c r="L8" s="98">
        <f>'04_Monthly_2026_2028'!AP27</f>
        <v>89.575757575758</v>
      </c>
      <c r="M8" s="98">
        <f>'04_Monthly_2026_2028'!AP28</f>
        <v>89.575757575758</v>
      </c>
      <c r="N8" s="98">
        <f>'04_Monthly_2026_2028'!AP29</f>
        <v>89.575757575758</v>
      </c>
      <c r="O8" s="113">
        <f>SUM(C8:N8)</f>
        <v>-1224.72727272727</v>
      </c>
    </row>
    <row r="9">
      <c r="B9" s="105" t="inlineStr">
        <is>
          <t>■ SK하이닉스</t>
        </is>
      </c>
      <c r="C9" s="119">
        <f>22720/12</f>
        <v>1893.33333333333</v>
      </c>
      <c r="D9" s="119">
        <f>22720/12</f>
        <v>1893.33333333333</v>
      </c>
      <c r="E9" s="119">
        <f>22720/12</f>
        <v>1893.33333333333</v>
      </c>
      <c r="F9" s="119">
        <f>22720/12</f>
        <v>1893.33333333333</v>
      </c>
      <c r="G9" s="119">
        <f>22720/12</f>
        <v>1893.33333333333</v>
      </c>
      <c r="H9" s="119">
        <f>22720/12</f>
        <v>1893.33333333333</v>
      </c>
      <c r="I9" s="119">
        <f>22720/12</f>
        <v>1893.33333333333</v>
      </c>
      <c r="J9" s="119">
        <f>22720/12</f>
        <v>1893.33333333333</v>
      </c>
      <c r="K9" s="119">
        <f>22720/12</f>
        <v>1893.33333333333</v>
      </c>
      <c r="L9" s="119">
        <f>22720/12</f>
        <v>1893.33333333333</v>
      </c>
      <c r="M9" s="119">
        <f>22720/12</f>
        <v>1893.33333333333</v>
      </c>
      <c r="N9" s="119">
        <f>22720/12</f>
        <v>1893.33333333333</v>
      </c>
      <c r="O9" s="107">
        <f>SUM(C9:N9)</f>
        <v>22720</v>
      </c>
    </row>
    <row r="10">
      <c r="B10" s="109" t="inlineStr">
        <is>
          <t>■ CXMT</t>
        </is>
      </c>
      <c r="C10" s="106" t="n">
        <v>0</v>
      </c>
      <c r="D10" s="106" t="n">
        <v>0</v>
      </c>
      <c r="E10" s="106" t="n">
        <v>580</v>
      </c>
      <c r="F10" s="106" t="n">
        <v>580</v>
      </c>
      <c r="G10" s="106" t="n">
        <v>580</v>
      </c>
      <c r="H10" s="106" t="n">
        <v>580</v>
      </c>
      <c r="I10" s="106" t="n">
        <v>780</v>
      </c>
      <c r="J10" s="106" t="n">
        <v>780</v>
      </c>
      <c r="K10" s="106" t="n">
        <v>780</v>
      </c>
      <c r="L10" s="106" t="n">
        <v>780</v>
      </c>
      <c r="M10" s="106" t="n">
        <v>780</v>
      </c>
      <c r="N10" s="106" t="n">
        <v>780</v>
      </c>
      <c r="O10" s="107">
        <f>SUM(C10:N10)</f>
        <v>7000</v>
      </c>
    </row>
    <row r="11">
      <c r="B11" s="108" t="inlineStr">
        <is>
          <t>■ 이지켐</t>
        </is>
      </c>
      <c r="C11" s="106" t="n">
        <v>560</v>
      </c>
      <c r="D11" s="106" t="n">
        <v>560</v>
      </c>
      <c r="E11" s="106" t="n">
        <v>560</v>
      </c>
      <c r="F11" s="106" t="n">
        <v>560</v>
      </c>
      <c r="G11" s="106" t="n">
        <v>560</v>
      </c>
      <c r="H11" s="106" t="n">
        <v>560</v>
      </c>
      <c r="I11" s="106" t="n">
        <v>1120</v>
      </c>
      <c r="J11" s="106" t="n">
        <v>1120</v>
      </c>
      <c r="K11" s="106" t="n">
        <v>1120</v>
      </c>
      <c r="L11" s="106" t="n">
        <v>1120</v>
      </c>
      <c r="M11" s="106" t="n">
        <v>1120</v>
      </c>
      <c r="N11" s="106" t="n">
        <v>1120</v>
      </c>
      <c r="O11" s="107">
        <f>SUM(C11:N11)</f>
        <v>10080</v>
      </c>
    </row>
    <row r="12">
      <c r="B12" s="110" t="inlineStr">
        <is>
          <t>■ 한솔</t>
        </is>
      </c>
      <c r="C12" s="106" t="n">
        <v>300</v>
      </c>
      <c r="D12" s="106" t="n">
        <v>300</v>
      </c>
      <c r="E12" s="106" t="n">
        <v>300</v>
      </c>
      <c r="F12" s="106" t="n">
        <v>300</v>
      </c>
      <c r="G12" s="106" t="n">
        <v>300</v>
      </c>
      <c r="H12" s="106" t="n">
        <v>300</v>
      </c>
      <c r="I12" s="106" t="n">
        <v>300</v>
      </c>
      <c r="J12" s="106" t="n">
        <v>300</v>
      </c>
      <c r="K12" s="106" t="n">
        <v>300</v>
      </c>
      <c r="L12" s="106" t="n">
        <v>300</v>
      </c>
      <c r="M12" s="106" t="n">
        <v>300</v>
      </c>
      <c r="N12" s="106" t="n">
        <v>300</v>
      </c>
      <c r="O12" s="107">
        <f>SUM(C12:N12)</f>
        <v>3600</v>
      </c>
    </row>
    <row r="13">
      <c r="B13" s="70" t="inlineStr">
        <is>
          <t>출하 합계</t>
        </is>
      </c>
      <c r="C13" s="120">
        <f>'04_Monthly_2026_2028'!Y18</f>
        <v>2753.33333333333</v>
      </c>
      <c r="D13" s="120">
        <f>'04_Monthly_2026_2028'!Y19</f>
        <v>2753.33333333333</v>
      </c>
      <c r="E13" s="120">
        <f>'04_Monthly_2026_2028'!Y20</f>
        <v>3333.33333333333</v>
      </c>
      <c r="F13" s="120">
        <f>'04_Monthly_2026_2028'!Y21</f>
        <v>3333.33333333333</v>
      </c>
      <c r="G13" s="120">
        <f>'04_Monthly_2026_2028'!Y22</f>
        <v>3333.33333333333</v>
      </c>
      <c r="H13" s="120">
        <f>'04_Monthly_2026_2028'!Y23</f>
        <v>3333.33333333333</v>
      </c>
      <c r="I13" s="120">
        <f>'04_Monthly_2026_2028'!Y24</f>
        <v>4093.33333333333</v>
      </c>
      <c r="J13" s="120">
        <f>'04_Monthly_2026_2028'!Y25</f>
        <v>4093.33333333333</v>
      </c>
      <c r="K13" s="120">
        <f>'04_Monthly_2026_2028'!Y26</f>
        <v>4093.33333333333</v>
      </c>
      <c r="L13" s="120">
        <f>'04_Monthly_2026_2028'!Y27</f>
        <v>4093.33333333333</v>
      </c>
      <c r="M13" s="120">
        <f>'04_Monthly_2026_2028'!Y28</f>
        <v>4093.33333333333</v>
      </c>
      <c r="N13" s="120">
        <f>'04_Monthly_2026_2028'!Y29</f>
        <v>4093.33333333333</v>
      </c>
      <c r="O13" s="107">
        <f>SUM(C13:N13)</f>
        <v>43400</v>
      </c>
    </row>
    <row r="14">
      <c r="B14" s="70" t="inlineStr">
        <is>
          <t>필요 Batch (출하÷Batch량)</t>
        </is>
      </c>
      <c r="C14" s="79">
        <f>'04_Monthly_2026_2028'!Z18</f>
        <v>14.4912280701754</v>
      </c>
      <c r="D14" s="79">
        <f>'04_Monthly_2026_2028'!Z19</f>
        <v>14.4912280701754</v>
      </c>
      <c r="E14" s="79">
        <f>'04_Monthly_2026_2028'!Z20</f>
        <v>17.5438596491228</v>
      </c>
      <c r="F14" s="79">
        <f>'04_Monthly_2026_2028'!Z21</f>
        <v>17.5438596491228</v>
      </c>
      <c r="G14" s="79">
        <f>'04_Monthly_2026_2028'!Z22</f>
        <v>17.5438596491228</v>
      </c>
      <c r="H14" s="79">
        <f>'04_Monthly_2026_2028'!Z23</f>
        <v>17.5438596491228</v>
      </c>
      <c r="I14" s="79">
        <f>'04_Monthly_2026_2028'!Z24</f>
        <v>21.5438596491228</v>
      </c>
      <c r="J14" s="79">
        <f>'04_Monthly_2026_2028'!Z25</f>
        <v>21.5438596491228</v>
      </c>
      <c r="K14" s="79">
        <f>'04_Monthly_2026_2028'!Z26</f>
        <v>21.5438596491228</v>
      </c>
      <c r="L14" s="79">
        <f>'04_Monthly_2026_2028'!Z27</f>
        <v>21.5438596491228</v>
      </c>
      <c r="M14" s="79">
        <f>'04_Monthly_2026_2028'!Z28</f>
        <v>21.5438596491228</v>
      </c>
      <c r="N14" s="79">
        <f>'04_Monthly_2026_2028'!Z29</f>
        <v>21.5438596491228</v>
      </c>
      <c r="O14" s="118">
        <f>SUM(C14:N14)</f>
        <v>228.421052631579</v>
      </c>
    </row>
    <row r="15">
      <c r="B15" s="70" t="inlineStr">
        <is>
          <t>5 Gal 충진 h (병 상당×h/병)</t>
        </is>
      </c>
      <c r="C15" s="79">
        <f>'04_Monthly_2026_2028'!AB18</f>
        <v>189.333333333333</v>
      </c>
      <c r="D15" s="79">
        <f>'04_Monthly_2026_2028'!AB19</f>
        <v>189.333333333333</v>
      </c>
      <c r="E15" s="79">
        <f>'04_Monthly_2026_2028'!AB20</f>
        <v>247.333333333333</v>
      </c>
      <c r="F15" s="79">
        <f>'04_Monthly_2026_2028'!AB21</f>
        <v>247.333333333333</v>
      </c>
      <c r="G15" s="79">
        <f>'04_Monthly_2026_2028'!AB22</f>
        <v>247.333333333333</v>
      </c>
      <c r="H15" s="79">
        <f>'04_Monthly_2026_2028'!AB23</f>
        <v>247.333333333333</v>
      </c>
      <c r="I15" s="79">
        <f>'04_Monthly_2026_2028'!AB24</f>
        <v>267.333333333333</v>
      </c>
      <c r="J15" s="79">
        <f>'04_Monthly_2026_2028'!AB25</f>
        <v>267.333333333333</v>
      </c>
      <c r="K15" s="79">
        <f>'04_Monthly_2026_2028'!AB26</f>
        <v>267.333333333333</v>
      </c>
      <c r="L15" s="79">
        <f>'04_Monthly_2026_2028'!AB27</f>
        <v>267.333333333333</v>
      </c>
      <c r="M15" s="79">
        <f>'04_Monthly_2026_2028'!AB28</f>
        <v>267.333333333333</v>
      </c>
      <c r="N15" s="79">
        <f>'04_Monthly_2026_2028'!AB29</f>
        <v>267.333333333333</v>
      </c>
      <c r="O15" s="118">
        <f>SUM(C15:N15)</f>
        <v>2972</v>
      </c>
    </row>
    <row r="16">
      <c r="B16" s="70" t="inlineStr">
        <is>
          <t>이지켐 용기</t>
        </is>
      </c>
      <c r="C16" s="121">
        <f>'04_Monthly_2026_2028'!AD18</f>
        <v>4</v>
      </c>
      <c r="D16" s="121">
        <f>'04_Monthly_2026_2028'!AD19</f>
        <v>4</v>
      </c>
      <c r="E16" s="121">
        <f>'04_Monthly_2026_2028'!AD20</f>
        <v>4</v>
      </c>
      <c r="F16" s="121">
        <f>'04_Monthly_2026_2028'!AD21</f>
        <v>4</v>
      </c>
      <c r="G16" s="121">
        <f>'04_Monthly_2026_2028'!AD22</f>
        <v>4</v>
      </c>
      <c r="H16" s="121">
        <f>'04_Monthly_2026_2028'!AD23</f>
        <v>4</v>
      </c>
      <c r="I16" s="121">
        <f>'04_Monthly_2026_2028'!AD24</f>
        <v>8</v>
      </c>
      <c r="J16" s="121">
        <f>'04_Monthly_2026_2028'!AD25</f>
        <v>8</v>
      </c>
      <c r="K16" s="121">
        <f>'04_Monthly_2026_2028'!AD26</f>
        <v>8</v>
      </c>
      <c r="L16" s="121">
        <f>'04_Monthly_2026_2028'!AD27</f>
        <v>8</v>
      </c>
      <c r="M16" s="121">
        <f>'04_Monthly_2026_2028'!AD28</f>
        <v>8</v>
      </c>
      <c r="N16" s="121">
        <f>'04_Monthly_2026_2028'!AD29</f>
        <v>8</v>
      </c>
      <c r="O16" s="122">
        <f>SUM(C16:N16)</f>
        <v>72</v>
      </c>
    </row>
    <row r="17">
      <c r="B17" s="70" t="inlineStr">
        <is>
          <t>한솔 용기</t>
        </is>
      </c>
      <c r="C17" s="121">
        <f>'04_Monthly_2026_2028'!AE18</f>
        <v>2</v>
      </c>
      <c r="D17" s="121">
        <f>'04_Monthly_2026_2028'!AE19</f>
        <v>2</v>
      </c>
      <c r="E17" s="121">
        <f>'04_Monthly_2026_2028'!AE20</f>
        <v>2</v>
      </c>
      <c r="F17" s="121">
        <f>'04_Monthly_2026_2028'!AE21</f>
        <v>2</v>
      </c>
      <c r="G17" s="121">
        <f>'04_Monthly_2026_2028'!AE22</f>
        <v>2</v>
      </c>
      <c r="H17" s="121">
        <f>'04_Monthly_2026_2028'!AE23</f>
        <v>2</v>
      </c>
      <c r="I17" s="121">
        <f>'04_Monthly_2026_2028'!AE24</f>
        <v>2</v>
      </c>
      <c r="J17" s="121">
        <f>'04_Monthly_2026_2028'!AE25</f>
        <v>2</v>
      </c>
      <c r="K17" s="121">
        <f>'04_Monthly_2026_2028'!AE26</f>
        <v>2</v>
      </c>
      <c r="L17" s="121">
        <f>'04_Monthly_2026_2028'!AE27</f>
        <v>2</v>
      </c>
      <c r="M17" s="121">
        <f>'04_Monthly_2026_2028'!AE28</f>
        <v>2</v>
      </c>
      <c r="N17" s="121">
        <f>'04_Monthly_2026_2028'!AE29</f>
        <v>2</v>
      </c>
      <c r="O17" s="122">
        <f>SUM(C17:N17)</f>
        <v>24</v>
      </c>
    </row>
    <row r="18">
      <c r="B18" s="70" t="inlineStr">
        <is>
          <t>200 L 충진 방식 (이지켐/한솔)</t>
        </is>
      </c>
      <c r="C18" s="114" t="str">
        <f>'04_Monthly_2026_2028'!AF18&amp;"/"&amp;'04_Monthly_2026_2028'!AG18</f>
        <v>수동/수동</v>
      </c>
      <c r="D18" s="114" t="str">
        <f>'04_Monthly_2026_2028'!AF19&amp;"/"&amp;'04_Monthly_2026_2028'!AG19</f>
        <v>수동/수동</v>
      </c>
      <c r="E18" s="114" t="str">
        <f>'04_Monthly_2026_2028'!AF20&amp;"/"&amp;'04_Monthly_2026_2028'!AG20</f>
        <v>수동/수동</v>
      </c>
      <c r="F18" s="114" t="str">
        <f>'04_Monthly_2026_2028'!AF21&amp;"/"&amp;'04_Monthly_2026_2028'!AG21</f>
        <v>수동/수동</v>
      </c>
      <c r="G18" s="114" t="str">
        <f>'04_Monthly_2026_2028'!AF22&amp;"/"&amp;'04_Monthly_2026_2028'!AG22</f>
        <v>수동/수동</v>
      </c>
      <c r="H18" s="114" t="str">
        <f>'04_Monthly_2026_2028'!AF23&amp;"/"&amp;'04_Monthly_2026_2028'!AG23</f>
        <v>수동/수동</v>
      </c>
      <c r="I18" s="114" t="str">
        <f>'04_Monthly_2026_2028'!AF24&amp;"/"&amp;'04_Monthly_2026_2028'!AG24</f>
        <v>ARS/ARS</v>
      </c>
      <c r="J18" s="114" t="str">
        <f>'04_Monthly_2026_2028'!AF25&amp;"/"&amp;'04_Monthly_2026_2028'!AG25</f>
        <v>ARS/ARS</v>
      </c>
      <c r="K18" s="114" t="str">
        <f>'04_Monthly_2026_2028'!AF26&amp;"/"&amp;'04_Monthly_2026_2028'!AG26</f>
        <v>ARS/ARS</v>
      </c>
      <c r="L18" s="114" t="str">
        <f>'04_Monthly_2026_2028'!AF27&amp;"/"&amp;'04_Monthly_2026_2028'!AG27</f>
        <v>ARS/ARS</v>
      </c>
      <c r="M18" s="114" t="str">
        <f>'04_Monthly_2026_2028'!AF28&amp;"/"&amp;'04_Monthly_2026_2028'!AG28</f>
        <v>ARS/ARS</v>
      </c>
      <c r="N18" s="114" t="str">
        <f>'04_Monthly_2026_2028'!AF29&amp;"/"&amp;'04_Monthly_2026_2028'!AG29</f>
        <v>ARS/ARS</v>
      </c>
      <c r="O18" s="115" t="inlineStr">
        <is>
          <t>-</t>
        </is>
      </c>
    </row>
    <row r="19">
      <c r="B19" s="70" t="inlineStr">
        <is>
          <t>200 L 충진 h (확인분+미확인)</t>
        </is>
      </c>
      <c r="C19" s="123" t="str">
        <f>IF(ISNUMBER('04_Monthly_2026_2028'!AJ18),'04_Monthly_2026_2028'!AJ18,TEXT(N('04_Monthly_2026_2028'!AH18)+N('04_Monthly_2026_2028'!AI18),"0")&amp;"+미확인")</f>
        <v>32+미확인</v>
      </c>
      <c r="D19" s="123" t="str">
        <f>IF(ISNUMBER('04_Monthly_2026_2028'!AJ19),'04_Monthly_2026_2028'!AJ19,TEXT(N('04_Monthly_2026_2028'!AH19)+N('04_Monthly_2026_2028'!AI19),"0")&amp;"+미확인")</f>
        <v>32+미확인</v>
      </c>
      <c r="E19" s="123" t="str">
        <f>IF(ISNUMBER('04_Monthly_2026_2028'!AJ20),'04_Monthly_2026_2028'!AJ20,TEXT(N('04_Monthly_2026_2028'!AH20)+N('04_Monthly_2026_2028'!AI20),"0")&amp;"+미확인")</f>
        <v>32+미확인</v>
      </c>
      <c r="F19" s="123" t="str">
        <f>IF(ISNUMBER('04_Monthly_2026_2028'!AJ21),'04_Monthly_2026_2028'!AJ21,TEXT(N('04_Monthly_2026_2028'!AH21)+N('04_Monthly_2026_2028'!AI21),"0")&amp;"+미확인")</f>
        <v>32+미확인</v>
      </c>
      <c r="G19" s="123" t="str">
        <f>IF(ISNUMBER('04_Monthly_2026_2028'!AJ22),'04_Monthly_2026_2028'!AJ22,TEXT(N('04_Monthly_2026_2028'!AH22)+N('04_Monthly_2026_2028'!AI22),"0")&amp;"+미확인")</f>
        <v>32+미확인</v>
      </c>
      <c r="H19" s="123" t="str">
        <f>IF(ISNUMBER('04_Monthly_2026_2028'!AJ23),'04_Monthly_2026_2028'!AJ23,TEXT(N('04_Monthly_2026_2028'!AH23)+N('04_Monthly_2026_2028'!AI23),"0")&amp;"+미확인")</f>
        <v>32+미확인</v>
      </c>
      <c r="I19" s="123" t="str">
        <f>IF(ISNUMBER('04_Monthly_2026_2028'!AJ24),'04_Monthly_2026_2028'!AJ24,TEXT(N('04_Monthly_2026_2028'!AH24)+N('04_Monthly_2026_2028'!AI24),"0")&amp;"+미확인")</f>
        <v>0+미확인</v>
      </c>
      <c r="J19" s="123" t="str">
        <f>IF(ISNUMBER('04_Monthly_2026_2028'!AJ25),'04_Monthly_2026_2028'!AJ25,TEXT(N('04_Monthly_2026_2028'!AH25)+N('04_Monthly_2026_2028'!AI25),"0")&amp;"+미확인")</f>
        <v>0+미확인</v>
      </c>
      <c r="K19" s="123" t="str">
        <f>IF(ISNUMBER('04_Monthly_2026_2028'!AJ26),'04_Monthly_2026_2028'!AJ26,TEXT(N('04_Monthly_2026_2028'!AH26)+N('04_Monthly_2026_2028'!AI26),"0")&amp;"+미확인")</f>
        <v>0+미확인</v>
      </c>
      <c r="L19" s="123" t="str">
        <f>IF(ISNUMBER('04_Monthly_2026_2028'!AJ27),'04_Monthly_2026_2028'!AJ27,TEXT(N('04_Monthly_2026_2028'!AH27)+N('04_Monthly_2026_2028'!AI27),"0")&amp;"+미확인")</f>
        <v>0+미확인</v>
      </c>
      <c r="M19" s="123" t="str">
        <f>IF(ISNUMBER('04_Monthly_2026_2028'!AJ28),'04_Monthly_2026_2028'!AJ28,TEXT(N('04_Monthly_2026_2028'!AH28)+N('04_Monthly_2026_2028'!AI28),"0")&amp;"+미확인")</f>
        <v>0+미확인</v>
      </c>
      <c r="N19" s="123" t="str">
        <f>IF(ISNUMBER('04_Monthly_2026_2028'!AJ29),'04_Monthly_2026_2028'!AJ29,TEXT(N('04_Monthly_2026_2028'!AH29)+N('04_Monthly_2026_2028'!AI29),"0")&amp;"+미확인")</f>
        <v>0+미확인</v>
      </c>
      <c r="O19" s="118" t="inlineStr">
        <is>
          <t>-</t>
        </is>
      </c>
    </row>
    <row r="20">
      <c r="B20" s="70" t="inlineStr">
        <is>
          <t>누적 (생산 계획 − 출하) '27.1~</t>
        </is>
      </c>
      <c r="C20" s="98">
        <f>'04_Monthly_2026_2028'!AQ18</f>
        <v>-575.333333333333</v>
      </c>
      <c r="D20" s="98">
        <f>'04_Monthly_2026_2028'!AQ19</f>
        <v>-1150.66666666667</v>
      </c>
      <c r="E20" s="98">
        <f>'04_Monthly_2026_2028'!AQ20</f>
        <v>-1316</v>
      </c>
      <c r="F20" s="98">
        <f>'04_Monthly_2026_2028'!AQ21</f>
        <v>-3461.33333333333</v>
      </c>
      <c r="G20" s="98">
        <f>'04_Monthly_2026_2028'!AQ22</f>
        <v>-2611.75757575757</v>
      </c>
      <c r="H20" s="98">
        <f>'04_Monthly_2026_2028'!AQ23</f>
        <v>-1762.18181818182</v>
      </c>
      <c r="I20" s="98">
        <f>'04_Monthly_2026_2028'!AQ24</f>
        <v>-1672.60606060606</v>
      </c>
      <c r="J20" s="98">
        <f>'04_Monthly_2026_2028'!AQ25</f>
        <v>-1583.0303030303</v>
      </c>
      <c r="K20" s="98">
        <f>'04_Monthly_2026_2028'!AQ26</f>
        <v>-1493.45454545454</v>
      </c>
      <c r="L20" s="98">
        <f>'04_Monthly_2026_2028'!AQ27</f>
        <v>-1403.87878787878</v>
      </c>
      <c r="M20" s="98">
        <f>'04_Monthly_2026_2028'!AQ28</f>
        <v>-1314.30303030303</v>
      </c>
      <c r="N20" s="98">
        <f>'04_Monthly_2026_2028'!AQ29</f>
        <v>-1224.72727272727</v>
      </c>
      <c r="O20" s="113">
        <f>N20</f>
        <v>-1224.72727272727</v>
      </c>
    </row>
    <row r="21">
      <c r="B21" s="70" t="inlineStr">
        <is>
          <t>비교 (t)</t>
        </is>
      </c>
      <c r="C21" s="105" t="str">
        <f>"생산 계획 "&amp;TEXT('05_Reflux_Scenarios'!$B$44/1000,"0.00")&amp;"톤 (1~4월 확정 "&amp;TEXT('05_Reflux_Scenarios'!$B$45/1000,"0.00")&amp;" + 5~12월 "&amp;TEXT('01_Inputs'!$B$71,"#,##0.0")&amp;" kg × "&amp;TEXT('05_Reflux_Scenarios'!$B$47,"0")&amp;") vs 출하 "&amp;TEXT('05_Reflux_Scenarios'!B25,"0.00")&amp;"톤 → "&amp;TEXT('05_Reflux_Scenarios'!D25,"+0.00;-0.00")&amp;"톤 · 누적 최저 "&amp;TEXT(-'05_Reflux_Scenarios'!$B$51/1000,"+0.00;-0.00")&amp;"톤 ("&amp;TEXT('05_Reflux_Scenarios'!$B$52,"yy.m")&amp;") = 필요 선행재고"</f>
        <v>생산 계획 42.18톤 (1~4월 확정 8.71 + 5~12월 4,182.9 kg × 8) vs 출하 43.40톤 → -1.22톤 · 누적 최저 -3.46톤 (27.4) = 필요 선행재고</v>
      </c>
      <c r="D21" s="77" t="n"/>
      <c r="E21" s="77" t="n"/>
      <c r="F21" s="77" t="n"/>
      <c r="G21" s="77" t="n"/>
      <c r="H21" s="77" t="n"/>
      <c r="I21" s="77" t="n"/>
      <c r="J21" s="77" t="n"/>
      <c r="K21" s="77" t="n"/>
      <c r="L21" s="77" t="n"/>
      <c r="M21" s="77" t="n"/>
      <c r="N21" s="77" t="n"/>
      <c r="O21" s="77" t="n"/>
    </row>
    <row r="22">
      <c r="B22" s="70" t="inlineStr">
        <is>
          <t>비교 (t)</t>
        </is>
      </c>
      <c r="C22" s="105" t="str">
        <f>"월 Capa. = ("&amp;TEXT('01_Inputs'!$B$65*1000,"#,##0")&amp;" − 대정비 "&amp;TEXT('01_Inputs'!$B$70,"#,##0")&amp;") ÷ 11 = "&amp;TEXT('01_Inputs'!$B$71,"#,##0.0")&amp;" kg · 상반기 출하 "&amp;TEXT('05_Reflux_Scenarios'!B26,"0.00")&amp;" vs 계획 "&amp;TEXT('05_Reflux_Scenarios'!C26,"0.00")&amp;" · 하반기 "&amp;TEXT('05_Reflux_Scenarios'!B27,"0.00")&amp;" vs "&amp;TEXT('05_Reflux_Scenarios'!C27,"0.00")&amp;" → "&amp;TEXT('05_Reflux_Scenarios'!D27,"+0.00;-0.00")&amp;"톤"</f>
        <v>월 Capa. = (47,200 − 대정비 1,188) ÷ 11 = 4,182.9 kg · 상반기 출하 18.84 vs 계획 17.08 · 하반기 24.56 vs 25.10 → +0.54톤</v>
      </c>
      <c r="D22" s="77" t="n"/>
      <c r="E22" s="77" t="n"/>
      <c r="F22" s="77" t="n"/>
      <c r="G22" s="77" t="n"/>
      <c r="H22" s="77" t="n"/>
      <c r="I22" s="77" t="n"/>
      <c r="J22" s="77" t="n"/>
      <c r="K22" s="77" t="n"/>
      <c r="L22" s="77" t="n"/>
      <c r="M22" s="77" t="n"/>
      <c r="N22" s="77" t="n"/>
      <c r="O22" s="77" t="n"/>
    </row>
    <row r="23">
      <c r="B23" s="75" t="inlineStr">
        <is>
          <t>* 파란 글자 = 입력 · 생산 계획 5~12월 = Capa. 기준 자동 계산 (대정비 월 = P4 4월 칸) · 노란 칸 = 미확인 조건 · 하이닉스 = 22,720÷12 (표시 반올림)</t>
        </is>
      </c>
    </row>
  </sheetData>
  <mergeCells count="2">
    <mergeCell ref="C22:O22"/>
    <mergeCell ref="C21:O21"/>
  </mergeCells>
  <conditionalFormatting sqref="C5:N5">
    <cfRule type="expression" priority="1" dxfId="19">
      <formula>LEFT(C5,2)="개선"</formula>
    </cfRule>
    <cfRule type="expression" priority="2" dxfId="8">
      <formula>C5="대정비"</formula>
    </cfRule>
    <cfRule type="expression" priority="3" dxfId="20">
      <formula>C$5="대정비"</formula>
    </cfRule>
  </conditionalFormatting>
  <conditionalFormatting sqref="C6:N6">
    <cfRule type="expression" priority="4" dxfId="20">
      <formula>C$5="대정비"</formula>
    </cfRule>
  </conditionalFormatting>
  <conditionalFormatting sqref="C19:O19">
    <cfRule type="expression" priority="5" dxfId="21">
      <formula>NOT(ISNUMBER(C19))</formula>
    </cfRule>
  </conditionalFormatting>
  <pageMargins left="0.75" right="0.75" top="1" bottom="1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tabColor rgb="00FF7900"/>
    <outlinePr summaryBelow="1" summaryRight="1"/>
    <pageSetUpPr fitToPage="1"/>
  </sheetPr>
  <dimension ref="A1:O22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5" customWidth="1" min="1" max="1"/>
    <col width="28.09" customWidth="1" min="2" max="2"/>
    <col width="6.55" customWidth="1" min="3" max="3"/>
    <col width="6.55" customWidth="1" min="4" max="4"/>
    <col width="6.55" customWidth="1" min="5" max="5"/>
    <col width="6.55" customWidth="1" min="6" max="6"/>
    <col width="6.55" customWidth="1" min="7" max="7"/>
    <col width="6.55" customWidth="1" min="8" max="8"/>
    <col width="6.55" customWidth="1" min="9" max="9"/>
    <col width="6.55" customWidth="1" min="10" max="10"/>
    <col width="6.55" customWidth="1" min="11" max="11"/>
    <col width="6.55" customWidth="1" min="12" max="12"/>
    <col width="6.55" customWidth="1" min="13" max="13"/>
    <col width="6.55" customWidth="1" min="14" max="14"/>
    <col width="10.94" customWidth="1" min="15" max="15"/>
  </cols>
  <sheetData>
    <row r="1">
      <c r="A1" s="64" t="inlineStr">
        <is>
          <t>P5 | 2028 월별 생산 계획 · 출하 · 충진 (PPT 5장 표) — kg</t>
        </is>
      </c>
    </row>
    <row r="2">
      <c r="A2" s="65" t="inlineStr">
        <is>
          <t>파란 글자 = 입력 칸 (여기서 고치면 다른 P 표·계산 시트가 모두 같이 바뀜) · 검정 = 자동 계산. PPT: 범위 복사 → 붙여넣기(원본 서식 유지/그림) · 계속 연동하려면 [선택하여 붙여넣기 → 연결하여 붙여넣기]. 고객 4행이 출하 입력 칸 · 생산 계획은 P2·P4 입력으로 자동 계산.</t>
        </is>
      </c>
    </row>
    <row r="4" ht="12" customHeight="1">
      <c r="B4" s="68" t="inlineStr">
        <is>
          <t>구분</t>
        </is>
      </c>
      <c r="C4" s="69" t="inlineStr">
        <is>
          <t>1월</t>
        </is>
      </c>
      <c r="D4" s="69" t="inlineStr">
        <is>
          <t>2월</t>
        </is>
      </c>
      <c r="E4" s="69" t="inlineStr">
        <is>
          <t>3월</t>
        </is>
      </c>
      <c r="F4" s="69" t="inlineStr">
        <is>
          <t>4월</t>
        </is>
      </c>
      <c r="G4" s="69" t="inlineStr">
        <is>
          <t>5월</t>
        </is>
      </c>
      <c r="H4" s="69" t="inlineStr">
        <is>
          <t>6월</t>
        </is>
      </c>
      <c r="I4" s="69" t="inlineStr">
        <is>
          <t>7월</t>
        </is>
      </c>
      <c r="J4" s="69" t="inlineStr">
        <is>
          <t>8월</t>
        </is>
      </c>
      <c r="K4" s="69" t="inlineStr">
        <is>
          <t>9월</t>
        </is>
      </c>
      <c r="L4" s="69" t="inlineStr">
        <is>
          <t>10월</t>
        </is>
      </c>
      <c r="M4" s="69" t="inlineStr">
        <is>
          <t>11월</t>
        </is>
      </c>
      <c r="N4" s="69" t="inlineStr">
        <is>
          <t>12월</t>
        </is>
      </c>
      <c r="O4" s="69" t="inlineStr">
        <is>
          <t>연간</t>
        </is>
      </c>
    </row>
    <row r="5">
      <c r="B5" s="70" t="inlineStr">
        <is>
          <t>운전 조건</t>
        </is>
      </c>
      <c r="C5" s="114" t="str">
        <f>'04_Monthly_2026_2028'!D30</f>
        <v>개선 (2대·105℃)</v>
      </c>
      <c r="D5" s="114" t="str">
        <f>'04_Monthly_2026_2028'!D31</f>
        <v>개선 (2대·105℃)</v>
      </c>
      <c r="E5" s="114" t="str">
        <f>'04_Monthly_2026_2028'!D32</f>
        <v>개선 (2대·105℃)</v>
      </c>
      <c r="F5" s="114" t="str">
        <f>'04_Monthly_2026_2028'!D33</f>
        <v>대정비</v>
      </c>
      <c r="G5" s="114" t="str">
        <f>'04_Monthly_2026_2028'!D34</f>
        <v>개선 (2대·105℃)</v>
      </c>
      <c r="H5" s="114" t="str">
        <f>'04_Monthly_2026_2028'!D35</f>
        <v>개선 (2대·105℃)</v>
      </c>
      <c r="I5" s="114" t="str">
        <f>'04_Monthly_2026_2028'!D36</f>
        <v>개선 (2대·105℃)</v>
      </c>
      <c r="J5" s="114" t="str">
        <f>'04_Monthly_2026_2028'!D37</f>
        <v>개선 (2대·105℃)</v>
      </c>
      <c r="K5" s="114" t="str">
        <f>'04_Monthly_2026_2028'!D38</f>
        <v>개선 (2대·105℃)</v>
      </c>
      <c r="L5" s="114" t="str">
        <f>'04_Monthly_2026_2028'!D39</f>
        <v>개선 (2대·105℃)</v>
      </c>
      <c r="M5" s="114" t="str">
        <f>'04_Monthly_2026_2028'!D40</f>
        <v>개선 (2대·105℃)</v>
      </c>
      <c r="N5" s="114" t="str">
        <f>'04_Monthly_2026_2028'!D41</f>
        <v>개선 (2대·105℃)</v>
      </c>
      <c r="O5" s="115" t="inlineStr">
        <is>
          <t>-</t>
        </is>
      </c>
    </row>
    <row r="6">
      <c r="B6" s="70" t="inlineStr">
        <is>
          <t>생산 계획 (kg) — 50.2톤 기준</t>
        </is>
      </c>
      <c r="C6" s="117">
        <f>IF(1='01_Inputs'!$B$69,'01_Inputs'!$B$70,IF(AND(ISNUMBER('01_Inputs'!$B$76),DATE(2028,1,1)&gt;='01_Inputs'!$B$76),'01_Inputs'!$B$72,IF(DATE(2028,1,1)&gt;='01_Inputs'!$B$80,'01_Inputs'!$B$71,'01_Inputs'!$B$63*1000/12)))</f>
        <v>4455.63636363636</v>
      </c>
      <c r="D6" s="117">
        <f>IF(2='01_Inputs'!$B$69,'01_Inputs'!$B$70,IF(AND(ISNUMBER('01_Inputs'!$B$76),DATE(2028,2,1)&gt;='01_Inputs'!$B$76),'01_Inputs'!$B$72,IF(DATE(2028,2,1)&gt;='01_Inputs'!$B$80,'01_Inputs'!$B$71,'01_Inputs'!$B$63*1000/12)))</f>
        <v>4455.63636363636</v>
      </c>
      <c r="E6" s="117">
        <f>IF(3='01_Inputs'!$B$69,'01_Inputs'!$B$70,IF(AND(ISNUMBER('01_Inputs'!$B$76),DATE(2028,3,1)&gt;='01_Inputs'!$B$76),'01_Inputs'!$B$72,IF(DATE(2028,3,1)&gt;='01_Inputs'!$B$80,'01_Inputs'!$B$71,'01_Inputs'!$B$63*1000/12)))</f>
        <v>4455.63636363636</v>
      </c>
      <c r="F6" s="117">
        <f>IF(4='01_Inputs'!$B$69,'01_Inputs'!$B$70,IF(AND(ISNUMBER('01_Inputs'!$B$76),DATE(2028,4,1)&gt;='01_Inputs'!$B$76),'01_Inputs'!$B$72,IF(DATE(2028,4,1)&gt;='01_Inputs'!$B$80,'01_Inputs'!$B$71,'01_Inputs'!$B$63*1000/12)))</f>
        <v>1188</v>
      </c>
      <c r="G6" s="117">
        <f>IF(5='01_Inputs'!$B$69,'01_Inputs'!$B$70,IF(AND(ISNUMBER('01_Inputs'!$B$76),DATE(2028,5,1)&gt;='01_Inputs'!$B$76),'01_Inputs'!$B$72,IF(DATE(2028,5,1)&gt;='01_Inputs'!$B$80,'01_Inputs'!$B$71,'01_Inputs'!$B$63*1000/12)))</f>
        <v>4455.63636363636</v>
      </c>
      <c r="H6" s="117">
        <f>IF(6='01_Inputs'!$B$69,'01_Inputs'!$B$70,IF(AND(ISNUMBER('01_Inputs'!$B$76),DATE(2028,6,1)&gt;='01_Inputs'!$B$76),'01_Inputs'!$B$72,IF(DATE(2028,6,1)&gt;='01_Inputs'!$B$80,'01_Inputs'!$B$71,'01_Inputs'!$B$63*1000/12)))</f>
        <v>4455.63636363636</v>
      </c>
      <c r="I6" s="117">
        <f>IF(7='01_Inputs'!$B$69,'01_Inputs'!$B$70,IF(AND(ISNUMBER('01_Inputs'!$B$76),DATE(2028,7,1)&gt;='01_Inputs'!$B$76),'01_Inputs'!$B$72,IF(DATE(2028,7,1)&gt;='01_Inputs'!$B$80,'01_Inputs'!$B$71,'01_Inputs'!$B$63*1000/12)))</f>
        <v>4455.63636363636</v>
      </c>
      <c r="J6" s="117">
        <f>IF(8='01_Inputs'!$B$69,'01_Inputs'!$B$70,IF(AND(ISNUMBER('01_Inputs'!$B$76),DATE(2028,8,1)&gt;='01_Inputs'!$B$76),'01_Inputs'!$B$72,IF(DATE(2028,8,1)&gt;='01_Inputs'!$B$80,'01_Inputs'!$B$71,'01_Inputs'!$B$63*1000/12)))</f>
        <v>4455.63636363636</v>
      </c>
      <c r="K6" s="117">
        <f>IF(9='01_Inputs'!$B$69,'01_Inputs'!$B$70,IF(AND(ISNUMBER('01_Inputs'!$B$76),DATE(2028,9,1)&gt;='01_Inputs'!$B$76),'01_Inputs'!$B$72,IF(DATE(2028,9,1)&gt;='01_Inputs'!$B$80,'01_Inputs'!$B$71,'01_Inputs'!$B$63*1000/12)))</f>
        <v>4455.63636363636</v>
      </c>
      <c r="L6" s="117">
        <f>IF(10='01_Inputs'!$B$69,'01_Inputs'!$B$70,IF(AND(ISNUMBER('01_Inputs'!$B$76),DATE(2028,10,1)&gt;='01_Inputs'!$B$76),'01_Inputs'!$B$72,IF(DATE(2028,10,1)&gt;='01_Inputs'!$B$80,'01_Inputs'!$B$71,'01_Inputs'!$B$63*1000/12)))</f>
        <v>4455.63636363636</v>
      </c>
      <c r="M6" s="117">
        <f>IF(11='01_Inputs'!$B$69,'01_Inputs'!$B$70,IF(AND(ISNUMBER('01_Inputs'!$B$76),DATE(2028,11,1)&gt;='01_Inputs'!$B$76),'01_Inputs'!$B$72,IF(DATE(2028,11,1)&gt;='01_Inputs'!$B$80,'01_Inputs'!$B$71,'01_Inputs'!$B$63*1000/12)))</f>
        <v>4455.63636363636</v>
      </c>
      <c r="N6" s="117">
        <f>IF(12='01_Inputs'!$B$69,'01_Inputs'!$B$70,IF(AND(ISNUMBER('01_Inputs'!$B$76),DATE(2028,12,1)&gt;='01_Inputs'!$B$76),'01_Inputs'!$B$72,IF(DATE(2028,12,1)&gt;='01_Inputs'!$B$80,'01_Inputs'!$B$71,'01_Inputs'!$B$63*1000/12)))</f>
        <v>4455.63636363636</v>
      </c>
      <c r="O6" s="107">
        <f>SUM(C6:N6)</f>
        <v>50200</v>
      </c>
    </row>
    <row r="7">
      <c r="B7" s="70" t="inlineStr">
        <is>
          <t>참고: 47.2톤 기준 (105℃ 미적용)</t>
        </is>
      </c>
      <c r="C7" s="124">
        <f>IF(1='01_Inputs'!$B$69,'01_Inputs'!$B$70,'01_Inputs'!$B$71)</f>
        <v>4182.90909090909</v>
      </c>
      <c r="D7" s="124">
        <f>IF(2='01_Inputs'!$B$69,'01_Inputs'!$B$70,'01_Inputs'!$B$71)</f>
        <v>4182.90909090909</v>
      </c>
      <c r="E7" s="124">
        <f>IF(3='01_Inputs'!$B$69,'01_Inputs'!$B$70,'01_Inputs'!$B$71)</f>
        <v>4182.90909090909</v>
      </c>
      <c r="F7" s="124">
        <f>IF(4='01_Inputs'!$B$69,'01_Inputs'!$B$70,'01_Inputs'!$B$71)</f>
        <v>1188</v>
      </c>
      <c r="G7" s="124">
        <f>IF(5='01_Inputs'!$B$69,'01_Inputs'!$B$70,'01_Inputs'!$B$71)</f>
        <v>4182.90909090909</v>
      </c>
      <c r="H7" s="124">
        <f>IF(6='01_Inputs'!$B$69,'01_Inputs'!$B$70,'01_Inputs'!$B$71)</f>
        <v>4182.90909090909</v>
      </c>
      <c r="I7" s="124">
        <f>IF(7='01_Inputs'!$B$69,'01_Inputs'!$B$70,'01_Inputs'!$B$71)</f>
        <v>4182.90909090909</v>
      </c>
      <c r="J7" s="124">
        <f>IF(8='01_Inputs'!$B$69,'01_Inputs'!$B$70,'01_Inputs'!$B$71)</f>
        <v>4182.90909090909</v>
      </c>
      <c r="K7" s="124">
        <f>IF(9='01_Inputs'!$B$69,'01_Inputs'!$B$70,'01_Inputs'!$B$71)</f>
        <v>4182.90909090909</v>
      </c>
      <c r="L7" s="124">
        <f>IF(10='01_Inputs'!$B$69,'01_Inputs'!$B$70,'01_Inputs'!$B$71)</f>
        <v>4182.90909090909</v>
      </c>
      <c r="M7" s="124">
        <f>IF(11='01_Inputs'!$B$69,'01_Inputs'!$B$70,'01_Inputs'!$B$71)</f>
        <v>4182.90909090909</v>
      </c>
      <c r="N7" s="124">
        <f>IF(12='01_Inputs'!$B$69,'01_Inputs'!$B$70,'01_Inputs'!$B$71)</f>
        <v>4182.90909090909</v>
      </c>
      <c r="O7" s="107">
        <f>SUM(C7:N7)</f>
        <v>47200</v>
      </c>
    </row>
    <row r="8">
      <c r="B8" s="70" t="inlineStr">
        <is>
          <t>생산 계획 − 출하</t>
        </is>
      </c>
      <c r="C8" s="98">
        <f>'04_Monthly_2026_2028'!AP30</f>
        <v>642.303030303031</v>
      </c>
      <c r="D8" s="98">
        <f>'04_Monthly_2026_2028'!AP31</f>
        <v>642.303030303031</v>
      </c>
      <c r="E8" s="98">
        <f>'04_Monthly_2026_2028'!AP32</f>
        <v>642.303030303031</v>
      </c>
      <c r="F8" s="98">
        <f>'04_Monthly_2026_2028'!AP33</f>
        <v>-2625.33333333333</v>
      </c>
      <c r="G8" s="98">
        <f>'04_Monthly_2026_2028'!AP34</f>
        <v>642.303030303031</v>
      </c>
      <c r="H8" s="98">
        <f>'04_Monthly_2026_2028'!AP35</f>
        <v>642.303030303031</v>
      </c>
      <c r="I8" s="98">
        <f>'04_Monthly_2026_2028'!AP36</f>
        <v>642.303030303031</v>
      </c>
      <c r="J8" s="98">
        <f>'04_Monthly_2026_2028'!AP37</f>
        <v>642.303030303031</v>
      </c>
      <c r="K8" s="98">
        <f>'04_Monthly_2026_2028'!AP38</f>
        <v>642.303030303031</v>
      </c>
      <c r="L8" s="98">
        <f>'04_Monthly_2026_2028'!AP39</f>
        <v>642.303030303031</v>
      </c>
      <c r="M8" s="98">
        <f>'04_Monthly_2026_2028'!AP40</f>
        <v>642.303030303031</v>
      </c>
      <c r="N8" s="98">
        <f>'04_Monthly_2026_2028'!AP41</f>
        <v>642.303030303031</v>
      </c>
      <c r="O8" s="113">
        <f>SUM(C8:N8)</f>
        <v>4440.00000000001</v>
      </c>
    </row>
    <row r="9">
      <c r="B9" s="105" t="inlineStr">
        <is>
          <t>■ SK하이닉스</t>
        </is>
      </c>
      <c r="C9" s="119">
        <f>22720/12</f>
        <v>1893.33333333333</v>
      </c>
      <c r="D9" s="119">
        <f>22720/12</f>
        <v>1893.33333333333</v>
      </c>
      <c r="E9" s="119">
        <f>22720/12</f>
        <v>1893.33333333333</v>
      </c>
      <c r="F9" s="119">
        <f>22720/12</f>
        <v>1893.33333333333</v>
      </c>
      <c r="G9" s="119">
        <f>22720/12</f>
        <v>1893.33333333333</v>
      </c>
      <c r="H9" s="119">
        <f>22720/12</f>
        <v>1893.33333333333</v>
      </c>
      <c r="I9" s="119">
        <f>22720/12</f>
        <v>1893.33333333333</v>
      </c>
      <c r="J9" s="119">
        <f>22720/12</f>
        <v>1893.33333333333</v>
      </c>
      <c r="K9" s="119">
        <f>22720/12</f>
        <v>1893.33333333333</v>
      </c>
      <c r="L9" s="119">
        <f>22720/12</f>
        <v>1893.33333333333</v>
      </c>
      <c r="M9" s="119">
        <f>22720/12</f>
        <v>1893.33333333333</v>
      </c>
      <c r="N9" s="119">
        <f>22720/12</f>
        <v>1893.33333333333</v>
      </c>
      <c r="O9" s="107">
        <f>SUM(C9:N9)</f>
        <v>22720</v>
      </c>
    </row>
    <row r="10">
      <c r="B10" s="109" t="inlineStr">
        <is>
          <t>■ CXMT</t>
        </is>
      </c>
      <c r="C10" s="106" t="n">
        <v>780</v>
      </c>
      <c r="D10" s="106" t="n">
        <v>780</v>
      </c>
      <c r="E10" s="106" t="n">
        <v>780</v>
      </c>
      <c r="F10" s="106" t="n">
        <v>780</v>
      </c>
      <c r="G10" s="106" t="n">
        <v>780</v>
      </c>
      <c r="H10" s="106" t="n">
        <v>780</v>
      </c>
      <c r="I10" s="106" t="n">
        <v>780</v>
      </c>
      <c r="J10" s="106" t="n">
        <v>780</v>
      </c>
      <c r="K10" s="106" t="n">
        <v>780</v>
      </c>
      <c r="L10" s="106" t="n">
        <v>780</v>
      </c>
      <c r="M10" s="106" t="n">
        <v>780</v>
      </c>
      <c r="N10" s="106" t="n">
        <v>780</v>
      </c>
      <c r="O10" s="107">
        <f>SUM(C10:N10)</f>
        <v>9360</v>
      </c>
    </row>
    <row r="11">
      <c r="B11" s="108" t="inlineStr">
        <is>
          <t>■ 이지켐</t>
        </is>
      </c>
      <c r="C11" s="106" t="n">
        <v>840</v>
      </c>
      <c r="D11" s="106" t="n">
        <v>840</v>
      </c>
      <c r="E11" s="106" t="n">
        <v>840</v>
      </c>
      <c r="F11" s="106" t="n">
        <v>840</v>
      </c>
      <c r="G11" s="106" t="n">
        <v>840</v>
      </c>
      <c r="H11" s="106" t="n">
        <v>840</v>
      </c>
      <c r="I11" s="106" t="n">
        <v>840</v>
      </c>
      <c r="J11" s="106" t="n">
        <v>840</v>
      </c>
      <c r="K11" s="106" t="n">
        <v>840</v>
      </c>
      <c r="L11" s="106" t="n">
        <v>840</v>
      </c>
      <c r="M11" s="106" t="n">
        <v>840</v>
      </c>
      <c r="N11" s="106" t="n">
        <v>840</v>
      </c>
      <c r="O11" s="107">
        <f>SUM(C11:N11)</f>
        <v>10080</v>
      </c>
    </row>
    <row r="12">
      <c r="B12" s="110" t="inlineStr">
        <is>
          <t>■ 한솔</t>
        </is>
      </c>
      <c r="C12" s="106" t="n">
        <v>300</v>
      </c>
      <c r="D12" s="106" t="n">
        <v>300</v>
      </c>
      <c r="E12" s="106" t="n">
        <v>300</v>
      </c>
      <c r="F12" s="106" t="n">
        <v>300</v>
      </c>
      <c r="G12" s="106" t="n">
        <v>300</v>
      </c>
      <c r="H12" s="106" t="n">
        <v>300</v>
      </c>
      <c r="I12" s="106" t="n">
        <v>300</v>
      </c>
      <c r="J12" s="106" t="n">
        <v>300</v>
      </c>
      <c r="K12" s="106" t="n">
        <v>300</v>
      </c>
      <c r="L12" s="106" t="n">
        <v>300</v>
      </c>
      <c r="M12" s="106" t="n">
        <v>300</v>
      </c>
      <c r="N12" s="106" t="n">
        <v>300</v>
      </c>
      <c r="O12" s="107">
        <f>SUM(C12:N12)</f>
        <v>3600</v>
      </c>
    </row>
    <row r="13">
      <c r="B13" s="70" t="inlineStr">
        <is>
          <t>출하 합계</t>
        </is>
      </c>
      <c r="C13" s="120">
        <f>'04_Monthly_2026_2028'!Y30</f>
        <v>3813.33333333333</v>
      </c>
      <c r="D13" s="120">
        <f>'04_Monthly_2026_2028'!Y31</f>
        <v>3813.33333333333</v>
      </c>
      <c r="E13" s="120">
        <f>'04_Monthly_2026_2028'!Y32</f>
        <v>3813.33333333333</v>
      </c>
      <c r="F13" s="120">
        <f>'04_Monthly_2026_2028'!Y33</f>
        <v>3813.33333333333</v>
      </c>
      <c r="G13" s="120">
        <f>'04_Monthly_2026_2028'!Y34</f>
        <v>3813.33333333333</v>
      </c>
      <c r="H13" s="120">
        <f>'04_Monthly_2026_2028'!Y35</f>
        <v>3813.33333333333</v>
      </c>
      <c r="I13" s="120">
        <f>'04_Monthly_2026_2028'!Y36</f>
        <v>3813.33333333333</v>
      </c>
      <c r="J13" s="120">
        <f>'04_Monthly_2026_2028'!Y37</f>
        <v>3813.33333333333</v>
      </c>
      <c r="K13" s="120">
        <f>'04_Monthly_2026_2028'!Y38</f>
        <v>3813.33333333333</v>
      </c>
      <c r="L13" s="120">
        <f>'04_Monthly_2026_2028'!Y39</f>
        <v>3813.33333333333</v>
      </c>
      <c r="M13" s="120">
        <f>'04_Monthly_2026_2028'!Y40</f>
        <v>3813.33333333333</v>
      </c>
      <c r="N13" s="120">
        <f>'04_Monthly_2026_2028'!Y41</f>
        <v>3813.33333333333</v>
      </c>
      <c r="O13" s="107">
        <f>SUM(C13:N13)</f>
        <v>45760</v>
      </c>
    </row>
    <row r="14">
      <c r="B14" s="70" t="inlineStr">
        <is>
          <t>필요 Batch (출하÷Batch량)</t>
        </is>
      </c>
      <c r="C14" s="79">
        <f>'04_Monthly_2026_2028'!Z30</f>
        <v>20.0701754385965</v>
      </c>
      <c r="D14" s="79">
        <f>'04_Monthly_2026_2028'!Z31</f>
        <v>20.0701754385965</v>
      </c>
      <c r="E14" s="79">
        <f>'04_Monthly_2026_2028'!Z32</f>
        <v>20.0701754385965</v>
      </c>
      <c r="F14" s="79">
        <f>'04_Monthly_2026_2028'!Z33</f>
        <v>20.0701754385965</v>
      </c>
      <c r="G14" s="79">
        <f>'04_Monthly_2026_2028'!Z34</f>
        <v>20.0701754385965</v>
      </c>
      <c r="H14" s="79">
        <f>'04_Monthly_2026_2028'!Z35</f>
        <v>20.0701754385965</v>
      </c>
      <c r="I14" s="79">
        <f>'04_Monthly_2026_2028'!Z36</f>
        <v>20.0701754385965</v>
      </c>
      <c r="J14" s="79">
        <f>'04_Monthly_2026_2028'!Z37</f>
        <v>20.0701754385965</v>
      </c>
      <c r="K14" s="79">
        <f>'04_Monthly_2026_2028'!Z38</f>
        <v>20.0701754385965</v>
      </c>
      <c r="L14" s="79">
        <f>'04_Monthly_2026_2028'!Z39</f>
        <v>20.0701754385965</v>
      </c>
      <c r="M14" s="79">
        <f>'04_Monthly_2026_2028'!Z40</f>
        <v>20.0701754385965</v>
      </c>
      <c r="N14" s="79">
        <f>'04_Monthly_2026_2028'!Z41</f>
        <v>20.0701754385965</v>
      </c>
      <c r="O14" s="118">
        <f>SUM(C14:N14)</f>
        <v>240.842105263158</v>
      </c>
    </row>
    <row r="15">
      <c r="B15" s="70" t="inlineStr">
        <is>
          <t>5 Gal 충진 h (병 상당×h/병)</t>
        </is>
      </c>
      <c r="C15" s="79">
        <f>'04_Monthly_2026_2028'!AB30</f>
        <v>267.333333333333</v>
      </c>
      <c r="D15" s="79">
        <f>'04_Monthly_2026_2028'!AB31</f>
        <v>267.333333333333</v>
      </c>
      <c r="E15" s="79">
        <f>'04_Monthly_2026_2028'!AB32</f>
        <v>267.333333333333</v>
      </c>
      <c r="F15" s="79">
        <f>'04_Monthly_2026_2028'!AB33</f>
        <v>267.333333333333</v>
      </c>
      <c r="G15" s="79">
        <f>'04_Monthly_2026_2028'!AB34</f>
        <v>267.333333333333</v>
      </c>
      <c r="H15" s="79">
        <f>'04_Monthly_2026_2028'!AB35</f>
        <v>267.333333333333</v>
      </c>
      <c r="I15" s="79">
        <f>'04_Monthly_2026_2028'!AB36</f>
        <v>267.333333333333</v>
      </c>
      <c r="J15" s="79">
        <f>'04_Monthly_2026_2028'!AB37</f>
        <v>267.333333333333</v>
      </c>
      <c r="K15" s="79">
        <f>'04_Monthly_2026_2028'!AB38</f>
        <v>267.333333333333</v>
      </c>
      <c r="L15" s="79">
        <f>'04_Monthly_2026_2028'!AB39</f>
        <v>267.333333333333</v>
      </c>
      <c r="M15" s="79">
        <f>'04_Monthly_2026_2028'!AB40</f>
        <v>267.333333333333</v>
      </c>
      <c r="N15" s="79">
        <f>'04_Monthly_2026_2028'!AB41</f>
        <v>267.333333333333</v>
      </c>
      <c r="O15" s="118">
        <f>SUM(C15:N15)</f>
        <v>3208</v>
      </c>
    </row>
    <row r="16">
      <c r="B16" s="70" t="inlineStr">
        <is>
          <t>이지켐 용기</t>
        </is>
      </c>
      <c r="C16" s="121">
        <f>'04_Monthly_2026_2028'!AD30</f>
        <v>6</v>
      </c>
      <c r="D16" s="121">
        <f>'04_Monthly_2026_2028'!AD31</f>
        <v>6</v>
      </c>
      <c r="E16" s="121">
        <f>'04_Monthly_2026_2028'!AD32</f>
        <v>6</v>
      </c>
      <c r="F16" s="121">
        <f>'04_Monthly_2026_2028'!AD33</f>
        <v>6</v>
      </c>
      <c r="G16" s="121">
        <f>'04_Monthly_2026_2028'!AD34</f>
        <v>6</v>
      </c>
      <c r="H16" s="121">
        <f>'04_Monthly_2026_2028'!AD35</f>
        <v>6</v>
      </c>
      <c r="I16" s="121">
        <f>'04_Monthly_2026_2028'!AD36</f>
        <v>6</v>
      </c>
      <c r="J16" s="121">
        <f>'04_Monthly_2026_2028'!AD37</f>
        <v>6</v>
      </c>
      <c r="K16" s="121">
        <f>'04_Monthly_2026_2028'!AD38</f>
        <v>6</v>
      </c>
      <c r="L16" s="121">
        <f>'04_Monthly_2026_2028'!AD39</f>
        <v>6</v>
      </c>
      <c r="M16" s="121">
        <f>'04_Monthly_2026_2028'!AD40</f>
        <v>6</v>
      </c>
      <c r="N16" s="121">
        <f>'04_Monthly_2026_2028'!AD41</f>
        <v>6</v>
      </c>
      <c r="O16" s="122">
        <f>SUM(C16:N16)</f>
        <v>72</v>
      </c>
    </row>
    <row r="17">
      <c r="B17" s="70" t="inlineStr">
        <is>
          <t>한솔 용기</t>
        </is>
      </c>
      <c r="C17" s="121">
        <f>'04_Monthly_2026_2028'!AE30</f>
        <v>2</v>
      </c>
      <c r="D17" s="121">
        <f>'04_Monthly_2026_2028'!AE31</f>
        <v>2</v>
      </c>
      <c r="E17" s="121">
        <f>'04_Monthly_2026_2028'!AE32</f>
        <v>2</v>
      </c>
      <c r="F17" s="121">
        <f>'04_Monthly_2026_2028'!AE33</f>
        <v>2</v>
      </c>
      <c r="G17" s="121">
        <f>'04_Monthly_2026_2028'!AE34</f>
        <v>2</v>
      </c>
      <c r="H17" s="121">
        <f>'04_Monthly_2026_2028'!AE35</f>
        <v>2</v>
      </c>
      <c r="I17" s="121">
        <f>'04_Monthly_2026_2028'!AE36</f>
        <v>2</v>
      </c>
      <c r="J17" s="121">
        <f>'04_Monthly_2026_2028'!AE37</f>
        <v>2</v>
      </c>
      <c r="K17" s="121">
        <f>'04_Monthly_2026_2028'!AE38</f>
        <v>2</v>
      </c>
      <c r="L17" s="121">
        <f>'04_Monthly_2026_2028'!AE39</f>
        <v>2</v>
      </c>
      <c r="M17" s="121">
        <f>'04_Monthly_2026_2028'!AE40</f>
        <v>2</v>
      </c>
      <c r="N17" s="121">
        <f>'04_Monthly_2026_2028'!AE41</f>
        <v>2</v>
      </c>
      <c r="O17" s="122">
        <f>SUM(C17:N17)</f>
        <v>24</v>
      </c>
    </row>
    <row r="18">
      <c r="B18" s="70" t="inlineStr">
        <is>
          <t>200 L 충진 방식 (이지켐/한솔)</t>
        </is>
      </c>
      <c r="C18" s="114" t="str">
        <f>'04_Monthly_2026_2028'!AF30&amp;"/"&amp;'04_Monthly_2026_2028'!AG30</f>
        <v>ARS/ARS</v>
      </c>
      <c r="D18" s="114" t="str">
        <f>'04_Monthly_2026_2028'!AF31&amp;"/"&amp;'04_Monthly_2026_2028'!AG31</f>
        <v>ARS/ARS</v>
      </c>
      <c r="E18" s="114" t="str">
        <f>'04_Monthly_2026_2028'!AF32&amp;"/"&amp;'04_Monthly_2026_2028'!AG32</f>
        <v>ARS/ARS</v>
      </c>
      <c r="F18" s="114" t="str">
        <f>'04_Monthly_2026_2028'!AF33&amp;"/"&amp;'04_Monthly_2026_2028'!AG33</f>
        <v>ARS/ARS</v>
      </c>
      <c r="G18" s="114" t="str">
        <f>'04_Monthly_2026_2028'!AF34&amp;"/"&amp;'04_Monthly_2026_2028'!AG34</f>
        <v>ARS/ARS</v>
      </c>
      <c r="H18" s="114" t="str">
        <f>'04_Monthly_2026_2028'!AF35&amp;"/"&amp;'04_Monthly_2026_2028'!AG35</f>
        <v>ARS/ARS</v>
      </c>
      <c r="I18" s="114" t="str">
        <f>'04_Monthly_2026_2028'!AF36&amp;"/"&amp;'04_Monthly_2026_2028'!AG36</f>
        <v>ARS/ARS</v>
      </c>
      <c r="J18" s="114" t="str">
        <f>'04_Monthly_2026_2028'!AF37&amp;"/"&amp;'04_Monthly_2026_2028'!AG37</f>
        <v>ARS/ARS</v>
      </c>
      <c r="K18" s="114" t="str">
        <f>'04_Monthly_2026_2028'!AF38&amp;"/"&amp;'04_Monthly_2026_2028'!AG38</f>
        <v>ARS/ARS</v>
      </c>
      <c r="L18" s="114" t="str">
        <f>'04_Monthly_2026_2028'!AF39&amp;"/"&amp;'04_Monthly_2026_2028'!AG39</f>
        <v>ARS/ARS</v>
      </c>
      <c r="M18" s="114" t="str">
        <f>'04_Monthly_2026_2028'!AF40&amp;"/"&amp;'04_Monthly_2026_2028'!AG40</f>
        <v>ARS/ARS</v>
      </c>
      <c r="N18" s="114" t="str">
        <f>'04_Monthly_2026_2028'!AF41&amp;"/"&amp;'04_Monthly_2026_2028'!AG41</f>
        <v>ARS/ARS</v>
      </c>
      <c r="O18" s="115" t="inlineStr">
        <is>
          <t>-</t>
        </is>
      </c>
    </row>
    <row r="19">
      <c r="B19" s="70" t="inlineStr">
        <is>
          <t>200 L 충진 h (확인분+미확인)</t>
        </is>
      </c>
      <c r="C19" s="123" t="str">
        <f>IF(ISNUMBER('04_Monthly_2026_2028'!AJ30),'04_Monthly_2026_2028'!AJ30,TEXT(N('04_Monthly_2026_2028'!AH30)+N('04_Monthly_2026_2028'!AI30),"0")&amp;"+미확인")</f>
        <v>0+미확인</v>
      </c>
      <c r="D19" s="123" t="str">
        <f>IF(ISNUMBER('04_Monthly_2026_2028'!AJ31),'04_Monthly_2026_2028'!AJ31,TEXT(N('04_Monthly_2026_2028'!AH31)+N('04_Monthly_2026_2028'!AI31),"0")&amp;"+미확인")</f>
        <v>0+미확인</v>
      </c>
      <c r="E19" s="123" t="str">
        <f>IF(ISNUMBER('04_Monthly_2026_2028'!AJ32),'04_Monthly_2026_2028'!AJ32,TEXT(N('04_Monthly_2026_2028'!AH32)+N('04_Monthly_2026_2028'!AI32),"0")&amp;"+미확인")</f>
        <v>0+미확인</v>
      </c>
      <c r="F19" s="123" t="str">
        <f>IF(ISNUMBER('04_Monthly_2026_2028'!AJ33),'04_Monthly_2026_2028'!AJ33,TEXT(N('04_Monthly_2026_2028'!AH33)+N('04_Monthly_2026_2028'!AI33),"0")&amp;"+미확인")</f>
        <v>0+미확인</v>
      </c>
      <c r="G19" s="123" t="str">
        <f>IF(ISNUMBER('04_Monthly_2026_2028'!AJ34),'04_Monthly_2026_2028'!AJ34,TEXT(N('04_Monthly_2026_2028'!AH34)+N('04_Monthly_2026_2028'!AI34),"0")&amp;"+미확인")</f>
        <v>0+미확인</v>
      </c>
      <c r="H19" s="123" t="str">
        <f>IF(ISNUMBER('04_Monthly_2026_2028'!AJ35),'04_Monthly_2026_2028'!AJ35,TEXT(N('04_Monthly_2026_2028'!AH35)+N('04_Monthly_2026_2028'!AI35),"0")&amp;"+미확인")</f>
        <v>0+미확인</v>
      </c>
      <c r="I19" s="123" t="str">
        <f>IF(ISNUMBER('04_Monthly_2026_2028'!AJ36),'04_Monthly_2026_2028'!AJ36,TEXT(N('04_Monthly_2026_2028'!AH36)+N('04_Monthly_2026_2028'!AI36),"0")&amp;"+미확인")</f>
        <v>0+미확인</v>
      </c>
      <c r="J19" s="123" t="str">
        <f>IF(ISNUMBER('04_Monthly_2026_2028'!AJ37),'04_Monthly_2026_2028'!AJ37,TEXT(N('04_Monthly_2026_2028'!AH37)+N('04_Monthly_2026_2028'!AI37),"0")&amp;"+미확인")</f>
        <v>0+미확인</v>
      </c>
      <c r="K19" s="123" t="str">
        <f>IF(ISNUMBER('04_Monthly_2026_2028'!AJ38),'04_Monthly_2026_2028'!AJ38,TEXT(N('04_Monthly_2026_2028'!AH38)+N('04_Monthly_2026_2028'!AI38),"0")&amp;"+미확인")</f>
        <v>0+미확인</v>
      </c>
      <c r="L19" s="123" t="str">
        <f>IF(ISNUMBER('04_Monthly_2026_2028'!AJ39),'04_Monthly_2026_2028'!AJ39,TEXT(N('04_Monthly_2026_2028'!AH39)+N('04_Monthly_2026_2028'!AI39),"0")&amp;"+미확인")</f>
        <v>0+미확인</v>
      </c>
      <c r="M19" s="123" t="str">
        <f>IF(ISNUMBER('04_Monthly_2026_2028'!AJ40),'04_Monthly_2026_2028'!AJ40,TEXT(N('04_Monthly_2026_2028'!AH40)+N('04_Monthly_2026_2028'!AI40),"0")&amp;"+미확인")</f>
        <v>0+미확인</v>
      </c>
      <c r="N19" s="123" t="str">
        <f>IF(ISNUMBER('04_Monthly_2026_2028'!AJ41),'04_Monthly_2026_2028'!AJ41,TEXT(N('04_Monthly_2026_2028'!AH41)+N('04_Monthly_2026_2028'!AI41),"0")&amp;"+미확인")</f>
        <v>0+미확인</v>
      </c>
      <c r="O19" s="118" t="inlineStr">
        <is>
          <t>-</t>
        </is>
      </c>
    </row>
    <row r="20">
      <c r="B20" s="70" t="inlineStr">
        <is>
          <t>누적 (생산 계획 − 출하) '27.1~</t>
        </is>
      </c>
      <c r="C20" s="98">
        <f>'04_Monthly_2026_2028'!AQ30</f>
        <v>-582.424242424238</v>
      </c>
      <c r="D20" s="98">
        <f>'04_Monthly_2026_2028'!AQ31</f>
        <v>59.8787878787934</v>
      </c>
      <c r="E20" s="98">
        <f>'04_Monthly_2026_2028'!AQ32</f>
        <v>702.181818181824</v>
      </c>
      <c r="F20" s="98">
        <f>'04_Monthly_2026_2028'!AQ33</f>
        <v>-1923.15151515151</v>
      </c>
      <c r="G20" s="98">
        <f>'04_Monthly_2026_2028'!AQ34</f>
        <v>-1280.84848484848</v>
      </c>
      <c r="H20" s="98">
        <f>'04_Monthly_2026_2028'!AQ35</f>
        <v>-638.545454545447</v>
      </c>
      <c r="I20" s="98">
        <f>'04_Monthly_2026_2028'!AQ36</f>
        <v>3.75757575758416</v>
      </c>
      <c r="J20" s="98">
        <f>'04_Monthly_2026_2028'!AQ37</f>
        <v>646.060606060615</v>
      </c>
      <c r="K20" s="98">
        <f>'04_Monthly_2026_2028'!AQ38</f>
        <v>1288.36363636365</v>
      </c>
      <c r="L20" s="98">
        <f>'04_Monthly_2026_2028'!AQ39</f>
        <v>1930.66666666668</v>
      </c>
      <c r="M20" s="98">
        <f>'04_Monthly_2026_2028'!AQ40</f>
        <v>2572.96969696971</v>
      </c>
      <c r="N20" s="98">
        <f>'04_Monthly_2026_2028'!AQ41</f>
        <v>3215.27272727274</v>
      </c>
      <c r="O20" s="113">
        <f>N20</f>
        <v>3215.27272727274</v>
      </c>
    </row>
    <row r="21">
      <c r="B21" s="70" t="inlineStr">
        <is>
          <t>비교 (t)</t>
        </is>
      </c>
      <c r="C21" s="105" t="str">
        <f>"출하 가정 "&amp;TEXT('05_Reflux_Scenarios'!B29,"0.00")&amp;"톤 vs 생산 계획 "&amp;TEXT('05_Reflux_Scenarios'!C29,"0.00")&amp;"톤 (105℃ 50.2 · 4월 대정비 + 11개월 "&amp;TEXT('01_Inputs'!$B$72,"#,##0.0")&amp;" kg) → "&amp;TEXT('05_Reflux_Scenarios'!D29,"+0.00;-0.00")&amp;"톤 · 47.2 기준이면 "&amp;TEXT('05_Reflux_Scenarios'!D30,"+0.00;-0.00")&amp;"톤"</f>
        <v>출하 가정 45.76톤 vs 생산 계획 50.20톤 (105℃ 50.2 · 4월 대정비 + 11개월 4,455.6 kg) → +4.44톤 · 47.2 기준이면 +1.44톤</v>
      </c>
      <c r="D21" s="77" t="n"/>
      <c r="E21" s="77" t="n"/>
      <c r="F21" s="77" t="n"/>
      <c r="G21" s="77" t="n"/>
      <c r="H21" s="77" t="n"/>
      <c r="I21" s="77" t="n"/>
      <c r="J21" s="77" t="n"/>
      <c r="K21" s="77" t="n"/>
      <c r="L21" s="77" t="n"/>
      <c r="M21" s="77" t="n"/>
      <c r="N21" s="77" t="n"/>
      <c r="O21" s="77" t="n"/>
    </row>
    <row r="22">
      <c r="B22" s="75" t="inlineStr">
        <is>
          <t>* 파란 글자 = 입력 · 생산 계획 = (50.2톤 − 대정비 P4 4월 칸) ÷ 11 자동 계산 · 105℃ 적용 시작 = P2 입력 · 노란 칸 = 미확인 조건 · 하이닉스 = 22,720÷12 (표시 반올림)</t>
        </is>
      </c>
    </row>
  </sheetData>
  <mergeCells count="1">
    <mergeCell ref="C21:O21"/>
  </mergeCells>
  <conditionalFormatting sqref="C5:N5">
    <cfRule type="expression" priority="1" dxfId="19">
      <formula>LEFT(C5,2)="개선"</formula>
    </cfRule>
    <cfRule type="expression" priority="2" dxfId="8">
      <formula>C5="대정비"</formula>
    </cfRule>
    <cfRule type="expression" priority="3" dxfId="20">
      <formula>C$5="대정비"</formula>
    </cfRule>
  </conditionalFormatting>
  <conditionalFormatting sqref="C6:N6">
    <cfRule type="expression" priority="4" dxfId="20">
      <formula>C$5="대정비"</formula>
    </cfRule>
  </conditionalFormatting>
  <conditionalFormatting sqref="C19:O19">
    <cfRule type="expression" priority="5" dxfId="21">
      <formula>NOT(ISNUMBER(C19))</formula>
    </cfRule>
  </conditionalFormatting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2026-10-01T07:41:59Z</dcterms:created>
  <dcterms:modified xmlns:dcterms="http://purl.org/dc/terms/" xmlns:xsi="http://www.w3.org/2001/XMLSchema-instance" xsi:type="dcterms:W3CDTF">2026-10-01T07:42:01Z</dcterms:modified>
</cp:coreProperties>
</file>