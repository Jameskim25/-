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입력" sheetId="1" state="visible" r:id="rId1"/>
    <sheet xmlns:r="http://schemas.openxmlformats.org/officeDocument/2006/relationships" name="02_공정시간" sheetId="2" state="visible" r:id="rId2"/>
    <sheet xmlns:r="http://schemas.openxmlformats.org/officeDocument/2006/relationships" name="03_한달운전" sheetId="3" state="visible" r:id="rId3"/>
    <sheet xmlns:r="http://schemas.openxmlformats.org/officeDocument/2006/relationships" name="04_Capa기준" sheetId="4" state="visible" r:id="rId4"/>
    <sheet xmlns:r="http://schemas.openxmlformats.org/officeDocument/2006/relationships" name="05_월별_Capa기준" sheetId="5" state="visible" r:id="rId5"/>
    <sheet xmlns:r="http://schemas.openxmlformats.org/officeDocument/2006/relationships" name="06_월별_생산계획" sheetId="6" state="visible" r:id="rId6"/>
    <sheet xmlns:r="http://schemas.openxmlformats.org/officeDocument/2006/relationships" name="07_버전비교" sheetId="7" state="visible" r:id="rId7"/>
    <sheet xmlns:r="http://schemas.openxmlformats.org/officeDocument/2006/relationships" name="08_후공정부하" sheetId="8" state="visible" r:id="rId8"/>
    <sheet xmlns:r="http://schemas.openxmlformats.org/officeDocument/2006/relationships" name="09_확인사항" sheetId="9" state="visible" r:id="rId9"/>
    <sheet xmlns:r="http://schemas.openxmlformats.org/officeDocument/2006/relationships" name="10_과거Batch_참고" sheetId="10" state="visible" r:id="rId10"/>
  </sheets>
  <definedNames>
    <definedName name="T_57">'01_입력'!$C$8</definedName>
    <definedName name="T_IQC">'01_입력'!$C$9</definedName>
    <definedName name="T_PREP">'01_입력'!$C$10</definedName>
    <definedName name="T_PQC">'01_입력'!$C$11</definedName>
    <definedName name="T_FQC">'01_입력'!$C$12</definedName>
    <definedName name="T_REF">'01_입력'!$C$13</definedName>
    <definedName name="N_NOW">'01_입력'!$C$17</definedName>
    <definedName name="N_NEW">'01_입력'!$C$18</definedName>
    <definedName name="MH">'01_입력'!$C$19</definedName>
    <definedName name="MAX_B">'01_입력'!$C$20</definedName>
    <definedName name="OFFSET_H">'01_입력'!$C$21</definedName>
    <definedName name="OCC_ADD">'01_입력'!$C$22</definedName>
    <definedName name="INT_NEXT">'01_입력'!$C$23</definedName>
    <definedName name="T_WAIT">'01_입력'!$C$24</definedName>
    <definedName name="T_MIX">'01_입력'!$C$25</definedName>
    <definedName name="FILL_5G">'01_입력'!$C$29</definedName>
    <definedName name="BOT_B">'01_입력'!$C$30</definedName>
    <definedName name="KG_BOT">'01_입력'!$C$31</definedName>
    <definedName name="OQC_5G">'01_입력'!$C$32</definedName>
    <definedName name="KG_EZ">'01_입력'!$C$33</definedName>
    <definedName name="FILL_EZ">'01_입력'!$C$34</definedName>
    <definedName name="KG_HS">'01_입력'!$C$35</definedName>
    <definedName name="FILL_HS">'01_입력'!$C$36</definedName>
    <definedName name="OQC_200">'01_입력'!$C$37</definedName>
    <definedName name="ARS_EZ_S">'01_입력'!$C$38</definedName>
    <definedName name="ARS_HS_S">'01_입력'!$C$39</definedName>
    <definedName name="ARS_EZ_T">'01_입력'!$C$40</definedName>
    <definedName name="ARS_HS_T">'01_입력'!$C$41</definedName>
    <definedName name="WH_DAY">'01_입력'!$C$42</definedName>
    <definedName name="WD_MON">'01_입력'!$C$43</definedName>
    <definedName name="KG_B">'01_입력'!$C$57</definedName>
    <definedName name="CAPA_NOW">'01_입력'!$C$61</definedName>
    <definedName name="CAPA_ADD">'01_입력'!$C$62</definedName>
    <definedName name="CAPA_RF">'01_입력'!$C$63</definedName>
    <definedName name="CAPA_TADD">'01_입력'!$C$64</definedName>
    <definedName name="CAPA_105">'01_입력'!$C$65</definedName>
    <definedName name="MAINT_M">'01_입력'!$C$66</definedName>
    <definedName name="RF_START">'01_입력'!$C$67</definedName>
    <definedName name="T_105">'01_입력'!$C$68</definedName>
    <definedName name="MAINT_KG">'01_입력'!$C$69</definedName>
    <definedName name="CAPA_M">'01_입력'!$C$70</definedName>
    <definedName name="CAPA_M105">'01_입력'!$C$71</definedName>
    <definedName name="INV_0">'01_입력'!$C$75</definedName>
    <definedName name="YIELD_Q">'01_입력'!$C$76</definedName>
    <definedName name="INT_ASIS">'03_한달운전'!$C$5</definedName>
    <definedName name="INT_RF">'03_한달운전'!$C$22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#,##0.0"/>
    <numFmt numFmtId="165" formatCode="yyyy-mm-dd"/>
    <numFmt numFmtId="166" formatCode="#,##0;[Red]-#,##0;&quot;-&quot;"/>
    <numFmt numFmtId="167" formatCode="#,##0.0;[Red]-#,##0.0;&quot;-&quot;"/>
    <numFmt numFmtId="168" formatCode="m&quot;월&quot;"/>
    <numFmt numFmtId="169" formatCode="0.0"/>
    <numFmt numFmtId="170" formatCode="+#,##0;[Red]-#,##0;0"/>
    <numFmt numFmtId="171" formatCode="yy&quot;.&quot;m"/>
  </numFmts>
  <fonts count="8">
    <font>
      <name val="Calibri"/>
      <family val="2"/>
      <color theme="1"/>
      <sz val="11"/>
      <scheme val="minor"/>
    </font>
    <font>
      <name val="맑은 고딕"/>
      <b val="1"/>
      <color rgb="00EB002C"/>
      <sz val="14"/>
    </font>
    <font>
      <name val="맑은 고딕"/>
      <color rgb="00808080"/>
      <sz val="9"/>
    </font>
    <font>
      <name val="맑은 고딕"/>
      <b val="1"/>
      <color rgb="000000FF"/>
      <sz val="10"/>
    </font>
    <font>
      <name val="맑은 고딕"/>
      <color rgb="00000000"/>
      <sz val="10"/>
    </font>
    <font>
      <name val="맑은 고딕"/>
      <b val="1"/>
      <color rgb="00000000"/>
      <sz val="10"/>
    </font>
    <font>
      <name val="맑은 고딕"/>
      <b val="1"/>
      <color rgb="00EB002C"/>
      <sz val="11"/>
    </font>
    <font>
      <name val="맑은 고딕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DE9E7"/>
      </patternFill>
    </fill>
    <fill>
      <patternFill patternType="solid">
        <fgColor rgb="00404040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0" borderId="0" pivotButton="0" quotePrefix="0" xfId="0"/>
    <xf numFmtId="0" fontId="7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164" fontId="3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  <xf numFmtId="1" fontId="3" fillId="2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165" fontId="3" fillId="2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0" fontId="2" fillId="0" borderId="2" applyAlignment="1" pivotButton="0" quotePrefix="0" xfId="0">
      <alignment horizontal="left" vertical="center"/>
    </xf>
    <xf numFmtId="2" fontId="3" fillId="2" borderId="1" applyAlignment="1" pivotButton="0" quotePrefix="0" xfId="0">
      <alignment horizontal="center" vertical="center"/>
    </xf>
    <xf numFmtId="2" fontId="5" fillId="4" borderId="1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166" fontId="3" fillId="2" borderId="1" applyAlignment="1" pivotButton="0" quotePrefix="0" xfId="0">
      <alignment horizontal="center" vertical="center"/>
    </xf>
    <xf numFmtId="9" fontId="3" fillId="3" borderId="1" applyAlignment="1" pivotButton="0" quotePrefix="0" xfId="0">
      <alignment horizontal="center" vertical="center"/>
    </xf>
    <xf numFmtId="168" fontId="7" fillId="5" borderId="1" applyAlignment="1" pivotButton="0" quotePrefix="0" xfId="0">
      <alignment horizontal="center" vertical="center"/>
    </xf>
    <xf numFmtId="166" fontId="5" fillId="4" borderId="1" applyAlignment="1" pivotButton="0" quotePrefix="0" xfId="0">
      <alignment horizontal="center" vertical="center"/>
    </xf>
    <xf numFmtId="167" fontId="3" fillId="2" borderId="1" applyAlignment="1" pivotButton="0" quotePrefix="0" xfId="0">
      <alignment horizontal="center" vertical="center"/>
    </xf>
    <xf numFmtId="166" fontId="3" fillId="3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  <xf numFmtId="169" fontId="4" fillId="0" borderId="1" applyAlignment="1" pivotButton="0" quotePrefix="0" xfId="0">
      <alignment horizontal="center" vertical="center"/>
    </xf>
    <xf numFmtId="1" fontId="4" fillId="0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169" fontId="5" fillId="4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170" fontId="4" fillId="0" borderId="1" applyAlignment="1" pivotButton="0" quotePrefix="0" xfId="0">
      <alignment horizontal="center" vertical="center"/>
    </xf>
    <xf numFmtId="167" fontId="5" fillId="2" borderId="1" applyAlignment="1" pivotButton="0" quotePrefix="0" xfId="0">
      <alignment horizontal="center" vertical="center"/>
    </xf>
    <xf numFmtId="170" fontId="5" fillId="4" borderId="1" applyAlignment="1" pivotButton="0" quotePrefix="0" xfId="0">
      <alignment horizontal="center" vertical="center"/>
    </xf>
    <xf numFmtId="167" fontId="4" fillId="0" borderId="1" applyAlignment="1" pivotButton="0" quotePrefix="0" xfId="0">
      <alignment horizontal="center" vertical="center"/>
    </xf>
    <xf numFmtId="171" fontId="4" fillId="0" borderId="1" applyAlignment="1" pivotButton="0" quotePrefix="0" xfId="0">
      <alignment horizontal="center" vertical="center"/>
    </xf>
    <xf numFmtId="171" fontId="7" fillId="5" borderId="1" applyAlignment="1" pivotButton="0" quotePrefix="0" xfId="0">
      <alignment horizontal="center" vertical="center"/>
    </xf>
    <xf numFmtId="9" fontId="4" fillId="0" borderId="1" applyAlignment="1" pivotButton="0" quotePrefix="0" xfId="0">
      <alignment horizontal="center" vertical="center"/>
    </xf>
    <xf numFmtId="9" fontId="5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/>
    </xf>
    <xf numFmtId="1" fontId="3" fillId="3" borderId="1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ont>
        <b val="1"/>
        <color rgb="00C00000"/>
      </font>
      <fill>
        <patternFill patternType="solid">
          <fgColor rgb="00D9D9D9"/>
        </patternFill>
      </fill>
    </dxf>
    <dxf>
      <fill>
        <patternFill patternType="solid">
          <fgColor rgb="00D9D9D9"/>
        </patternFill>
      </fill>
    </dxf>
    <dxf>
      <font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E75B6"/>
    <outlinePr summaryBelow="1" summaryRight="1"/>
    <pageSetUpPr/>
  </sheetPr>
  <dimension ref="B1:O107"/>
  <sheetViews>
    <sheetView showGridLines="0"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4" customWidth="1" min="2" max="2"/>
    <col width="13" customWidth="1" min="3" max="3"/>
    <col width="10" customWidth="1" min="4" max="4"/>
    <col width="58" customWidth="1" min="5" max="5"/>
  </cols>
  <sheetData>
    <row r="1">
      <c r="B1" s="1" t="inlineStr">
        <is>
          <t>01_입력 | 모든 기준값 (이 시트만 수정)</t>
        </is>
      </c>
    </row>
    <row r="2">
      <c r="B2" s="2" t="inlineStr">
        <is>
          <t>파란 글자 = 입력 · 노란 칸 = 확인 후 입력 · 검정 = 자동 계산. 다른 시트는 모두 이 시트를 참조합니다.</t>
        </is>
      </c>
    </row>
    <row r="3">
      <c r="F3" s="3" t="inlineStr"/>
      <c r="G3" s="2" t="inlineStr">
        <is>
          <t>입력</t>
        </is>
      </c>
      <c r="H3" s="4" t="inlineStr"/>
      <c r="I3" s="2" t="inlineStr">
        <is>
          <t>확인 후 입력</t>
        </is>
      </c>
      <c r="J3" s="5" t="inlineStr"/>
      <c r="K3" s="2" t="inlineStr">
        <is>
          <t>자동 계산</t>
        </is>
      </c>
      <c r="L3" s="6" t="inlineStr"/>
      <c r="M3" s="2" t="inlineStr">
        <is>
          <t>주요 결과</t>
        </is>
      </c>
    </row>
    <row r="6" ht="20" customHeight="1">
      <c r="B6" s="7" t="inlineStr">
        <is>
          <t>A. 공정시간 (IQC~FQC 57 h 구성)</t>
        </is>
      </c>
    </row>
    <row r="7">
      <c r="B7" s="8" t="inlineStr">
        <is>
          <t>항목</t>
        </is>
      </c>
      <c r="C7" s="9" t="inlineStr">
        <is>
          <t>값</t>
        </is>
      </c>
      <c r="D7" s="9" t="inlineStr">
        <is>
          <t>단위</t>
        </is>
      </c>
      <c r="E7" s="8" t="inlineStr">
        <is>
          <t>설명</t>
        </is>
      </c>
    </row>
    <row r="8">
      <c r="B8" s="10" t="inlineStr">
        <is>
          <t>IQC~FQC 합계 (현재 보고 기준)</t>
        </is>
      </c>
      <c r="C8" s="11" t="n">
        <v>57</v>
      </c>
      <c r="D8" s="5" t="inlineStr">
        <is>
          <t>h/Batch</t>
        </is>
      </c>
      <c r="E8" s="12" t="inlineStr">
        <is>
          <t>충진·OQC 미포함</t>
        </is>
      </c>
    </row>
    <row r="9">
      <c r="B9" s="10" t="inlineStr">
        <is>
          <t>수입검사 IQC</t>
        </is>
      </c>
      <c r="C9" s="11" t="n">
        <v>2</v>
      </c>
      <c r="D9" s="5" t="inlineStr">
        <is>
          <t>h</t>
        </is>
      </c>
      <c r="E9" s="12" t="inlineStr">
        <is>
          <t>원료 Lot 단위 — 여러 Batch 공통이면 Batch마다 중복 배정 안 함</t>
        </is>
      </c>
    </row>
    <row r="10">
      <c r="B10" s="10" t="inlineStr">
        <is>
          <t>준비·투입</t>
        </is>
      </c>
      <c r="C10" s="11" t="n">
        <v>2</v>
      </c>
      <c r="D10" s="5" t="inlineStr">
        <is>
          <t>h</t>
        </is>
      </c>
      <c r="E10" s="12" t="inlineStr"/>
    </row>
    <row r="11">
      <c r="B11" s="10" t="inlineStr">
        <is>
          <t>공정검사 PQC ~ 제품 이송 (합계)</t>
        </is>
      </c>
      <c r="C11" s="11" t="n">
        <v>6</v>
      </c>
      <c r="D11" s="5" t="inlineStr">
        <is>
          <t>h</t>
        </is>
      </c>
      <c r="E11" s="12" t="inlineStr">
        <is>
          <t>두 공정 합계 6 h (각각 6 h 아님)</t>
        </is>
      </c>
    </row>
    <row r="12">
      <c r="B12" s="10" t="inlineStr">
        <is>
          <t>제품검사 FQC</t>
        </is>
      </c>
      <c r="C12" s="11" t="n">
        <v>2</v>
      </c>
      <c r="D12" s="5" t="inlineStr">
        <is>
          <t>h</t>
        </is>
      </c>
      <c r="E12" s="12" t="inlineStr"/>
    </row>
    <row r="13">
      <c r="B13" s="10" t="inlineStr">
        <is>
          <t>순수 정제 운전 (차감 계산)</t>
        </is>
      </c>
      <c r="C13" s="13">
        <f>T_57-T_IQC-T_PREP-T_PQC-T_FQC</f>
        <v>45</v>
      </c>
      <c r="D13" s="5" t="inlineStr">
        <is>
          <t>h</t>
        </is>
      </c>
      <c r="E13" s="12" t="inlineStr">
        <is>
          <t>57 − 2 − 2 − 6 − 2 = 45 h · 실측값 아님</t>
        </is>
      </c>
    </row>
    <row r="15" ht="20" customHeight="1">
      <c r="B15" s="7" t="inlineStr">
        <is>
          <t>B. 정제기 운전 · 점유</t>
        </is>
      </c>
    </row>
    <row r="16">
      <c r="B16" s="8" t="inlineStr">
        <is>
          <t>항목</t>
        </is>
      </c>
      <c r="C16" s="9" t="inlineStr">
        <is>
          <t>값</t>
        </is>
      </c>
      <c r="D16" s="9" t="inlineStr">
        <is>
          <t>단위</t>
        </is>
      </c>
      <c r="E16" s="8" t="inlineStr">
        <is>
          <t>설명</t>
        </is>
      </c>
    </row>
    <row r="17">
      <c r="B17" s="10" t="inlineStr">
        <is>
          <t>현재 정제기 수</t>
        </is>
      </c>
      <c r="C17" s="14" t="n">
        <v>1</v>
      </c>
      <c r="D17" s="5" t="inlineStr">
        <is>
          <t>대</t>
        </is>
      </c>
      <c r="E17" s="12" t="inlineStr"/>
    </row>
    <row r="18">
      <c r="B18" s="10" t="inlineStr">
        <is>
          <t>리플럭스 이후 정제기 수</t>
        </is>
      </c>
      <c r="C18" s="14" t="n">
        <v>2</v>
      </c>
      <c r="D18" s="5" t="inlineStr">
        <is>
          <t>대</t>
        </is>
      </c>
      <c r="E18" s="12" t="inlineStr">
        <is>
          <t>투입 시점을 엇갈리게 병행 운전</t>
        </is>
      </c>
    </row>
    <row r="19">
      <c r="B19" s="10" t="inlineStr">
        <is>
          <t>월 비교 기준 시간</t>
        </is>
      </c>
      <c r="C19" s="14" t="n">
        <v>720</v>
      </c>
      <c r="D19" s="5" t="inlineStr">
        <is>
          <t>h</t>
        </is>
      </c>
      <c r="E19" s="12" t="inlineStr">
        <is>
          <t>30일 × 24 h</t>
        </is>
      </c>
    </row>
    <row r="20">
      <c r="B20" s="10" t="inlineStr">
        <is>
          <t>과거 월 최대 Batch (정제기 1대)</t>
        </is>
      </c>
      <c r="C20" s="14" t="n">
        <v>11</v>
      </c>
      <c r="D20" s="5" t="inlineStr">
        <is>
          <t>Batch/월</t>
        </is>
      </c>
      <c r="E20" s="12" t="inlineStr"/>
    </row>
    <row r="21">
      <c r="B21" s="10" t="inlineStr">
        <is>
          <t>정제기 2 투입 시차 (운전 예시용)</t>
        </is>
      </c>
      <c r="C21" s="11" t="n">
        <v>30</v>
      </c>
      <c r="D21" s="5" t="inlineStr">
        <is>
          <t>h</t>
        </is>
      </c>
      <c r="E21" s="12" t="inlineStr">
        <is>
          <t>투입 간격 미확정 — 초류 진행에 연계 (현장 설명)</t>
        </is>
      </c>
    </row>
    <row r="22">
      <c r="B22" s="10" t="inlineStr">
        <is>
          <t>정제기 추가 점유 (배출·세척·전환)</t>
        </is>
      </c>
      <c r="C22" s="15" t="n"/>
      <c r="D22" s="5" t="inlineStr">
        <is>
          <t>h/Batch</t>
        </is>
      </c>
      <c r="E22" s="12" t="inlineStr">
        <is>
          <t>정제기 해제 시점 확인</t>
        </is>
      </c>
    </row>
    <row r="23">
      <c r="B23" s="10" t="inlineStr">
        <is>
          <t>다음 Batch 투입 간격 (실측)</t>
        </is>
      </c>
      <c r="C23" s="15" t="n"/>
      <c r="D23" s="5" t="inlineStr">
        <is>
          <t>h</t>
        </is>
      </c>
      <c r="E23" s="12" t="inlineStr">
        <is>
          <t>공란이면 운전 예시는 Capa. 역산값 사용</t>
        </is>
      </c>
    </row>
    <row r="24">
      <c r="B24" s="10" t="inlineStr">
        <is>
          <t>검사·승인 대기</t>
        </is>
      </c>
      <c r="C24" s="15" t="n"/>
      <c r="D24" s="5" t="inlineStr">
        <is>
          <t>h/Batch</t>
        </is>
      </c>
      <c r="E24" s="12" t="inlineStr"/>
    </row>
    <row r="25">
      <c r="B25" s="10" t="inlineStr">
        <is>
          <t>Mix·Premix 준비 (설비 사용)</t>
        </is>
      </c>
      <c r="C25" s="15" t="n"/>
      <c r="D25" s="5" t="inlineStr">
        <is>
          <t>h/Batch</t>
        </is>
      </c>
      <c r="E25" s="12" t="inlineStr">
        <is>
          <t>47.2톤이 현재의 2배가 아닌 이유 중 하나</t>
        </is>
      </c>
    </row>
    <row r="27" ht="20" customHeight="1">
      <c r="B27" s="7" t="inlineStr">
        <is>
          <t>C. 충진 · OQC</t>
        </is>
      </c>
    </row>
    <row r="28">
      <c r="B28" s="8" t="inlineStr">
        <is>
          <t>항목</t>
        </is>
      </c>
      <c r="C28" s="9" t="inlineStr">
        <is>
          <t>값</t>
        </is>
      </c>
      <c r="D28" s="9" t="inlineStr">
        <is>
          <t>단위</t>
        </is>
      </c>
      <c r="E28" s="8" t="inlineStr">
        <is>
          <t>설명</t>
        </is>
      </c>
    </row>
    <row r="29">
      <c r="B29" s="10" t="inlineStr">
        <is>
          <t>5 Gal 충진 (글로브 박스)</t>
        </is>
      </c>
      <c r="C29" s="11" t="n">
        <v>2</v>
      </c>
      <c r="D29" s="5" t="inlineStr">
        <is>
          <t>h/병</t>
        </is>
      </c>
      <c r="E29" s="12" t="inlineStr">
        <is>
          <t>하이닉스·CXMT</t>
        </is>
      </c>
    </row>
    <row r="30">
      <c r="B30" s="10" t="inlineStr">
        <is>
          <t>5 Gal 병 수 / Batch</t>
        </is>
      </c>
      <c r="C30" s="14" t="n">
        <v>9</v>
      </c>
      <c r="D30" s="5" t="inlineStr">
        <is>
          <t>병</t>
        </is>
      </c>
      <c r="E30" s="12" t="inlineStr">
        <is>
          <t>9병 × 20 kg = 180 kg</t>
        </is>
      </c>
    </row>
    <row r="31">
      <c r="B31" s="10" t="inlineStr">
        <is>
          <t>5 Gal 충진량</t>
        </is>
      </c>
      <c r="C31" s="14" t="n">
        <v>20</v>
      </c>
      <c r="D31" s="5" t="inlineStr">
        <is>
          <t>kg/병</t>
        </is>
      </c>
      <c r="E31" s="12" t="inlineStr"/>
    </row>
    <row r="32">
      <c r="B32" s="10" t="inlineStr">
        <is>
          <t>5 Gal OQC·출하 작업</t>
        </is>
      </c>
      <c r="C32" s="11" t="n">
        <v>2</v>
      </c>
      <c r="D32" s="5" t="inlineStr">
        <is>
          <t>h/9병</t>
        </is>
      </c>
      <c r="E32" s="12" t="inlineStr"/>
    </row>
    <row r="33">
      <c r="B33" s="10" t="inlineStr">
        <is>
          <t>이지켐 200 L 충진량</t>
        </is>
      </c>
      <c r="C33" s="14" t="n">
        <v>140</v>
      </c>
      <c r="D33" s="5" t="inlineStr">
        <is>
          <t>kg/용기</t>
        </is>
      </c>
      <c r="E33" s="12" t="inlineStr"/>
    </row>
    <row r="34">
      <c r="B34" s="10" t="inlineStr">
        <is>
          <t>이지켐 200 L 수동 충진</t>
        </is>
      </c>
      <c r="C34" s="11" t="n">
        <v>8</v>
      </c>
      <c r="D34" s="5" t="inlineStr">
        <is>
          <t>h/용기</t>
        </is>
      </c>
      <c r="E34" s="12" t="inlineStr"/>
    </row>
    <row r="35">
      <c r="B35" s="10" t="inlineStr">
        <is>
          <t>한솔 200 L 충진량</t>
        </is>
      </c>
      <c r="C35" s="14" t="n">
        <v>150</v>
      </c>
      <c r="D35" s="5" t="inlineStr">
        <is>
          <t>kg/용기</t>
        </is>
      </c>
      <c r="E35" s="12" t="inlineStr"/>
    </row>
    <row r="36">
      <c r="B36" s="10" t="inlineStr">
        <is>
          <t>한솔 200 L 수동 충진</t>
        </is>
      </c>
      <c r="C36" s="11" t="n">
        <v>8</v>
      </c>
      <c r="D36" s="5" t="inlineStr">
        <is>
          <t>h/용기</t>
        </is>
      </c>
      <c r="E36" s="12" t="inlineStr"/>
    </row>
    <row r="37">
      <c r="B37" s="10" t="inlineStr">
        <is>
          <t>200 L OQC·출하 작업</t>
        </is>
      </c>
      <c r="C37" s="11" t="n">
        <v>2</v>
      </c>
      <c r="D37" s="5" t="inlineStr">
        <is>
          <t>h/용기</t>
        </is>
      </c>
      <c r="E37" s="12" t="inlineStr"/>
    </row>
    <row r="38">
      <c r="B38" s="10" t="inlineStr">
        <is>
          <t>이지켐 ARS 시작</t>
        </is>
      </c>
      <c r="C38" s="16" t="n">
        <v>46569</v>
      </c>
      <c r="D38" s="5" t="inlineStr"/>
      <c r="E38" s="12" t="inlineStr"/>
    </row>
    <row r="39">
      <c r="B39" s="10" t="inlineStr">
        <is>
          <t>한솔 ARS 시작</t>
        </is>
      </c>
      <c r="C39" s="16" t="n">
        <v>46569</v>
      </c>
      <c r="D39" s="5" t="inlineStr"/>
      <c r="E39" s="12" t="inlineStr">
        <is>
          <t>'27.1~6 수동</t>
        </is>
      </c>
    </row>
    <row r="40">
      <c r="B40" s="10" t="inlineStr">
        <is>
          <t>이지켐 ARS 충진 (아래 단계 합계)</t>
        </is>
      </c>
      <c r="C40" s="17">
        <f>IF(COUNT(C46:C51)=0,"",SUM(C46:C51))</f>
      </c>
      <c r="D40" s="5" t="inlineStr">
        <is>
          <t>h/용기</t>
        </is>
      </c>
      <c r="E40" s="12" t="inlineStr">
        <is>
          <t>공란이면 수동 8 h로 계산</t>
        </is>
      </c>
    </row>
    <row r="41">
      <c r="B41" s="10" t="inlineStr">
        <is>
          <t>한솔 ARS 충진 (아래 단계 합계)</t>
        </is>
      </c>
      <c r="C41" s="17">
        <f>IF(COUNT(D46:D51)=0,"",SUM(D46:D51))</f>
      </c>
      <c r="D41" s="5" t="inlineStr">
        <is>
          <t>h/용기</t>
        </is>
      </c>
      <c r="E41" s="12" t="inlineStr">
        <is>
          <t>공란이면 수동 8 h로 계산</t>
        </is>
      </c>
    </row>
    <row r="42">
      <c r="B42" s="10" t="inlineStr">
        <is>
          <t>글로브 박스 근무시간</t>
        </is>
      </c>
      <c r="C42" s="11" t="n">
        <v>8</v>
      </c>
      <c r="D42" s="5" t="inlineStr">
        <is>
          <t>h/일</t>
        </is>
      </c>
      <c r="E42" s="12" t="inlineStr">
        <is>
          <t>1교대 기준</t>
        </is>
      </c>
    </row>
    <row r="43">
      <c r="B43" s="10" t="inlineStr">
        <is>
          <t>월 근무일</t>
        </is>
      </c>
      <c r="C43" s="14" t="n">
        <v>22</v>
      </c>
      <c r="D43" s="5" t="inlineStr">
        <is>
          <t>일/월</t>
        </is>
      </c>
      <c r="E43" s="12" t="inlineStr"/>
    </row>
    <row r="45">
      <c r="B45" s="8" t="inlineStr">
        <is>
          <t>ARS 작업 단계 (h/용기)</t>
        </is>
      </c>
      <c r="C45" s="9" t="inlineStr">
        <is>
          <t>이지켐</t>
        </is>
      </c>
      <c r="D45" s="9" t="inlineStr">
        <is>
          <t>한솔</t>
        </is>
      </c>
      <c r="E45" s="8" t="inlineStr">
        <is>
          <t>수동과 ARS의 전체 시간 차이 확인용</t>
        </is>
      </c>
    </row>
    <row r="46">
      <c r="B46" s="10" t="inlineStr">
        <is>
          <t>용기 준비</t>
        </is>
      </c>
      <c r="C46" s="15" t="n"/>
      <c r="D46" s="15" t="n"/>
      <c r="E46" s="18" t="inlineStr"/>
    </row>
    <row r="47">
      <c r="B47" s="10" t="inlineStr">
        <is>
          <t>투입·반출</t>
        </is>
      </c>
      <c r="C47" s="15" t="n"/>
      <c r="D47" s="15" t="n"/>
      <c r="E47" s="18" t="inlineStr"/>
    </row>
    <row r="48">
      <c r="B48" s="10" t="inlineStr">
        <is>
          <t>퍼지</t>
        </is>
      </c>
      <c r="C48" s="15" t="n"/>
      <c r="D48" s="15" t="n"/>
      <c r="E48" s="18" t="inlineStr"/>
    </row>
    <row r="49">
      <c r="B49" s="10" t="inlineStr">
        <is>
          <t>실제 충진</t>
        </is>
      </c>
      <c r="C49" s="15" t="n"/>
      <c r="D49" s="15" t="n"/>
      <c r="E49" s="18" t="inlineStr"/>
    </row>
    <row r="50">
      <c r="B50" s="10" t="inlineStr">
        <is>
          <t>설비 전환</t>
        </is>
      </c>
      <c r="C50" s="15" t="n"/>
      <c r="D50" s="15" t="n"/>
      <c r="E50" s="18" t="inlineStr"/>
    </row>
    <row r="51">
      <c r="B51" s="10" t="inlineStr">
        <is>
          <t>검사·OQC</t>
        </is>
      </c>
      <c r="C51" s="15" t="n"/>
      <c r="D51" s="15" t="n"/>
      <c r="E51" s="18" t="inlineStr"/>
    </row>
    <row r="52">
      <c r="B52" s="10" t="inlineStr">
        <is>
          <t>작업자 투입시간</t>
        </is>
      </c>
      <c r="C52" s="15" t="n"/>
      <c r="D52" s="15" t="n"/>
      <c r="E52" s="18" t="inlineStr"/>
    </row>
    <row r="53">
      <c r="B53" s="10" t="inlineStr">
        <is>
          <t>설비 점유시간</t>
        </is>
      </c>
      <c r="C53" s="15" t="n"/>
      <c r="D53" s="15" t="n"/>
      <c r="E53" s="18" t="inlineStr"/>
    </row>
    <row r="55" ht="20" customHeight="1">
      <c r="B55" s="7" t="inlineStr">
        <is>
          <t>D. Batch 생산량</t>
        </is>
      </c>
    </row>
    <row r="56">
      <c r="B56" s="8" t="inlineStr">
        <is>
          <t>항목</t>
        </is>
      </c>
      <c r="C56" s="9" t="inlineStr">
        <is>
          <t>값</t>
        </is>
      </c>
      <c r="D56" s="9" t="inlineStr">
        <is>
          <t>단위</t>
        </is>
      </c>
      <c r="E56" s="8" t="inlineStr">
        <is>
          <t>설명</t>
        </is>
      </c>
    </row>
    <row r="57">
      <c r="B57" s="10" t="inlineStr">
        <is>
          <t>Batch당 생산량 (환산 기준)</t>
        </is>
      </c>
      <c r="C57" s="14" t="n">
        <v>190</v>
      </c>
      <c r="D57" s="5" t="inlineStr">
        <is>
          <t>kg/Batch</t>
        </is>
      </c>
      <c r="E57" s="12" t="inlineStr">
        <is>
          <t>생산팀 언급 회수량은 09_확인사항에 별도 보존</t>
        </is>
      </c>
    </row>
    <row r="59" ht="20" customHeight="1">
      <c r="B59" s="7" t="inlineStr">
        <is>
          <t>E. Capa. 기준</t>
        </is>
      </c>
    </row>
    <row r="60">
      <c r="B60" s="8" t="inlineStr">
        <is>
          <t>항목</t>
        </is>
      </c>
      <c r="C60" s="9" t="inlineStr">
        <is>
          <t>값</t>
        </is>
      </c>
      <c r="D60" s="9" t="inlineStr">
        <is>
          <t>단위</t>
        </is>
      </c>
      <c r="E60" s="8" t="inlineStr">
        <is>
          <t>설명</t>
        </is>
      </c>
    </row>
    <row r="61">
      <c r="B61" s="10" t="inlineStr">
        <is>
          <t>현재 연간 Capa.</t>
        </is>
      </c>
      <c r="C61" s="19" t="n">
        <v>26.2</v>
      </c>
      <c r="D61" s="5" t="inlineStr">
        <is>
          <t>t/년</t>
        </is>
      </c>
      <c r="E61" s="12" t="inlineStr"/>
    </row>
    <row r="62">
      <c r="B62" s="10" t="inlineStr">
        <is>
          <t>리플럭스 증가분</t>
        </is>
      </c>
      <c r="C62" s="19" t="n">
        <v>21</v>
      </c>
      <c r="D62" s="5" t="inlineStr">
        <is>
          <t>t/년</t>
        </is>
      </c>
      <c r="E62" s="12" t="inlineStr"/>
    </row>
    <row r="63">
      <c r="B63" s="10" t="inlineStr">
        <is>
          <t>개선 후 연간 Capa.</t>
        </is>
      </c>
      <c r="C63" s="20">
        <f>CAPA_NOW+CAPA_ADD</f>
        <v>47.2</v>
      </c>
      <c r="D63" s="5" t="inlineStr">
        <is>
          <t>t/년</t>
        </is>
      </c>
      <c r="E63" s="12" t="inlineStr">
        <is>
          <t>현재의 2배(52.4) 아님 — Mix·Premix 준비 등</t>
        </is>
      </c>
    </row>
    <row r="64">
      <c r="B64" s="10" t="inlineStr">
        <is>
          <t>105℃ 증가분 (2028)</t>
        </is>
      </c>
      <c r="C64" s="19" t="n">
        <v>3</v>
      </c>
      <c r="D64" s="5" t="inlineStr">
        <is>
          <t>t/년</t>
        </is>
      </c>
      <c r="E64" s="12" t="inlineStr">
        <is>
          <t>열 안정성·Dimer·Unknown·수율 검증 필요</t>
        </is>
      </c>
    </row>
    <row r="65">
      <c r="B65" s="10" t="inlineStr">
        <is>
          <t>2028 Capa. (105℃)</t>
        </is>
      </c>
      <c r="C65" s="20">
        <f>CAPA_RF+CAPA_TADD</f>
        <v>50.2</v>
      </c>
      <c r="D65" s="5" t="inlineStr">
        <is>
          <t>t/년</t>
        </is>
      </c>
      <c r="E65" s="12" t="inlineStr"/>
    </row>
    <row r="66">
      <c r="B66" s="10" t="inlineStr">
        <is>
          <t>대정비 월 (매년)</t>
        </is>
      </c>
      <c r="C66" s="14" t="n">
        <v>4</v>
      </c>
      <c r="D66" s="5" t="inlineStr">
        <is>
          <t>월</t>
        </is>
      </c>
      <c r="E66" s="12" t="inlineStr"/>
    </row>
    <row r="67">
      <c r="B67" s="10" t="inlineStr">
        <is>
          <t>정제기 2대 생산 시작</t>
        </is>
      </c>
      <c r="C67" s="16" t="n">
        <v>46508</v>
      </c>
      <c r="D67" s="5" t="inlineStr"/>
      <c r="E67" s="12" t="inlineStr">
        <is>
          <t>대정비 다음 달</t>
        </is>
      </c>
    </row>
    <row r="68">
      <c r="B68" s="10" t="inlineStr">
        <is>
          <t>105℃ 적용 시작</t>
        </is>
      </c>
      <c r="C68" s="16" t="n">
        <v>46753</v>
      </c>
      <c r="D68" s="5" t="inlineStr"/>
      <c r="E68" s="12" t="inlineStr"/>
    </row>
    <row r="69">
      <c r="B69" s="10" t="inlineStr">
        <is>
          <t>대정비 월 생산량</t>
        </is>
      </c>
      <c r="C69" s="21">
        <f>INDEX(C80:N80,MAINT_M)</f>
        <v>1188</v>
      </c>
      <c r="D69" s="5" t="inlineStr">
        <is>
          <t>kg</t>
        </is>
      </c>
      <c r="E69" s="12" t="inlineStr">
        <is>
          <t>아래 2027년 4월 생산계획과 연결</t>
        </is>
      </c>
    </row>
    <row r="70">
      <c r="B70" s="10" t="inlineStr">
        <is>
          <t>월 Capa. (47.2톤 ÷ 11)</t>
        </is>
      </c>
      <c r="C70" s="22">
        <f>CAPA_RF*1000/11</f>
        <v>4290.90909090909</v>
      </c>
      <c r="D70" s="5" t="inlineStr">
        <is>
          <t>kg/월</t>
        </is>
      </c>
      <c r="E70" s="12" t="inlineStr">
        <is>
          <t>47,200 ÷ 11 · 대정비 월은 별도 (1,188 kg)</t>
        </is>
      </c>
    </row>
    <row r="71">
      <c r="B71" s="10" t="inlineStr">
        <is>
          <t>월 Capa. (50.2톤 ÷ 11)</t>
        </is>
      </c>
      <c r="C71" s="22">
        <f>CAPA_105*1000/11</f>
        <v>4563.63636363636</v>
      </c>
      <c r="D71" s="5" t="inlineStr">
        <is>
          <t>kg/월</t>
        </is>
      </c>
      <c r="E71" s="12" t="inlineStr">
        <is>
          <t>50,200 ÷ 11 · 대정비 월은 별도 (1,188 kg)</t>
        </is>
      </c>
    </row>
    <row r="73" ht="20" customHeight="1">
      <c r="B73" s="7" t="inlineStr">
        <is>
          <t>F. 재고 · 품질</t>
        </is>
      </c>
    </row>
    <row r="74">
      <c r="B74" s="8" t="inlineStr">
        <is>
          <t>항목</t>
        </is>
      </c>
      <c r="C74" s="9" t="inlineStr">
        <is>
          <t>값</t>
        </is>
      </c>
      <c r="D74" s="9" t="inlineStr">
        <is>
          <t>단위</t>
        </is>
      </c>
      <c r="E74" s="8" t="inlineStr">
        <is>
          <t>설명</t>
        </is>
      </c>
    </row>
    <row r="75">
      <c r="B75" s="10" t="inlineStr">
        <is>
          <t>기초재고 (2027-01-01)</t>
        </is>
      </c>
      <c r="C75" s="23" t="n">
        <v>2882</v>
      </c>
      <c r="D75" s="5" t="inlineStr">
        <is>
          <t>kg</t>
        </is>
      </c>
      <c r="E75" s="12" t="inlineStr">
        <is>
          <t>재고 = 전월 재고 + 생산 − 출하</t>
        </is>
      </c>
    </row>
    <row r="76">
      <c r="B76" s="10" t="inlineStr">
        <is>
          <t>양품률 (입력 시 재고에 반영)</t>
        </is>
      </c>
      <c r="C76" s="24" t="n"/>
      <c r="D76" s="5" t="inlineStr">
        <is>
          <t>%</t>
        </is>
      </c>
      <c r="E76" s="12" t="inlineStr">
        <is>
          <t>공란이면 생산계획 그대로 재고 계산</t>
        </is>
      </c>
    </row>
    <row r="78" ht="20" customHeight="1">
      <c r="B78" s="7" t="inlineStr">
        <is>
          <t>G. 월별 생산계획 (kg) — 2027년 1~4월은 확정치로 두 버전 공통</t>
        </is>
      </c>
    </row>
    <row r="79">
      <c r="B79" s="8" t="inlineStr">
        <is>
          <t>구분</t>
        </is>
      </c>
      <c r="C79" s="25" t="n">
        <v>46388</v>
      </c>
      <c r="D79" s="25" t="n">
        <v>46419</v>
      </c>
      <c r="E79" s="25" t="n">
        <v>46447</v>
      </c>
      <c r="F79" s="25" t="n">
        <v>46478</v>
      </c>
      <c r="G79" s="25" t="n">
        <v>46508</v>
      </c>
      <c r="H79" s="25" t="n">
        <v>46539</v>
      </c>
      <c r="I79" s="25" t="n">
        <v>46569</v>
      </c>
      <c r="J79" s="25" t="n">
        <v>46600</v>
      </c>
      <c r="K79" s="25" t="n">
        <v>46631</v>
      </c>
      <c r="L79" s="25" t="n">
        <v>46661</v>
      </c>
      <c r="M79" s="25" t="n">
        <v>46692</v>
      </c>
      <c r="N79" s="25" t="n">
        <v>46722</v>
      </c>
      <c r="O79" s="9" t="inlineStr">
        <is>
          <t>2027 합계</t>
        </is>
      </c>
    </row>
    <row r="80">
      <c r="B80" s="10" t="inlineStr">
        <is>
          <t>기존 생산계획 (1~4월 확정)</t>
        </is>
      </c>
      <c r="C80" s="23" t="n">
        <v>2178</v>
      </c>
      <c r="D80" s="23" t="n">
        <v>2178</v>
      </c>
      <c r="E80" s="23" t="n">
        <v>3168</v>
      </c>
      <c r="F80" s="23" t="n">
        <v>1188</v>
      </c>
      <c r="G80" s="23" t="n">
        <v>3564</v>
      </c>
      <c r="H80" s="23" t="n">
        <v>3564</v>
      </c>
      <c r="I80" s="23" t="n">
        <v>3564</v>
      </c>
      <c r="J80" s="23" t="n">
        <v>3564</v>
      </c>
      <c r="K80" s="23" t="n">
        <v>3564</v>
      </c>
      <c r="L80" s="23" t="n">
        <v>3564</v>
      </c>
      <c r="M80" s="23" t="n">
        <v>3564</v>
      </c>
      <c r="N80" s="23" t="n">
        <v>3564</v>
      </c>
      <c r="O80" s="26">
        <f>SUM(C80:N80)</f>
        <v>37224</v>
      </c>
    </row>
    <row r="82">
      <c r="B82" s="8" t="inlineStr">
        <is>
          <t>구분</t>
        </is>
      </c>
      <c r="C82" s="25" t="n">
        <v>46753</v>
      </c>
      <c r="D82" s="25" t="n">
        <v>46784</v>
      </c>
      <c r="E82" s="25" t="n">
        <v>46813</v>
      </c>
      <c r="F82" s="25" t="n">
        <v>46844</v>
      </c>
      <c r="G82" s="25" t="n">
        <v>46874</v>
      </c>
      <c r="H82" s="25" t="n">
        <v>46905</v>
      </c>
      <c r="I82" s="25" t="n">
        <v>46935</v>
      </c>
      <c r="J82" s="25" t="n">
        <v>46966</v>
      </c>
      <c r="K82" s="25" t="n">
        <v>46997</v>
      </c>
      <c r="L82" s="25" t="n">
        <v>47027</v>
      </c>
      <c r="M82" s="25" t="n">
        <v>47058</v>
      </c>
      <c r="N82" s="25" t="n">
        <v>47088</v>
      </c>
      <c r="O82" s="9" t="inlineStr">
        <is>
          <t>2028 합계</t>
        </is>
      </c>
    </row>
    <row r="83">
      <c r="B83" s="10" t="inlineStr">
        <is>
          <t>기존 생산계획</t>
        </is>
      </c>
      <c r="C83" s="23" t="n">
        <v>3564</v>
      </c>
      <c r="D83" s="23" t="n">
        <v>3564</v>
      </c>
      <c r="E83" s="23" t="n">
        <v>3564</v>
      </c>
      <c r="F83" s="23" t="n">
        <v>1188</v>
      </c>
      <c r="G83" s="23" t="n">
        <v>3564</v>
      </c>
      <c r="H83" s="23" t="n">
        <v>3564</v>
      </c>
      <c r="I83" s="23" t="n">
        <v>3564</v>
      </c>
      <c r="J83" s="23" t="n">
        <v>3168</v>
      </c>
      <c r="K83" s="23" t="n">
        <v>3168</v>
      </c>
      <c r="L83" s="23" t="n">
        <v>3168</v>
      </c>
      <c r="M83" s="23" t="n">
        <v>3168</v>
      </c>
      <c r="N83" s="23" t="n">
        <v>3168</v>
      </c>
      <c r="O83" s="26">
        <f>SUM(C83:N83)</f>
        <v>38412</v>
      </c>
    </row>
    <row r="85" ht="20" customHeight="1">
      <c r="B85" s="7" t="inlineStr">
        <is>
          <t>H. 고객별 월 출하계획 (kg) — 2028년은 비교용 가정</t>
        </is>
      </c>
    </row>
    <row r="86">
      <c r="B86" s="8" t="inlineStr">
        <is>
          <t>2026</t>
        </is>
      </c>
      <c r="C86" s="25" t="n">
        <v>46023</v>
      </c>
      <c r="D86" s="25" t="n">
        <v>46054</v>
      </c>
      <c r="E86" s="25" t="n">
        <v>46082</v>
      </c>
      <c r="F86" s="25" t="n">
        <v>46113</v>
      </c>
      <c r="G86" s="25" t="n">
        <v>46143</v>
      </c>
      <c r="H86" s="25" t="n">
        <v>46174</v>
      </c>
      <c r="I86" s="25" t="n">
        <v>46204</v>
      </c>
      <c r="J86" s="25" t="n">
        <v>46235</v>
      </c>
      <c r="K86" s="25" t="n">
        <v>46266</v>
      </c>
      <c r="L86" s="25" t="n">
        <v>46296</v>
      </c>
      <c r="M86" s="25" t="n">
        <v>46327</v>
      </c>
      <c r="N86" s="25" t="n">
        <v>46357</v>
      </c>
      <c r="O86" s="9" t="inlineStr">
        <is>
          <t>합계</t>
        </is>
      </c>
    </row>
    <row r="87">
      <c r="B87" s="10" t="inlineStr">
        <is>
          <t>SK하이닉스</t>
        </is>
      </c>
      <c r="C87" s="27" t="n">
        <v>1600</v>
      </c>
      <c r="D87" s="27" t="n">
        <v>1420</v>
      </c>
      <c r="E87" s="27" t="n">
        <v>1440</v>
      </c>
      <c r="F87" s="27" t="n">
        <v>1580</v>
      </c>
      <c r="G87" s="27" t="n">
        <v>1200</v>
      </c>
      <c r="H87" s="27" t="n">
        <v>1200</v>
      </c>
      <c r="I87" s="27" t="n">
        <v>1360</v>
      </c>
      <c r="J87" s="27" t="n">
        <v>1420</v>
      </c>
      <c r="K87" s="27" t="n">
        <v>1380</v>
      </c>
      <c r="L87" s="27" t="n">
        <v>1480</v>
      </c>
      <c r="M87" s="27" t="n">
        <v>1480</v>
      </c>
      <c r="N87" s="27" t="n">
        <v>1420</v>
      </c>
      <c r="O87" s="21">
        <f>IF(COUNT(C87:N87)=0,"미제시",SUM(C87:N87))</f>
        <v>16980</v>
      </c>
    </row>
    <row r="88">
      <c r="B88" s="10" t="inlineStr">
        <is>
          <t>CXMT</t>
        </is>
      </c>
      <c r="C88" s="28" t="n"/>
      <c r="D88" s="28" t="n"/>
      <c r="E88" s="28" t="n"/>
      <c r="F88" s="28" t="n"/>
      <c r="G88" s="28" t="n"/>
      <c r="H88" s="28" t="n"/>
      <c r="I88" s="28" t="n"/>
      <c r="J88" s="28" t="n"/>
      <c r="K88" s="28" t="n"/>
      <c r="L88" s="28" t="n"/>
      <c r="M88" s="28" t="n"/>
      <c r="N88" s="28" t="n"/>
      <c r="O88" s="21" t="str">
        <f>IF(COUNT(C88:N88)=0,"미제시",SUM(C88:N88))</f>
        <v>미제시</v>
      </c>
    </row>
    <row r="89">
      <c r="B89" s="10" t="inlineStr">
        <is>
          <t>이지켐</t>
        </is>
      </c>
      <c r="C89" s="23" t="n">
        <v>0</v>
      </c>
      <c r="D89" s="23" t="n">
        <v>0</v>
      </c>
      <c r="E89" s="23" t="n">
        <v>0</v>
      </c>
      <c r="F89" s="23" t="n">
        <v>0</v>
      </c>
      <c r="G89" s="23" t="n">
        <v>0</v>
      </c>
      <c r="H89" s="23" t="n">
        <v>0</v>
      </c>
      <c r="I89" s="23" t="n">
        <v>0</v>
      </c>
      <c r="J89" s="23" t="n">
        <v>0</v>
      </c>
      <c r="K89" s="23" t="n">
        <v>560</v>
      </c>
      <c r="L89" s="23" t="n">
        <v>560</v>
      </c>
      <c r="M89" s="23" t="n">
        <v>560</v>
      </c>
      <c r="N89" s="23" t="n">
        <v>560</v>
      </c>
      <c r="O89" s="21">
        <f>IF(COUNT(C89:N89)=0,"미제시",SUM(C89:N89))</f>
        <v>2240</v>
      </c>
    </row>
    <row r="90">
      <c r="B90" s="10" t="inlineStr">
        <is>
          <t>한솔</t>
        </is>
      </c>
      <c r="C90" s="28" t="n"/>
      <c r="D90" s="28" t="n"/>
      <c r="E90" s="28" t="n"/>
      <c r="F90" s="28" t="n"/>
      <c r="G90" s="28" t="n"/>
      <c r="H90" s="28" t="n"/>
      <c r="I90" s="28" t="n"/>
      <c r="J90" s="28" t="n"/>
      <c r="K90" s="28" t="n"/>
      <c r="L90" s="28" t="n"/>
      <c r="M90" s="28" t="n"/>
      <c r="N90" s="28" t="n"/>
      <c r="O90" s="21" t="str">
        <f>IF(COUNT(C90:N90)=0,"미제시",SUM(C90:N90))</f>
        <v>미제시</v>
      </c>
    </row>
    <row r="91">
      <c r="B91" s="29" t="inlineStr">
        <is>
          <t>합계</t>
        </is>
      </c>
      <c r="C91" s="26">
        <f>SUM(C87:C90)</f>
        <v>1600</v>
      </c>
      <c r="D91" s="26">
        <f>SUM(D87:D90)</f>
        <v>1420</v>
      </c>
      <c r="E91" s="26">
        <f>SUM(E87:E90)</f>
        <v>1440</v>
      </c>
      <c r="F91" s="26">
        <f>SUM(F87:F90)</f>
        <v>1580</v>
      </c>
      <c r="G91" s="26">
        <f>SUM(G87:G90)</f>
        <v>1200</v>
      </c>
      <c r="H91" s="26">
        <f>SUM(H87:H90)</f>
        <v>1200</v>
      </c>
      <c r="I91" s="26">
        <f>SUM(I87:I90)</f>
        <v>1360</v>
      </c>
      <c r="J91" s="26">
        <f>SUM(J87:J90)</f>
        <v>1420</v>
      </c>
      <c r="K91" s="26">
        <f>SUM(K87:K90)</f>
        <v>1940</v>
      </c>
      <c r="L91" s="26">
        <f>SUM(L87:L90)</f>
        <v>2040</v>
      </c>
      <c r="M91" s="26">
        <f>SUM(M87:M90)</f>
        <v>2040</v>
      </c>
      <c r="N91" s="26">
        <f>SUM(N87:N90)</f>
        <v>1980</v>
      </c>
      <c r="O91" s="26">
        <f>SUM(O87:O90)</f>
        <v>19220</v>
      </c>
    </row>
    <row r="93">
      <c r="B93" s="8" t="inlineStr">
        <is>
          <t>2027</t>
        </is>
      </c>
      <c r="C93" s="25" t="n">
        <v>46388</v>
      </c>
      <c r="D93" s="25" t="n">
        <v>46419</v>
      </c>
      <c r="E93" s="25" t="n">
        <v>46447</v>
      </c>
      <c r="F93" s="25" t="n">
        <v>46478</v>
      </c>
      <c r="G93" s="25" t="n">
        <v>46508</v>
      </c>
      <c r="H93" s="25" t="n">
        <v>46539</v>
      </c>
      <c r="I93" s="25" t="n">
        <v>46569</v>
      </c>
      <c r="J93" s="25" t="n">
        <v>46600</v>
      </c>
      <c r="K93" s="25" t="n">
        <v>46631</v>
      </c>
      <c r="L93" s="25" t="n">
        <v>46661</v>
      </c>
      <c r="M93" s="25" t="n">
        <v>46692</v>
      </c>
      <c r="N93" s="25" t="n">
        <v>46722</v>
      </c>
      <c r="O93" s="9" t="inlineStr">
        <is>
          <t>합계</t>
        </is>
      </c>
    </row>
    <row r="94">
      <c r="B94" s="10" t="inlineStr">
        <is>
          <t>SK하이닉스</t>
        </is>
      </c>
      <c r="C94" s="27">
        <f>22720/12</f>
        <v>1893.33333333333</v>
      </c>
      <c r="D94" s="27">
        <f>22720/12</f>
        <v>1893.33333333333</v>
      </c>
      <c r="E94" s="27">
        <f>22720/12</f>
        <v>1893.33333333333</v>
      </c>
      <c r="F94" s="27">
        <f>22720/12</f>
        <v>1893.33333333333</v>
      </c>
      <c r="G94" s="27">
        <f>22720/12</f>
        <v>1893.33333333333</v>
      </c>
      <c r="H94" s="27">
        <f>22720/12</f>
        <v>1893.33333333333</v>
      </c>
      <c r="I94" s="27">
        <f>22720/12</f>
        <v>1893.33333333333</v>
      </c>
      <c r="J94" s="27">
        <f>22720/12</f>
        <v>1893.33333333333</v>
      </c>
      <c r="K94" s="27">
        <f>22720/12</f>
        <v>1893.33333333333</v>
      </c>
      <c r="L94" s="27">
        <f>22720/12</f>
        <v>1893.33333333333</v>
      </c>
      <c r="M94" s="27">
        <f>22720/12</f>
        <v>1893.33333333333</v>
      </c>
      <c r="N94" s="27">
        <f>22720/12</f>
        <v>1893.33333333333</v>
      </c>
      <c r="O94" s="21">
        <f>IF(COUNT(C94:N94)=0,"미제시",SUM(C94:N94))</f>
        <v>22720</v>
      </c>
    </row>
    <row r="95">
      <c r="B95" s="10" t="inlineStr">
        <is>
          <t>CXMT</t>
        </is>
      </c>
      <c r="C95" s="23" t="n">
        <v>0</v>
      </c>
      <c r="D95" s="23" t="n">
        <v>0</v>
      </c>
      <c r="E95" s="23" t="n">
        <v>580</v>
      </c>
      <c r="F95" s="23" t="n">
        <v>580</v>
      </c>
      <c r="G95" s="23" t="n">
        <v>580</v>
      </c>
      <c r="H95" s="23" t="n">
        <v>580</v>
      </c>
      <c r="I95" s="23" t="n">
        <v>780</v>
      </c>
      <c r="J95" s="23" t="n">
        <v>780</v>
      </c>
      <c r="K95" s="23" t="n">
        <v>780</v>
      </c>
      <c r="L95" s="23" t="n">
        <v>780</v>
      </c>
      <c r="M95" s="23" t="n">
        <v>780</v>
      </c>
      <c r="N95" s="23" t="n">
        <v>780</v>
      </c>
      <c r="O95" s="21">
        <f>IF(COUNT(C95:N95)=0,"미제시",SUM(C95:N95))</f>
        <v>7000</v>
      </c>
    </row>
    <row r="96">
      <c r="B96" s="10" t="inlineStr">
        <is>
          <t>이지켐</t>
        </is>
      </c>
      <c r="C96" s="23" t="n">
        <v>560</v>
      </c>
      <c r="D96" s="23" t="n">
        <v>560</v>
      </c>
      <c r="E96" s="23" t="n">
        <v>560</v>
      </c>
      <c r="F96" s="23" t="n">
        <v>560</v>
      </c>
      <c r="G96" s="23" t="n">
        <v>560</v>
      </c>
      <c r="H96" s="23" t="n">
        <v>560</v>
      </c>
      <c r="I96" s="23" t="n">
        <v>840</v>
      </c>
      <c r="J96" s="23" t="n">
        <v>840</v>
      </c>
      <c r="K96" s="23" t="n">
        <v>840</v>
      </c>
      <c r="L96" s="23" t="n">
        <v>840</v>
      </c>
      <c r="M96" s="23" t="n">
        <v>840</v>
      </c>
      <c r="N96" s="23" t="n">
        <v>840</v>
      </c>
      <c r="O96" s="21">
        <f>IF(COUNT(C96:N96)=0,"미제시",SUM(C96:N96))</f>
        <v>8400</v>
      </c>
    </row>
    <row r="97">
      <c r="B97" s="10" t="inlineStr">
        <is>
          <t>한솔</t>
        </is>
      </c>
      <c r="C97" s="23" t="n">
        <v>300</v>
      </c>
      <c r="D97" s="23" t="n">
        <v>300</v>
      </c>
      <c r="E97" s="23" t="n">
        <v>300</v>
      </c>
      <c r="F97" s="23" t="n">
        <v>300</v>
      </c>
      <c r="G97" s="23" t="n">
        <v>300</v>
      </c>
      <c r="H97" s="23" t="n">
        <v>300</v>
      </c>
      <c r="I97" s="23" t="n">
        <v>300</v>
      </c>
      <c r="J97" s="23" t="n">
        <v>300</v>
      </c>
      <c r="K97" s="23" t="n">
        <v>300</v>
      </c>
      <c r="L97" s="23" t="n">
        <v>300</v>
      </c>
      <c r="M97" s="23" t="n">
        <v>300</v>
      </c>
      <c r="N97" s="23" t="n">
        <v>300</v>
      </c>
      <c r="O97" s="21">
        <f>IF(COUNT(C97:N97)=0,"미제시",SUM(C97:N97))</f>
        <v>3600</v>
      </c>
    </row>
    <row r="98">
      <c r="B98" s="29" t="inlineStr">
        <is>
          <t>합계</t>
        </is>
      </c>
      <c r="C98" s="26">
        <f>SUM(C94:C97)</f>
        <v>2753.33333333333</v>
      </c>
      <c r="D98" s="26">
        <f>SUM(D94:D97)</f>
        <v>2753.33333333333</v>
      </c>
      <c r="E98" s="26">
        <f>SUM(E94:E97)</f>
        <v>3333.33333333333</v>
      </c>
      <c r="F98" s="26">
        <f>SUM(F94:F97)</f>
        <v>3333.33333333333</v>
      </c>
      <c r="G98" s="26">
        <f>SUM(G94:G97)</f>
        <v>3333.33333333333</v>
      </c>
      <c r="H98" s="26">
        <f>SUM(H94:H97)</f>
        <v>3333.33333333333</v>
      </c>
      <c r="I98" s="26">
        <f>SUM(I94:I97)</f>
        <v>3813.33333333333</v>
      </c>
      <c r="J98" s="26">
        <f>SUM(J94:J97)</f>
        <v>3813.33333333333</v>
      </c>
      <c r="K98" s="26">
        <f>SUM(K94:K97)</f>
        <v>3813.33333333333</v>
      </c>
      <c r="L98" s="26">
        <f>SUM(L94:L97)</f>
        <v>3813.33333333333</v>
      </c>
      <c r="M98" s="26">
        <f>SUM(M94:M97)</f>
        <v>3813.33333333333</v>
      </c>
      <c r="N98" s="26">
        <f>SUM(N94:N97)</f>
        <v>3813.33333333333</v>
      </c>
      <c r="O98" s="26">
        <f>SUM(O94:O97)</f>
        <v>41720</v>
      </c>
    </row>
    <row r="100">
      <c r="B100" s="8" t="inlineStr">
        <is>
          <t>2028</t>
        </is>
      </c>
      <c r="C100" s="25" t="n">
        <v>46753</v>
      </c>
      <c r="D100" s="25" t="n">
        <v>46784</v>
      </c>
      <c r="E100" s="25" t="n">
        <v>46813</v>
      </c>
      <c r="F100" s="25" t="n">
        <v>46844</v>
      </c>
      <c r="G100" s="25" t="n">
        <v>46874</v>
      </c>
      <c r="H100" s="25" t="n">
        <v>46905</v>
      </c>
      <c r="I100" s="25" t="n">
        <v>46935</v>
      </c>
      <c r="J100" s="25" t="n">
        <v>46966</v>
      </c>
      <c r="K100" s="25" t="n">
        <v>46997</v>
      </c>
      <c r="L100" s="25" t="n">
        <v>47027</v>
      </c>
      <c r="M100" s="25" t="n">
        <v>47058</v>
      </c>
      <c r="N100" s="25" t="n">
        <v>47088</v>
      </c>
      <c r="O100" s="9" t="inlineStr">
        <is>
          <t>합계</t>
        </is>
      </c>
    </row>
    <row r="101">
      <c r="B101" s="10" t="inlineStr">
        <is>
          <t>SK하이닉스</t>
        </is>
      </c>
      <c r="C101" s="27">
        <f>22720/12</f>
        <v>1893.33333333333</v>
      </c>
      <c r="D101" s="27">
        <f>22720/12</f>
        <v>1893.33333333333</v>
      </c>
      <c r="E101" s="27">
        <f>22720/12</f>
        <v>1893.33333333333</v>
      </c>
      <c r="F101" s="27">
        <f>22720/12</f>
        <v>1893.33333333333</v>
      </c>
      <c r="G101" s="27">
        <f>22720/12</f>
        <v>1893.33333333333</v>
      </c>
      <c r="H101" s="27">
        <f>22720/12</f>
        <v>1893.33333333333</v>
      </c>
      <c r="I101" s="27">
        <f>22720/12</f>
        <v>1893.33333333333</v>
      </c>
      <c r="J101" s="27">
        <f>22720/12</f>
        <v>1893.33333333333</v>
      </c>
      <c r="K101" s="27">
        <f>22720/12</f>
        <v>1893.33333333333</v>
      </c>
      <c r="L101" s="27">
        <f>22720/12</f>
        <v>1893.33333333333</v>
      </c>
      <c r="M101" s="27">
        <f>22720/12</f>
        <v>1893.33333333333</v>
      </c>
      <c r="N101" s="27">
        <f>22720/12</f>
        <v>1893.33333333333</v>
      </c>
      <c r="O101" s="21">
        <f>IF(COUNT(C101:N101)=0,"미제시",SUM(C101:N101))</f>
        <v>22720</v>
      </c>
    </row>
    <row r="102">
      <c r="B102" s="10" t="inlineStr">
        <is>
          <t>CXMT</t>
        </is>
      </c>
      <c r="C102" s="23" t="n">
        <v>780</v>
      </c>
      <c r="D102" s="23" t="n">
        <v>780</v>
      </c>
      <c r="E102" s="23" t="n">
        <v>780</v>
      </c>
      <c r="F102" s="23" t="n">
        <v>780</v>
      </c>
      <c r="G102" s="23" t="n">
        <v>780</v>
      </c>
      <c r="H102" s="23" t="n">
        <v>780</v>
      </c>
      <c r="I102" s="23" t="n">
        <v>780</v>
      </c>
      <c r="J102" s="23" t="n">
        <v>780</v>
      </c>
      <c r="K102" s="23" t="n">
        <v>780</v>
      </c>
      <c r="L102" s="23" t="n">
        <v>780</v>
      </c>
      <c r="M102" s="23" t="n">
        <v>780</v>
      </c>
      <c r="N102" s="23" t="n">
        <v>780</v>
      </c>
      <c r="O102" s="21">
        <f>IF(COUNT(C102:N102)=0,"미제시",SUM(C102:N102))</f>
        <v>9360</v>
      </c>
    </row>
    <row r="103">
      <c r="B103" s="10" t="inlineStr">
        <is>
          <t>이지켐</t>
        </is>
      </c>
      <c r="C103" s="23" t="n">
        <v>840</v>
      </c>
      <c r="D103" s="23" t="n">
        <v>840</v>
      </c>
      <c r="E103" s="23" t="n">
        <v>840</v>
      </c>
      <c r="F103" s="23" t="n">
        <v>840</v>
      </c>
      <c r="G103" s="23" t="n">
        <v>840</v>
      </c>
      <c r="H103" s="23" t="n">
        <v>840</v>
      </c>
      <c r="I103" s="23" t="n">
        <v>840</v>
      </c>
      <c r="J103" s="23" t="n">
        <v>840</v>
      </c>
      <c r="K103" s="23" t="n">
        <v>840</v>
      </c>
      <c r="L103" s="23" t="n">
        <v>840</v>
      </c>
      <c r="M103" s="23" t="n">
        <v>840</v>
      </c>
      <c r="N103" s="23" t="n">
        <v>840</v>
      </c>
      <c r="O103" s="21">
        <f>IF(COUNT(C103:N103)=0,"미제시",SUM(C103:N103))</f>
        <v>10080</v>
      </c>
    </row>
    <row r="104">
      <c r="B104" s="10" t="inlineStr">
        <is>
          <t>한솔</t>
        </is>
      </c>
      <c r="C104" s="23" t="n">
        <v>300</v>
      </c>
      <c r="D104" s="23" t="n">
        <v>300</v>
      </c>
      <c r="E104" s="23" t="n">
        <v>300</v>
      </c>
      <c r="F104" s="23" t="n">
        <v>300</v>
      </c>
      <c r="G104" s="23" t="n">
        <v>300</v>
      </c>
      <c r="H104" s="23" t="n">
        <v>300</v>
      </c>
      <c r="I104" s="23" t="n">
        <v>300</v>
      </c>
      <c r="J104" s="23" t="n">
        <v>300</v>
      </c>
      <c r="K104" s="23" t="n">
        <v>300</v>
      </c>
      <c r="L104" s="23" t="n">
        <v>300</v>
      </c>
      <c r="M104" s="23" t="n">
        <v>300</v>
      </c>
      <c r="N104" s="23" t="n">
        <v>300</v>
      </c>
      <c r="O104" s="21">
        <f>IF(COUNT(C104:N104)=0,"미제시",SUM(C104:N104))</f>
        <v>3600</v>
      </c>
    </row>
    <row r="105">
      <c r="B105" s="29" t="inlineStr">
        <is>
          <t>합계</t>
        </is>
      </c>
      <c r="C105" s="26">
        <f>SUM(C101:C104)</f>
        <v>3813.33333333333</v>
      </c>
      <c r="D105" s="26">
        <f>SUM(D101:D104)</f>
        <v>3813.33333333333</v>
      </c>
      <c r="E105" s="26">
        <f>SUM(E101:E104)</f>
        <v>3813.33333333333</v>
      </c>
      <c r="F105" s="26">
        <f>SUM(F101:F104)</f>
        <v>3813.33333333333</v>
      </c>
      <c r="G105" s="26">
        <f>SUM(G101:G104)</f>
        <v>3813.33333333333</v>
      </c>
      <c r="H105" s="26">
        <f>SUM(H101:H104)</f>
        <v>3813.33333333333</v>
      </c>
      <c r="I105" s="26">
        <f>SUM(I101:I104)</f>
        <v>3813.33333333333</v>
      </c>
      <c r="J105" s="26">
        <f>SUM(J101:J104)</f>
        <v>3813.33333333333</v>
      </c>
      <c r="K105" s="26">
        <f>SUM(K101:K104)</f>
        <v>3813.33333333333</v>
      </c>
      <c r="L105" s="26">
        <f>SUM(L101:L104)</f>
        <v>3813.33333333333</v>
      </c>
      <c r="M105" s="26">
        <f>SUM(M101:M104)</f>
        <v>3813.33333333333</v>
      </c>
      <c r="N105" s="26">
        <f>SUM(N101:N104)</f>
        <v>3813.33333333333</v>
      </c>
      <c r="O105" s="26">
        <f>SUM(O101:O104)</f>
        <v>45760</v>
      </c>
    </row>
    <row r="107">
      <c r="B107" s="18" t="inlineStr">
        <is>
          <t>2026 CXMT·한솔 미제시 칸은 0이 아니라 공란 · 하이닉스 22,720 ÷ 12 균등 · 이지켐 2027.7~ 840 kg/월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EB002C"/>
    <outlinePr summaryBelow="1" summaryRight="1"/>
    <pageSetUpPr/>
  </sheetPr>
  <dimension ref="B1:I23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40" customWidth="1" min="12" max="12"/>
  </cols>
  <sheetData>
    <row r="1">
      <c r="B1" s="1" t="inlineStr">
        <is>
          <t>02_공정시간 | 57 h 구성 · 경로별 단순 합계 · 시간 구분</t>
        </is>
      </c>
    </row>
    <row r="2">
      <c r="B2" s="2" t="inlineStr">
        <is>
          <t>PPT 1장 표. 단순 합계는 실제 달력 Lead Time이나 다음 Batch 투입 간격이 아닙니다.</t>
        </is>
      </c>
    </row>
    <row r="4" ht="20" customHeight="1">
      <c r="B4" s="7" t="inlineStr">
        <is>
          <t>① 57 h 구성 (IQC~FQC)</t>
        </is>
      </c>
    </row>
    <row r="5">
      <c r="B5" s="8" t="inlineStr">
        <is>
          <t>구분</t>
        </is>
      </c>
      <c r="C5" s="9" t="inlineStr">
        <is>
          <t>IQC</t>
        </is>
      </c>
      <c r="D5" s="9" t="inlineStr">
        <is>
          <t>준비·투입</t>
        </is>
      </c>
      <c r="E5" s="9" t="inlineStr">
        <is>
          <t>순수 정제</t>
        </is>
      </c>
      <c r="F5" s="9" t="inlineStr">
        <is>
          <t>PQC~이송</t>
        </is>
      </c>
      <c r="G5" s="9" t="inlineStr">
        <is>
          <t>FQC</t>
        </is>
      </c>
      <c r="H5" s="9" t="inlineStr">
        <is>
          <t>합계</t>
        </is>
      </c>
    </row>
    <row r="6">
      <c r="B6" s="10" t="inlineStr">
        <is>
          <t>시간 (h)</t>
        </is>
      </c>
      <c r="C6" s="17">
        <f>T_IQC</f>
        <v>2</v>
      </c>
      <c r="D6" s="17">
        <f>T_PREP</f>
        <v>2</v>
      </c>
      <c r="E6" s="13">
        <f>T_REF</f>
        <v>45</v>
      </c>
      <c r="F6" s="17">
        <f>T_PQC</f>
        <v>6</v>
      </c>
      <c r="G6" s="17">
        <f>T_FQC</f>
        <v>2</v>
      </c>
      <c r="H6" s="13">
        <f>SUM(C6:G6)</f>
        <v>57</v>
      </c>
    </row>
    <row r="7">
      <c r="B7" s="10" t="inlineStr">
        <is>
          <t>근거</t>
        </is>
      </c>
      <c r="C7" s="5" t="inlineStr">
        <is>
          <t>제공</t>
        </is>
      </c>
      <c r="D7" s="5" t="inlineStr">
        <is>
          <t>제공</t>
        </is>
      </c>
      <c r="E7" s="5" t="inlineStr">
        <is>
          <t>57 − 12 차감</t>
        </is>
      </c>
      <c r="F7" s="5" t="inlineStr">
        <is>
          <t>합계 6 h</t>
        </is>
      </c>
      <c r="G7" s="5" t="inlineStr">
        <is>
          <t>제공</t>
        </is>
      </c>
      <c r="H7" s="5" t="inlineStr">
        <is>
          <t>보고 기준</t>
        </is>
      </c>
    </row>
    <row r="9" ht="20" customHeight="1">
      <c r="B9" s="7" t="inlineStr">
        <is>
          <t>② 경로별 공정시간 단순 합계 (h)</t>
        </is>
      </c>
    </row>
    <row r="10">
      <c r="B10" s="8" t="inlineStr">
        <is>
          <t>경로</t>
        </is>
      </c>
      <c r="C10" s="9" t="inlineStr">
        <is>
          <t>IQC~FQC</t>
        </is>
      </c>
      <c r="D10" s="9" t="inlineStr">
        <is>
          <t>충진</t>
        </is>
      </c>
      <c r="E10" s="9" t="inlineStr">
        <is>
          <t>OQC·출하</t>
        </is>
      </c>
      <c r="F10" s="9" t="inlineStr">
        <is>
          <t>합계</t>
        </is>
      </c>
      <c r="G10" s="9" t="inlineStr">
        <is>
          <t>충진량 (kg)</t>
        </is>
      </c>
      <c r="H10" s="9" t="inlineStr">
        <is>
          <t>충진 기준</t>
        </is>
      </c>
    </row>
    <row r="11">
      <c r="B11" s="10" t="inlineStr">
        <is>
          <t>5 Gal 9병 (하이닉스·CXMT)</t>
        </is>
      </c>
      <c r="C11" s="17">
        <f>T_57</f>
        <v>57</v>
      </c>
      <c r="D11" s="17">
        <f>FILL_5G*BOT_B</f>
        <v>18</v>
      </c>
      <c r="E11" s="17">
        <f>OQC_5G</f>
        <v>2</v>
      </c>
      <c r="F11" s="13">
        <f>C11+D11+E11</f>
        <v>77</v>
      </c>
      <c r="G11" s="21">
        <f>BOT_B*KG_BOT</f>
        <v>180</v>
      </c>
      <c r="H11" s="5" t="inlineStr">
        <is>
          <t>2 h/병 × 9병</t>
        </is>
      </c>
    </row>
    <row r="12">
      <c r="B12" s="10" t="inlineStr">
        <is>
          <t>이지켐 200 L 1용기 (수동)</t>
        </is>
      </c>
      <c r="C12" s="17">
        <f>T_57</f>
        <v>57</v>
      </c>
      <c r="D12" s="17">
        <f>FILL_EZ</f>
        <v>8</v>
      </c>
      <c r="E12" s="17">
        <f>OQC_200</f>
        <v>2</v>
      </c>
      <c r="F12" s="13">
        <f>C12+D12+E12</f>
        <v>67</v>
      </c>
      <c r="G12" s="21">
        <f>KG_EZ</f>
        <v>140</v>
      </c>
      <c r="H12" s="5" t="inlineStr">
        <is>
          <t>8 h/용기</t>
        </is>
      </c>
    </row>
    <row r="13">
      <c r="B13" s="10" t="inlineStr">
        <is>
          <t>한솔 200 L 1용기 (수동)</t>
        </is>
      </c>
      <c r="C13" s="17">
        <f>T_57</f>
        <v>57</v>
      </c>
      <c r="D13" s="17">
        <f>FILL_HS</f>
        <v>8</v>
      </c>
      <c r="E13" s="17">
        <f>OQC_200</f>
        <v>2</v>
      </c>
      <c r="F13" s="13">
        <f>C13+D13+E13</f>
        <v>67</v>
      </c>
      <c r="G13" s="21">
        <f>KG_HS</f>
        <v>150</v>
      </c>
      <c r="H13" s="5" t="inlineStr">
        <is>
          <t>8 h/용기</t>
        </is>
      </c>
    </row>
    <row r="15" ht="20" customHeight="1">
      <c r="B15" s="7" t="inlineStr">
        <is>
          <t>③ 시간 구분 — Lead Time · 정제기 점유 · 충진 작업</t>
        </is>
      </c>
    </row>
    <row r="16">
      <c r="B16" s="8" t="inlineStr">
        <is>
          <t>항목</t>
        </is>
      </c>
      <c r="C16" s="9" t="inlineStr">
        <is>
          <t>값</t>
        </is>
      </c>
      <c r="D16" s="9" t="inlineStr">
        <is>
          <t>단위</t>
        </is>
      </c>
      <c r="E16" s="8" t="inlineStr">
        <is>
          <t>비고</t>
        </is>
      </c>
      <c r="F16" s="30" t="n"/>
      <c r="G16" s="30" t="n"/>
      <c r="H16" s="30" t="n"/>
      <c r="I16" s="31" t="n"/>
    </row>
    <row r="17">
      <c r="B17" s="10" t="inlineStr">
        <is>
          <t>정제기 점유 확인분 (준비·투입 + 순수 정제)</t>
        </is>
      </c>
      <c r="C17" s="32">
        <f>T_PREP+T_REF</f>
        <v>47</v>
      </c>
      <c r="D17" s="5" t="inlineStr">
        <is>
          <t>h</t>
        </is>
      </c>
      <c r="E17" s="18" t="inlineStr">
        <is>
          <t>추가 점유 (배출·세척·전환) 별도 확인</t>
        </is>
      </c>
    </row>
    <row r="18">
      <c r="B18" s="10" t="inlineStr">
        <is>
          <t>정제기 추가 점유</t>
        </is>
      </c>
      <c r="C18" s="32" t="str">
        <f>IF(ISNUMBER(OCC_ADD),OCC_ADD,"확인 필요")</f>
        <v>확인 필요</v>
      </c>
      <c r="D18" s="5" t="inlineStr">
        <is>
          <t>h</t>
        </is>
      </c>
      <c r="E18" s="18" t="inlineStr">
        <is>
          <t>01_입력 B</t>
        </is>
      </c>
    </row>
    <row r="19">
      <c r="B19" s="10" t="inlineStr">
        <is>
          <t>다음 Batch 투입 간격 (실측)</t>
        </is>
      </c>
      <c r="C19" s="32" t="str">
        <f>IF(ISNUMBER(INT_NEXT),INT_NEXT,"확인 필요")</f>
        <v>확인 필요</v>
      </c>
      <c r="D19" s="5" t="inlineStr">
        <is>
          <t>h</t>
        </is>
      </c>
      <c r="E19" s="18" t="inlineStr">
        <is>
          <t>과거 최대 11 Batch 기준 720 ÷ 11 = 65.5 h</t>
        </is>
      </c>
    </row>
    <row r="20">
      <c r="B20" s="10" t="inlineStr">
        <is>
          <t>검사·승인 대기</t>
        </is>
      </c>
      <c r="C20" s="32" t="str">
        <f>IF(ISNUMBER(T_WAIT),T_WAIT,"확인 필요")</f>
        <v>확인 필요</v>
      </c>
      <c r="D20" s="5" t="inlineStr">
        <is>
          <t>h</t>
        </is>
      </c>
      <c r="E20" s="18" t="inlineStr"/>
    </row>
    <row r="21">
      <c r="B21" s="10" t="inlineStr">
        <is>
          <t>5 Gal 9병 충진 작업</t>
        </is>
      </c>
      <c r="C21" s="32">
        <f>FILL_5G*BOT_B</f>
        <v>18</v>
      </c>
      <c r="D21" s="5" t="inlineStr">
        <is>
          <t>h</t>
        </is>
      </c>
      <c r="E21" s="18" t="inlineStr">
        <is>
          <t>실제 작업시간</t>
        </is>
      </c>
    </row>
    <row r="22">
      <c r="B22" s="10" t="inlineStr">
        <is>
          <t>5 Gal 9병 충진 경과 (근무시간 반영)</t>
        </is>
      </c>
      <c r="C22" s="32">
        <f>FILL_5G*BOT_B/WH_DAY</f>
        <v>2.25</v>
      </c>
      <c r="D22" s="5" t="inlineStr">
        <is>
          <t>근무일</t>
        </is>
      </c>
      <c r="E22" s="18" t="inlineStr">
        <is>
          <t>현장 설명 약 2일 · 교대·연장근무 조건 확인</t>
        </is>
      </c>
    </row>
    <row r="23">
      <c r="B23" s="10" t="inlineStr">
        <is>
          <t>190 kg − 5 Gal 9병 180 kg</t>
        </is>
      </c>
      <c r="C23" s="32">
        <f>KG_B-BOT_B*KG_BOT</f>
        <v>10</v>
      </c>
      <c r="D23" s="5" t="inlineStr">
        <is>
          <t>kg</t>
        </is>
      </c>
      <c r="E23" s="18" t="inlineStr">
        <is>
          <t>잔량·추가 충진·다른 고객 배분 확인 (손실 처리 안 함)</t>
        </is>
      </c>
    </row>
  </sheetData>
  <mergeCells count="8">
    <mergeCell ref="E21:I21"/>
    <mergeCell ref="E20:I20"/>
    <mergeCell ref="E16:I16"/>
    <mergeCell ref="E19:I19"/>
    <mergeCell ref="E23:I23"/>
    <mergeCell ref="E22:I22"/>
    <mergeCell ref="E17:I17"/>
    <mergeCell ref="E18:I1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B002C"/>
    <outlinePr summaryBelow="1" summaryRight="1"/>
    <pageSetUpPr/>
  </sheetPr>
  <dimension ref="B1:H47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B1" s="1" t="inlineStr">
        <is>
          <t>03_한달운전 | 30일(720 h) 운전 예시 · 월 생산량 비교</t>
        </is>
      </c>
    </row>
    <row r="2">
      <c r="B2" s="2" t="inlineStr">
        <is>
          <t>PPT 2장(현재 1대) · 4장(정제기 2대) 표와 Gantt 기준.</t>
        </is>
      </c>
    </row>
    <row r="4" ht="20" customHeight="1">
      <c r="B4" s="7" t="inlineStr">
        <is>
          <t>① 현재 정제기 1대 — 과거 최대 월 11 Batch 기준</t>
        </is>
      </c>
    </row>
    <row r="5">
      <c r="B5" s="10" t="inlineStr">
        <is>
          <t>투입 간격 (720 ÷ 11)</t>
        </is>
      </c>
      <c r="C5" s="13">
        <f>MH/MAX_B</f>
        <v>65.4545454545455</v>
      </c>
    </row>
    <row r="6">
      <c r="B6" s="9" t="inlineStr">
        <is>
          <t>순번 (−1 = 전월 투입)</t>
        </is>
      </c>
      <c r="C6" s="9" t="inlineStr">
        <is>
          <t>IQC 시작 (h)</t>
        </is>
      </c>
      <c r="D6" s="9" t="inlineStr">
        <is>
          <t>정제 종료 (h)</t>
        </is>
      </c>
      <c r="E6" s="9" t="inlineStr">
        <is>
          <t>FQC 종료 (h)</t>
        </is>
      </c>
      <c r="F6" s="9" t="inlineStr">
        <is>
          <t>이 달 완료</t>
        </is>
      </c>
      <c r="G6" s="9" t="inlineStr">
        <is>
          <t>누적 kg</t>
        </is>
      </c>
    </row>
    <row r="7">
      <c r="B7" s="33" t="n">
        <v>-1</v>
      </c>
      <c r="C7" s="17">
        <f>B7*INT_ASIS</f>
        <v>-65.4545454545455</v>
      </c>
      <c r="D7" s="17">
        <f>C7+T_IQC+T_PREP+T_REF</f>
        <v>-16.4545454545455</v>
      </c>
      <c r="E7" s="17">
        <f>C7+T_57</f>
        <v>-8.45454545454545</v>
      </c>
      <c r="F7" s="33">
        <f>IF(AND(E7&gt;=0,E7&lt;MH),1,0)</f>
        <v>0</v>
      </c>
      <c r="G7" s="21">
        <f>SUM($F$7:F7)*KG_B</f>
        <v>0</v>
      </c>
    </row>
    <row r="8">
      <c r="B8" s="33" t="n">
        <v>0</v>
      </c>
      <c r="C8" s="17">
        <f>B8*INT_ASIS</f>
        <v>0</v>
      </c>
      <c r="D8" s="17">
        <f>C8+T_IQC+T_PREP+T_REF</f>
        <v>49</v>
      </c>
      <c r="E8" s="17">
        <f>C8+T_57</f>
        <v>57</v>
      </c>
      <c r="F8" s="33">
        <f>IF(AND(E8&gt;=0,E8&lt;MH),1,0)</f>
        <v>1</v>
      </c>
      <c r="G8" s="21">
        <f>SUM($F$7:F8)*KG_B</f>
        <v>190</v>
      </c>
    </row>
    <row r="9">
      <c r="B9" s="33" t="n">
        <v>1</v>
      </c>
      <c r="C9" s="17">
        <f>B9*INT_ASIS</f>
        <v>65.4545454545455</v>
      </c>
      <c r="D9" s="17">
        <f>C9+T_IQC+T_PREP+T_REF</f>
        <v>114.454545454545</v>
      </c>
      <c r="E9" s="17">
        <f>C9+T_57</f>
        <v>122.454545454545</v>
      </c>
      <c r="F9" s="33">
        <f>IF(AND(E9&gt;=0,E9&lt;MH),1,0)</f>
        <v>1</v>
      </c>
      <c r="G9" s="21">
        <f>SUM($F$7:F9)*KG_B</f>
        <v>380</v>
      </c>
    </row>
    <row r="10">
      <c r="B10" s="33" t="n">
        <v>2</v>
      </c>
      <c r="C10" s="17">
        <f>B10*INT_ASIS</f>
        <v>130.909090909091</v>
      </c>
      <c r="D10" s="17">
        <f>C10+T_IQC+T_PREP+T_REF</f>
        <v>179.909090909091</v>
      </c>
      <c r="E10" s="17">
        <f>C10+T_57</f>
        <v>187.909090909091</v>
      </c>
      <c r="F10" s="33">
        <f>IF(AND(E10&gt;=0,E10&lt;MH),1,0)</f>
        <v>1</v>
      </c>
      <c r="G10" s="21">
        <f>SUM($F$7:F10)*KG_B</f>
        <v>570</v>
      </c>
    </row>
    <row r="11">
      <c r="B11" s="33" t="n">
        <v>3</v>
      </c>
      <c r="C11" s="17">
        <f>B11*INT_ASIS</f>
        <v>196.363636363636</v>
      </c>
      <c r="D11" s="17">
        <f>C11+T_IQC+T_PREP+T_REF</f>
        <v>245.363636363636</v>
      </c>
      <c r="E11" s="17">
        <f>C11+T_57</f>
        <v>253.363636363636</v>
      </c>
      <c r="F11" s="33">
        <f>IF(AND(E11&gt;=0,E11&lt;MH),1,0)</f>
        <v>1</v>
      </c>
      <c r="G11" s="21">
        <f>SUM($F$7:F11)*KG_B</f>
        <v>760</v>
      </c>
    </row>
    <row r="12">
      <c r="B12" s="33" t="n">
        <v>4</v>
      </c>
      <c r="C12" s="17">
        <f>B12*INT_ASIS</f>
        <v>261.818181818182</v>
      </c>
      <c r="D12" s="17">
        <f>C12+T_IQC+T_PREP+T_REF</f>
        <v>310.818181818182</v>
      </c>
      <c r="E12" s="17">
        <f>C12+T_57</f>
        <v>318.818181818182</v>
      </c>
      <c r="F12" s="33">
        <f>IF(AND(E12&gt;=0,E12&lt;MH),1,0)</f>
        <v>1</v>
      </c>
      <c r="G12" s="21">
        <f>SUM($F$7:F12)*KG_B</f>
        <v>950</v>
      </c>
    </row>
    <row r="13">
      <c r="B13" s="33" t="n">
        <v>5</v>
      </c>
      <c r="C13" s="17">
        <f>B13*INT_ASIS</f>
        <v>327.272727272727</v>
      </c>
      <c r="D13" s="17">
        <f>C13+T_IQC+T_PREP+T_REF</f>
        <v>376.272727272727</v>
      </c>
      <c r="E13" s="17">
        <f>C13+T_57</f>
        <v>384.272727272727</v>
      </c>
      <c r="F13" s="33">
        <f>IF(AND(E13&gt;=0,E13&lt;MH),1,0)</f>
        <v>1</v>
      </c>
      <c r="G13" s="21">
        <f>SUM($F$7:F13)*KG_B</f>
        <v>1140</v>
      </c>
    </row>
    <row r="14">
      <c r="B14" s="33" t="n">
        <v>6</v>
      </c>
      <c r="C14" s="17">
        <f>B14*INT_ASIS</f>
        <v>392.727272727273</v>
      </c>
      <c r="D14" s="17">
        <f>C14+T_IQC+T_PREP+T_REF</f>
        <v>441.727272727273</v>
      </c>
      <c r="E14" s="17">
        <f>C14+T_57</f>
        <v>449.727272727273</v>
      </c>
      <c r="F14" s="33">
        <f>IF(AND(E14&gt;=0,E14&lt;MH),1,0)</f>
        <v>1</v>
      </c>
      <c r="G14" s="21">
        <f>SUM($F$7:F14)*KG_B</f>
        <v>1330</v>
      </c>
    </row>
    <row r="15">
      <c r="B15" s="33" t="n">
        <v>7</v>
      </c>
      <c r="C15" s="17">
        <f>B15*INT_ASIS</f>
        <v>458.181818181818</v>
      </c>
      <c r="D15" s="17">
        <f>C15+T_IQC+T_PREP+T_REF</f>
        <v>507.181818181818</v>
      </c>
      <c r="E15" s="17">
        <f>C15+T_57</f>
        <v>515.181818181818</v>
      </c>
      <c r="F15" s="33">
        <f>IF(AND(E15&gt;=0,E15&lt;MH),1,0)</f>
        <v>1</v>
      </c>
      <c r="G15" s="21">
        <f>SUM($F$7:F15)*KG_B</f>
        <v>1520</v>
      </c>
    </row>
    <row r="16">
      <c r="B16" s="33" t="n">
        <v>8</v>
      </c>
      <c r="C16" s="17">
        <f>B16*INT_ASIS</f>
        <v>523.636363636364</v>
      </c>
      <c r="D16" s="17">
        <f>C16+T_IQC+T_PREP+T_REF</f>
        <v>572.636363636364</v>
      </c>
      <c r="E16" s="17">
        <f>C16+T_57</f>
        <v>580.636363636364</v>
      </c>
      <c r="F16" s="33">
        <f>IF(AND(E16&gt;=0,E16&lt;MH),1,0)</f>
        <v>1</v>
      </c>
      <c r="G16" s="21">
        <f>SUM($F$7:F16)*KG_B</f>
        <v>1710</v>
      </c>
    </row>
    <row r="17">
      <c r="B17" s="33" t="n">
        <v>9</v>
      </c>
      <c r="C17" s="17">
        <f>B17*INT_ASIS</f>
        <v>589.090909090909</v>
      </c>
      <c r="D17" s="17">
        <f>C17+T_IQC+T_PREP+T_REF</f>
        <v>638.090909090909</v>
      </c>
      <c r="E17" s="17">
        <f>C17+T_57</f>
        <v>646.090909090909</v>
      </c>
      <c r="F17" s="33">
        <f>IF(AND(E17&gt;=0,E17&lt;MH),1,0)</f>
        <v>1</v>
      </c>
      <c r="G17" s="21">
        <f>SUM($F$7:F17)*KG_B</f>
        <v>1900</v>
      </c>
    </row>
    <row r="18">
      <c r="B18" s="33" t="n">
        <v>10</v>
      </c>
      <c r="C18" s="17">
        <f>B18*INT_ASIS</f>
        <v>654.545454545455</v>
      </c>
      <c r="D18" s="17">
        <f>C18+T_IQC+T_PREP+T_REF</f>
        <v>703.545454545455</v>
      </c>
      <c r="E18" s="17">
        <f>C18+T_57</f>
        <v>711.545454545455</v>
      </c>
      <c r="F18" s="33">
        <f>IF(AND(E18&gt;=0,E18&lt;MH),1,0)</f>
        <v>1</v>
      </c>
      <c r="G18" s="21">
        <f>SUM($F$7:F18)*KG_B</f>
        <v>2090</v>
      </c>
    </row>
    <row r="19">
      <c r="B19" s="29" t="inlineStr">
        <is>
          <t>월 완료 Batch / kg</t>
        </is>
      </c>
      <c r="C19" s="34">
        <f>SUM(F7:F18)</f>
        <v>11</v>
      </c>
      <c r="D19" s="26">
        <f>C19*KG_B</f>
        <v>2090</v>
      </c>
    </row>
    <row r="21" ht="20" customHeight="1">
      <c r="B21" s="7" t="inlineStr">
        <is>
          <t>② 정제기 2대 — 투입 시점을 엇갈려 병행 운전 (Capa. 47.2톤 기준)</t>
        </is>
      </c>
    </row>
    <row r="22">
      <c r="B22" s="10" t="inlineStr">
        <is>
          <t>설비별 투입 간격 (월 Capa. 역산)</t>
        </is>
      </c>
      <c r="C22" s="13">
        <f>IF(ISNUMBER(INT_NEXT),INT_NEXT,N_NEW*(8760/12)/(CAPA_M/KG_B))</f>
        <v>64.6483050847458</v>
      </c>
      <c r="D22" s="18" t="inlineStr">
        <is>
          <t>2대 × 평균 월 730 h ÷ (월 Capa. ÷ 190)</t>
        </is>
      </c>
    </row>
    <row r="23">
      <c r="B23" s="10" t="inlineStr">
        <is>
          <t>정제기 2 투입 시차 (가정)</t>
        </is>
      </c>
      <c r="C23" s="17">
        <f>OFFSET_H</f>
        <v>30</v>
      </c>
    </row>
    <row r="24">
      <c r="B24" s="9" t="inlineStr">
        <is>
          <t>순번 (−1 = 전월 투입)</t>
        </is>
      </c>
      <c r="C24" s="9" t="inlineStr">
        <is>
          <t>정제기 1 시작</t>
        </is>
      </c>
      <c r="D24" s="9" t="inlineStr">
        <is>
          <t>FQC 종료</t>
        </is>
      </c>
      <c r="E24" s="9" t="inlineStr">
        <is>
          <t>이 달 완료</t>
        </is>
      </c>
      <c r="F24" s="9" t="inlineStr">
        <is>
          <t>정제기 2 시작</t>
        </is>
      </c>
      <c r="G24" s="9" t="inlineStr">
        <is>
          <t>FQC 종료</t>
        </is>
      </c>
      <c r="H24" s="9" t="inlineStr">
        <is>
          <t>이 달 완료</t>
        </is>
      </c>
    </row>
    <row r="25">
      <c r="B25" s="33" t="n">
        <v>-1</v>
      </c>
      <c r="C25" s="17">
        <f>B25*INT_RF</f>
        <v>-64.6483050847458</v>
      </c>
      <c r="D25" s="17">
        <f>C25+T_57</f>
        <v>-7.64830508474577</v>
      </c>
      <c r="E25" s="33">
        <f>IF(AND(D25&gt;=0,D25&lt;MH),1,0)</f>
        <v>0</v>
      </c>
      <c r="F25" s="17">
        <f>OFFSET_H+B25*INT_RF</f>
        <v>-34.6483050847458</v>
      </c>
      <c r="G25" s="17">
        <f>F25+T_57</f>
        <v>22.3516949152542</v>
      </c>
      <c r="H25" s="33">
        <f>IF(AND(G25&gt;=0,G25&lt;MH),1,0)</f>
        <v>1</v>
      </c>
    </row>
    <row r="26">
      <c r="B26" s="33" t="n">
        <v>0</v>
      </c>
      <c r="C26" s="17">
        <f>B26*INT_RF</f>
        <v>0</v>
      </c>
      <c r="D26" s="17">
        <f>C26+T_57</f>
        <v>57</v>
      </c>
      <c r="E26" s="33">
        <f>IF(AND(D26&gt;=0,D26&lt;MH),1,0)</f>
        <v>1</v>
      </c>
      <c r="F26" s="17">
        <f>OFFSET_H+B26*INT_RF</f>
        <v>30</v>
      </c>
      <c r="G26" s="17">
        <f>F26+T_57</f>
        <v>87</v>
      </c>
      <c r="H26" s="33">
        <f>IF(AND(G26&gt;=0,G26&lt;MH),1,0)</f>
        <v>1</v>
      </c>
    </row>
    <row r="27">
      <c r="B27" s="33" t="n">
        <v>1</v>
      </c>
      <c r="C27" s="17">
        <f>B27*INT_RF</f>
        <v>64.6483050847458</v>
      </c>
      <c r="D27" s="17">
        <f>C27+T_57</f>
        <v>121.648305084746</v>
      </c>
      <c r="E27" s="33">
        <f>IF(AND(D27&gt;=0,D27&lt;MH),1,0)</f>
        <v>1</v>
      </c>
      <c r="F27" s="17">
        <f>OFFSET_H+B27*INT_RF</f>
        <v>94.6483050847458</v>
      </c>
      <c r="G27" s="17">
        <f>F27+T_57</f>
        <v>151.648305084746</v>
      </c>
      <c r="H27" s="33">
        <f>IF(AND(G27&gt;=0,G27&lt;MH),1,0)</f>
        <v>1</v>
      </c>
    </row>
    <row r="28">
      <c r="B28" s="33" t="n">
        <v>2</v>
      </c>
      <c r="C28" s="17">
        <f>B28*INT_RF</f>
        <v>129.296610169492</v>
      </c>
      <c r="D28" s="17">
        <f>C28+T_57</f>
        <v>186.296610169492</v>
      </c>
      <c r="E28" s="33">
        <f>IF(AND(D28&gt;=0,D28&lt;MH),1,0)</f>
        <v>1</v>
      </c>
      <c r="F28" s="17">
        <f>OFFSET_H+B28*INT_RF</f>
        <v>159.296610169492</v>
      </c>
      <c r="G28" s="17">
        <f>F28+T_57</f>
        <v>216.296610169492</v>
      </c>
      <c r="H28" s="33">
        <f>IF(AND(G28&gt;=0,G28&lt;MH),1,0)</f>
        <v>1</v>
      </c>
    </row>
    <row r="29">
      <c r="B29" s="33" t="n">
        <v>3</v>
      </c>
      <c r="C29" s="17">
        <f>B29*INT_RF</f>
        <v>193.944915254237</v>
      </c>
      <c r="D29" s="17">
        <f>C29+T_57</f>
        <v>250.944915254237</v>
      </c>
      <c r="E29" s="33">
        <f>IF(AND(D29&gt;=0,D29&lt;MH),1,0)</f>
        <v>1</v>
      </c>
      <c r="F29" s="17">
        <f>OFFSET_H+B29*INT_RF</f>
        <v>223.944915254237</v>
      </c>
      <c r="G29" s="17">
        <f>F29+T_57</f>
        <v>280.944915254237</v>
      </c>
      <c r="H29" s="33">
        <f>IF(AND(G29&gt;=0,G29&lt;MH),1,0)</f>
        <v>1</v>
      </c>
    </row>
    <row r="30">
      <c r="B30" s="33" t="n">
        <v>4</v>
      </c>
      <c r="C30" s="17">
        <f>B30*INT_RF</f>
        <v>258.593220338983</v>
      </c>
      <c r="D30" s="17">
        <f>C30+T_57</f>
        <v>315.593220338983</v>
      </c>
      <c r="E30" s="33">
        <f>IF(AND(D30&gt;=0,D30&lt;MH),1,0)</f>
        <v>1</v>
      </c>
      <c r="F30" s="17">
        <f>OFFSET_H+B30*INT_RF</f>
        <v>288.593220338983</v>
      </c>
      <c r="G30" s="17">
        <f>F30+T_57</f>
        <v>345.593220338983</v>
      </c>
      <c r="H30" s="33">
        <f>IF(AND(G30&gt;=0,G30&lt;MH),1,0)</f>
        <v>1</v>
      </c>
    </row>
    <row r="31">
      <c r="B31" s="33" t="n">
        <v>5</v>
      </c>
      <c r="C31" s="17">
        <f>B31*INT_RF</f>
        <v>323.241525423729</v>
      </c>
      <c r="D31" s="17">
        <f>C31+T_57</f>
        <v>380.241525423729</v>
      </c>
      <c r="E31" s="33">
        <f>IF(AND(D31&gt;=0,D31&lt;MH),1,0)</f>
        <v>1</v>
      </c>
      <c r="F31" s="17">
        <f>OFFSET_H+B31*INT_RF</f>
        <v>353.241525423729</v>
      </c>
      <c r="G31" s="17">
        <f>F31+T_57</f>
        <v>410.241525423729</v>
      </c>
      <c r="H31" s="33">
        <f>IF(AND(G31&gt;=0,G31&lt;MH),1,0)</f>
        <v>1</v>
      </c>
    </row>
    <row r="32">
      <c r="B32" s="33" t="n">
        <v>6</v>
      </c>
      <c r="C32" s="17">
        <f>B32*INT_RF</f>
        <v>387.889830508475</v>
      </c>
      <c r="D32" s="17">
        <f>C32+T_57</f>
        <v>444.889830508475</v>
      </c>
      <c r="E32" s="33">
        <f>IF(AND(D32&gt;=0,D32&lt;MH),1,0)</f>
        <v>1</v>
      </c>
      <c r="F32" s="17">
        <f>OFFSET_H+B32*INT_RF</f>
        <v>417.889830508475</v>
      </c>
      <c r="G32" s="17">
        <f>F32+T_57</f>
        <v>474.889830508475</v>
      </c>
      <c r="H32" s="33">
        <f>IF(AND(G32&gt;=0,G32&lt;MH),1,0)</f>
        <v>1</v>
      </c>
    </row>
    <row r="33">
      <c r="B33" s="33" t="n">
        <v>7</v>
      </c>
      <c r="C33" s="17">
        <f>B33*INT_RF</f>
        <v>452.53813559322</v>
      </c>
      <c r="D33" s="17">
        <f>C33+T_57</f>
        <v>509.53813559322</v>
      </c>
      <c r="E33" s="33">
        <f>IF(AND(D33&gt;=0,D33&lt;MH),1,0)</f>
        <v>1</v>
      </c>
      <c r="F33" s="17">
        <f>OFFSET_H+B33*INT_RF</f>
        <v>482.53813559322</v>
      </c>
      <c r="G33" s="17">
        <f>F33+T_57</f>
        <v>539.53813559322</v>
      </c>
      <c r="H33" s="33">
        <f>IF(AND(G33&gt;=0,G33&lt;MH),1,0)</f>
        <v>1</v>
      </c>
    </row>
    <row r="34">
      <c r="B34" s="33" t="n">
        <v>8</v>
      </c>
      <c r="C34" s="17">
        <f>B34*INT_RF</f>
        <v>517.186440677966</v>
      </c>
      <c r="D34" s="17">
        <f>C34+T_57</f>
        <v>574.186440677966</v>
      </c>
      <c r="E34" s="33">
        <f>IF(AND(D34&gt;=0,D34&lt;MH),1,0)</f>
        <v>1</v>
      </c>
      <c r="F34" s="17">
        <f>OFFSET_H+B34*INT_RF</f>
        <v>547.186440677966</v>
      </c>
      <c r="G34" s="17">
        <f>F34+T_57</f>
        <v>604.186440677966</v>
      </c>
      <c r="H34" s="33">
        <f>IF(AND(G34&gt;=0,G34&lt;MH),1,0)</f>
        <v>1</v>
      </c>
    </row>
    <row r="35">
      <c r="B35" s="33" t="n">
        <v>9</v>
      </c>
      <c r="C35" s="17">
        <f>B35*INT_RF</f>
        <v>581.834745762712</v>
      </c>
      <c r="D35" s="17">
        <f>C35+T_57</f>
        <v>638.834745762712</v>
      </c>
      <c r="E35" s="33">
        <f>IF(AND(D35&gt;=0,D35&lt;MH),1,0)</f>
        <v>1</v>
      </c>
      <c r="F35" s="17">
        <f>OFFSET_H+B35*INT_RF</f>
        <v>611.834745762712</v>
      </c>
      <c r="G35" s="17">
        <f>F35+T_57</f>
        <v>668.834745762712</v>
      </c>
      <c r="H35" s="33">
        <f>IF(AND(G35&gt;=0,G35&lt;MH),1,0)</f>
        <v>1</v>
      </c>
    </row>
    <row r="36">
      <c r="B36" s="33" t="n">
        <v>10</v>
      </c>
      <c r="C36" s="17">
        <f>B36*INT_RF</f>
        <v>646.483050847458</v>
      </c>
      <c r="D36" s="17">
        <f>C36+T_57</f>
        <v>703.483050847458</v>
      </c>
      <c r="E36" s="33">
        <f>IF(AND(D36&gt;=0,D36&lt;MH),1,0)</f>
        <v>1</v>
      </c>
      <c r="F36" s="17">
        <f>OFFSET_H+B36*INT_RF</f>
        <v>676.483050847458</v>
      </c>
      <c r="G36" s="17">
        <f>F36+T_57</f>
        <v>733.483050847458</v>
      </c>
      <c r="H36" s="33">
        <f>IF(AND(G36&gt;=0,G36&lt;MH),1,0)</f>
        <v>0</v>
      </c>
    </row>
    <row r="37">
      <c r="B37" s="29" t="inlineStr">
        <is>
          <t>30일 완료 Batch / kg</t>
        </is>
      </c>
      <c r="C37" s="34">
        <f>SUM(E25:E36)+SUM(H25:H36)</f>
        <v>22</v>
      </c>
      <c r="D37" s="26">
        <f>C37*KG_B</f>
        <v>4180</v>
      </c>
    </row>
    <row r="38">
      <c r="B38" s="10" t="inlineStr">
        <is>
          <t>월 Batch 상당 (월 Capa. ÷ 190)</t>
        </is>
      </c>
      <c r="C38" s="35">
        <f>CAPA_M/KG_B</f>
        <v>22.5837320574163</v>
      </c>
    </row>
    <row r="40" ht="20" customHeight="1">
      <c r="B40" s="7" t="inlineStr">
        <is>
          <t>③ 월 생산량 비교</t>
        </is>
      </c>
    </row>
    <row r="41">
      <c r="B41" s="8" t="inlineStr">
        <is>
          <t>기준</t>
        </is>
      </c>
      <c r="C41" s="9" t="inlineStr">
        <is>
          <t>정제기</t>
        </is>
      </c>
      <c r="D41" s="9" t="inlineStr">
        <is>
          <t>Batch/월</t>
        </is>
      </c>
      <c r="E41" s="9" t="inlineStr">
        <is>
          <t>kg/월</t>
        </is>
      </c>
      <c r="F41" s="9" t="inlineStr">
        <is>
          <t>연간 (t)</t>
        </is>
      </c>
      <c r="G41" s="9" t="inlineStr">
        <is>
          <t>설비별 간격 (h)</t>
        </is>
      </c>
      <c r="H41" s="8" t="inlineStr">
        <is>
          <t>산식</t>
        </is>
      </c>
    </row>
    <row r="42">
      <c r="B42" s="10" t="inlineStr">
        <is>
          <t>이론 (순수 정제 45 h만)</t>
        </is>
      </c>
      <c r="C42" s="33">
        <f>N_NOW</f>
        <v>1</v>
      </c>
      <c r="D42" s="32">
        <f>INT(MH/T_REF)</f>
        <v>16</v>
      </c>
      <c r="E42" s="26">
        <f>D42*KG_B</f>
        <v>3040</v>
      </c>
      <c r="F42" s="36">
        <f>E42*12/1000</f>
        <v>36.48</v>
      </c>
      <c r="G42" s="17">
        <f>T_REF</f>
        <v>45</v>
      </c>
      <c r="H42" s="12" t="inlineStr">
        <is>
          <t>720 ÷ 45 · 점유·전환·보수 제외</t>
        </is>
      </c>
    </row>
    <row r="43">
      <c r="B43" s="10" t="inlineStr">
        <is>
          <t>과거 최대</t>
        </is>
      </c>
      <c r="C43" s="33">
        <f>N_NOW</f>
        <v>1</v>
      </c>
      <c r="D43" s="32">
        <f>MAX_B</f>
        <v>11</v>
      </c>
      <c r="E43" s="26">
        <f>D43*KG_B</f>
        <v>2090</v>
      </c>
      <c r="F43" s="36">
        <f>E43*12/1000</f>
        <v>25.08</v>
      </c>
      <c r="G43" s="17">
        <f>MH/MAX_B</f>
        <v>65.4545454545455</v>
      </c>
      <c r="H43" s="12" t="inlineStr">
        <is>
          <t>11 × 45 = 495 h + 225 h</t>
        </is>
      </c>
    </row>
    <row r="44">
      <c r="B44" s="10" t="inlineStr">
        <is>
          <t>현재 Capa. 26.2톤</t>
        </is>
      </c>
      <c r="C44" s="33">
        <f>N_NOW</f>
        <v>1</v>
      </c>
      <c r="D44" s="32">
        <f>E44/KG_B</f>
        <v>11.4912280701754</v>
      </c>
      <c r="E44" s="26">
        <f>CAPA_NOW*1000/12</f>
        <v>2183.33333333333</v>
      </c>
      <c r="F44" s="36">
        <f>CAPA_NOW</f>
        <v>26.2</v>
      </c>
      <c r="G44" s="17">
        <f>8760/(CAPA_NOW*1000/KG_B)</f>
        <v>63.5267175572519</v>
      </c>
      <c r="H44" s="12" t="inlineStr">
        <is>
          <t>26,200 ÷ 190 = 137.9 Batch</t>
        </is>
      </c>
    </row>
    <row r="45">
      <c r="B45" s="10" t="inlineStr">
        <is>
          <t>기존 생산계획 ('27.5~)</t>
        </is>
      </c>
      <c r="C45" s="33">
        <f>N_NEW</f>
        <v>2</v>
      </c>
      <c r="D45" s="32">
        <f>E45/KG_B</f>
        <v>18.7578947368421</v>
      </c>
      <c r="E45" s="26">
        <f>'01_입력'!$G$80</f>
        <v>3564</v>
      </c>
      <c r="F45" s="36" t="inlineStr">
        <is>
          <t>-</t>
        </is>
      </c>
      <c r="G45" s="17">
        <f>N_NEW*730/D45</f>
        <v>77.8338945005612</v>
      </c>
      <c r="H45" s="12" t="inlineStr">
        <is>
          <t>2027년 5~12월 월 생산</t>
        </is>
      </c>
    </row>
    <row r="46">
      <c r="B46" s="10" t="inlineStr">
        <is>
          <t>Capa. 47.2톤 기준</t>
        </is>
      </c>
      <c r="C46" s="33">
        <f>N_NEW</f>
        <v>2</v>
      </c>
      <c r="D46" s="32">
        <f>E46/KG_B</f>
        <v>22.5837320574163</v>
      </c>
      <c r="E46" s="26">
        <f>CAPA_M</f>
        <v>4290.90909090909</v>
      </c>
      <c r="F46" s="36">
        <f>CAPA_RF</f>
        <v>47.2</v>
      </c>
      <c r="G46" s="17">
        <f>N_NEW*730/D46</f>
        <v>64.6483050847458</v>
      </c>
      <c r="H46" s="12" t="inlineStr">
        <is>
          <t>47,200 ÷ 11 (대정비 월 별도)</t>
        </is>
      </c>
    </row>
    <row r="47">
      <c r="B47" s="10" t="inlineStr">
        <is>
          <t>2028 105℃ 50.2톤 기준</t>
        </is>
      </c>
      <c r="C47" s="33">
        <f>N_NEW</f>
        <v>2</v>
      </c>
      <c r="D47" s="32">
        <f>E47/KG_B</f>
        <v>24.0191387559809</v>
      </c>
      <c r="E47" s="26">
        <f>CAPA_M105</f>
        <v>4563.63636363636</v>
      </c>
      <c r="F47" s="36">
        <f>CAPA_105</f>
        <v>50.2</v>
      </c>
      <c r="G47" s="17">
        <f>N_NEW*730/D47</f>
        <v>60.7848605577689</v>
      </c>
      <c r="H47" s="12" t="inlineStr">
        <is>
          <t>50,200 ÷ 11 (대정비 월 별도)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B002C"/>
    <outlinePr summaryBelow="1" summaryRight="1"/>
    <pageSetUpPr/>
  </sheetPr>
  <dimension ref="B1:O26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B1" s="1" t="inlineStr">
        <is>
          <t>04_Capa기준 | 연간 Capa. → 월 기준 · 운영 일정 · 2026 출하</t>
        </is>
      </c>
    </row>
    <row r="2">
      <c r="B2" s="2" t="inlineStr">
        <is>
          <t>대정비 월이 있으므로 개선 후 월 Capa.는 (연간 − 대정비 월 생산) ÷ 11.</t>
        </is>
      </c>
    </row>
    <row r="4" ht="20" customHeight="1">
      <c r="B4" s="7" t="inlineStr">
        <is>
          <t>① Capa. 기준</t>
        </is>
      </c>
    </row>
    <row r="5">
      <c r="B5" s="8" t="inlineStr">
        <is>
          <t>구분</t>
        </is>
      </c>
      <c r="C5" s="9" t="inlineStr">
        <is>
          <t>연간 (t)</t>
        </is>
      </c>
      <c r="D5" s="9" t="inlineStr">
        <is>
          <t>월 기준 (kg)</t>
        </is>
      </c>
      <c r="E5" s="9" t="inlineStr">
        <is>
          <t>Batch/월</t>
        </is>
      </c>
      <c r="F5" s="9" t="inlineStr">
        <is>
          <t>적용</t>
        </is>
      </c>
      <c r="G5" s="8" t="inlineStr">
        <is>
          <t>산식</t>
        </is>
      </c>
    </row>
    <row r="6">
      <c r="B6" s="10" t="inlineStr">
        <is>
          <t>현재 (정제기 1대 · 103℃)</t>
        </is>
      </c>
      <c r="C6" s="20">
        <f>CAPA_NOW</f>
        <v>26.2</v>
      </c>
      <c r="D6" s="22">
        <f>CAPA_NOW*1000/12</f>
        <v>2183.33333333333</v>
      </c>
      <c r="E6" s="32">
        <f>D6/KG_B</f>
        <v>11.4912280701754</v>
      </c>
      <c r="F6" s="5" t="inlineStr">
        <is>
          <t>'27.1~3</t>
        </is>
      </c>
      <c r="G6" s="18" t="inlineStr">
        <is>
          <t>26.2 ÷ 12</t>
        </is>
      </c>
    </row>
    <row r="7">
      <c r="B7" s="10" t="inlineStr">
        <is>
          <t>리플럭스 후 (정제기 2대)</t>
        </is>
      </c>
      <c r="C7" s="20">
        <f>CAPA_RF</f>
        <v>47.2</v>
      </c>
      <c r="D7" s="22">
        <f>CAPA_M</f>
        <v>4290.90909090909</v>
      </c>
      <c r="E7" s="32">
        <f>D7/KG_B</f>
        <v>22.5837320574163</v>
      </c>
      <c r="F7" s="5" t="inlineStr">
        <is>
          <t>'27.5~</t>
        </is>
      </c>
      <c r="G7" s="18" t="inlineStr">
        <is>
          <t>47,200 ÷ 11 · 대정비 월 1,188 kg 별도</t>
        </is>
      </c>
    </row>
    <row r="8">
      <c r="B8" s="10" t="inlineStr">
        <is>
          <t>2028 105℃ 적용</t>
        </is>
      </c>
      <c r="C8" s="20">
        <f>CAPA_105</f>
        <v>50.2</v>
      </c>
      <c r="D8" s="22">
        <f>CAPA_M105</f>
        <v>4563.63636363636</v>
      </c>
      <c r="E8" s="32">
        <f>D8/KG_B</f>
        <v>24.0191387559809</v>
      </c>
      <c r="F8" s="5" t="inlineStr">
        <is>
          <t>'28.1~</t>
        </is>
      </c>
      <c r="G8" s="18" t="inlineStr">
        <is>
          <t>50,200 ÷ 11 · 대정비 월 1,188 kg 별도</t>
        </is>
      </c>
    </row>
    <row r="9">
      <c r="B9" s="10" t="inlineStr">
        <is>
          <t>참고: 현재의 단순 2배</t>
        </is>
      </c>
      <c r="C9" s="20">
        <f>CAPA_NOW*2</f>
        <v>52.4</v>
      </c>
      <c r="D9" s="22">
        <f>C9*1000/12</f>
        <v>4366.66666666667</v>
      </c>
      <c r="E9" s="32">
        <f>D9/KG_B</f>
        <v>22.9824561403509</v>
      </c>
      <c r="F9" s="5" t="inlineStr">
        <is>
          <t>적용 안 함</t>
        </is>
      </c>
      <c r="G9" s="18" t="inlineStr">
        <is>
          <t>Mix·Premix 준비 등으로 2배 아님</t>
        </is>
      </c>
    </row>
    <row r="10">
      <c r="B10" s="10" t="inlineStr">
        <is>
          <t>대정비 월 생산 (매년 4월)</t>
        </is>
      </c>
      <c r="C10" s="36">
        <f>MAINT_KG/1000</f>
        <v>1.188</v>
      </c>
      <c r="D10" s="26">
        <f>MAINT_KG</f>
        <v>1188</v>
      </c>
    </row>
    <row r="12" ht="20" customHeight="1">
      <c r="B12" s="7" t="inlineStr">
        <is>
          <t>② 운영 일정</t>
        </is>
      </c>
    </row>
    <row r="13">
      <c r="B13" s="8" t="inlineStr">
        <is>
          <t>구분</t>
        </is>
      </c>
      <c r="C13" s="9" t="inlineStr">
        <is>
          <t>시작</t>
        </is>
      </c>
      <c r="D13" s="9" t="inlineStr">
        <is>
          <t>종료</t>
        </is>
      </c>
      <c r="E13" s="8" t="inlineStr">
        <is>
          <t>내용</t>
        </is>
      </c>
    </row>
    <row r="14">
      <c r="B14" s="10" t="inlineStr">
        <is>
          <t>현재 정제기 1대</t>
        </is>
      </c>
      <c r="C14" s="37" t="n">
        <v>46388</v>
      </c>
      <c r="D14" s="37">
        <f>DATE(2027,MAINT_M,1)-1</f>
        <v>46477.0</v>
      </c>
      <c r="E14" s="18" t="inlineStr">
        <is>
          <t>확정 생산 2,178 · 2,178 · 3,168 kg</t>
        </is>
      </c>
    </row>
    <row r="15">
      <c r="B15" s="10" t="inlineStr">
        <is>
          <t>대정비 (매년)</t>
        </is>
      </c>
      <c r="C15" s="37">
        <f>DATE(2027,MAINT_M,1)</f>
        <v>46478.0</v>
      </c>
      <c r="D15" s="37">
        <f>EOMONTH(DATE(2027,MAINT_M,1),0)</f>
        <v>46507.0</v>
      </c>
      <c r="E15" s="18" t="inlineStr">
        <is>
          <t>생산 1,188 kg</t>
        </is>
      </c>
    </row>
    <row r="16">
      <c r="B16" s="10" t="inlineStr">
        <is>
          <t>정제기 2대 생산</t>
        </is>
      </c>
      <c r="C16" s="37">
        <f>RF_START</f>
        <v>46508.0</v>
      </c>
      <c r="D16" s="37" t="inlineStr"/>
      <c r="E16" s="18" t="inlineStr">
        <is>
          <t>투입 시점을 엇갈려 병행 운전</t>
        </is>
      </c>
    </row>
    <row r="17">
      <c r="B17" s="10" t="inlineStr">
        <is>
          <t>최초 12개월</t>
        </is>
      </c>
      <c r="C17" s="37">
        <f>RF_START</f>
        <v>46508.0</v>
      </c>
      <c r="D17" s="37">
        <f>EDATE(RF_START,12)-1</f>
        <v>46873.0</v>
      </c>
      <c r="E17" s="18" t="inlineStr">
        <is>
          <t>47.2톤 기준 (대정비 1개월 포함)</t>
        </is>
      </c>
    </row>
    <row r="18">
      <c r="B18" s="10" t="inlineStr">
        <is>
          <t>ARS 200 L 충진</t>
        </is>
      </c>
      <c r="C18" s="37">
        <f>MIN(ARS_EZ_S,ARS_HS_S)</f>
        <v>46569.0</v>
      </c>
      <c r="D18" s="37" t="inlineStr"/>
      <c r="E18" s="18" t="inlineStr">
        <is>
          <t>이지켐·한솔 200 L · 5 Gal은 글로브 박스 유지</t>
        </is>
      </c>
    </row>
    <row r="19">
      <c r="B19" s="10" t="inlineStr">
        <is>
          <t>105℃ (50.2톤)</t>
        </is>
      </c>
      <c r="C19" s="37">
        <f>T_105</f>
        <v>46753.0</v>
      </c>
      <c r="D19" s="37" t="inlineStr"/>
      <c r="E19" s="18" t="inlineStr">
        <is>
          <t>품질 검증·승인 필요</t>
        </is>
      </c>
    </row>
    <row r="21" ht="20" customHeight="1">
      <c r="B21" s="7" t="inlineStr">
        <is>
          <t>③ 2026 출하 (제시분) vs 현재 Capa.</t>
        </is>
      </c>
    </row>
    <row r="22">
      <c r="B22" s="8" t="inlineStr">
        <is>
          <t>구분</t>
        </is>
      </c>
      <c r="C22" s="25" t="n">
        <v>46023</v>
      </c>
      <c r="D22" s="25" t="n">
        <v>46054</v>
      </c>
      <c r="E22" s="25" t="n">
        <v>46082</v>
      </c>
      <c r="F22" s="25" t="n">
        <v>46113</v>
      </c>
      <c r="G22" s="25" t="n">
        <v>46143</v>
      </c>
      <c r="H22" s="25" t="n">
        <v>46174</v>
      </c>
      <c r="I22" s="25" t="n">
        <v>46204</v>
      </c>
      <c r="J22" s="25" t="n">
        <v>46235</v>
      </c>
      <c r="K22" s="25" t="n">
        <v>46266</v>
      </c>
      <c r="L22" s="25" t="n">
        <v>46296</v>
      </c>
      <c r="M22" s="25" t="n">
        <v>46327</v>
      </c>
      <c r="N22" s="25" t="n">
        <v>46357</v>
      </c>
      <c r="O22" s="9" t="inlineStr">
        <is>
          <t>연간</t>
        </is>
      </c>
    </row>
    <row r="23">
      <c r="B23" s="10" t="inlineStr">
        <is>
          <t>출하 (제시분)</t>
        </is>
      </c>
      <c r="C23" s="21">
        <f>'01_입력'!C91</f>
        <v>1600</v>
      </c>
      <c r="D23" s="21">
        <f>'01_입력'!D91</f>
        <v>1420</v>
      </c>
      <c r="E23" s="21">
        <f>'01_입력'!E91</f>
        <v>1440</v>
      </c>
      <c r="F23" s="21">
        <f>'01_입력'!F91</f>
        <v>1580</v>
      </c>
      <c r="G23" s="21">
        <f>'01_입력'!G91</f>
        <v>1200</v>
      </c>
      <c r="H23" s="21">
        <f>'01_입력'!H91</f>
        <v>1200</v>
      </c>
      <c r="I23" s="21">
        <f>'01_입력'!I91</f>
        <v>1360</v>
      </c>
      <c r="J23" s="21">
        <f>'01_입력'!J91</f>
        <v>1420</v>
      </c>
      <c r="K23" s="21">
        <f>'01_입력'!K91</f>
        <v>1940</v>
      </c>
      <c r="L23" s="21">
        <f>'01_입력'!L91</f>
        <v>2040</v>
      </c>
      <c r="M23" s="21">
        <f>'01_입력'!M91</f>
        <v>2040</v>
      </c>
      <c r="N23" s="21">
        <f>'01_입력'!N91</f>
        <v>1980</v>
      </c>
      <c r="O23" s="26">
        <f>SUM(C23:N23)</f>
        <v>19220</v>
      </c>
    </row>
    <row r="24">
      <c r="B24" s="10" t="inlineStr">
        <is>
          <t>현재 Capa. 월 환산</t>
        </is>
      </c>
      <c r="C24" s="21">
        <f>CAPA_NOW*1000/12</f>
        <v>2183.33333333333</v>
      </c>
      <c r="D24" s="21">
        <f>CAPA_NOW*1000/12</f>
        <v>2183.33333333333</v>
      </c>
      <c r="E24" s="21">
        <f>CAPA_NOW*1000/12</f>
        <v>2183.33333333333</v>
      </c>
      <c r="F24" s="21">
        <f>CAPA_NOW*1000/12</f>
        <v>2183.33333333333</v>
      </c>
      <c r="G24" s="21">
        <f>CAPA_NOW*1000/12</f>
        <v>2183.33333333333</v>
      </c>
      <c r="H24" s="21">
        <f>CAPA_NOW*1000/12</f>
        <v>2183.33333333333</v>
      </c>
      <c r="I24" s="21">
        <f>CAPA_NOW*1000/12</f>
        <v>2183.33333333333</v>
      </c>
      <c r="J24" s="21">
        <f>CAPA_NOW*1000/12</f>
        <v>2183.33333333333</v>
      </c>
      <c r="K24" s="21">
        <f>CAPA_NOW*1000/12</f>
        <v>2183.33333333333</v>
      </c>
      <c r="L24" s="21">
        <f>CAPA_NOW*1000/12</f>
        <v>2183.33333333333</v>
      </c>
      <c r="M24" s="21">
        <f>CAPA_NOW*1000/12</f>
        <v>2183.33333333333</v>
      </c>
      <c r="N24" s="21">
        <f>CAPA_NOW*1000/12</f>
        <v>2183.33333333333</v>
      </c>
      <c r="O24" s="26">
        <f>SUM(C24:N24)</f>
        <v>26200</v>
      </c>
    </row>
    <row r="25">
      <c r="B25" s="10" t="inlineStr">
        <is>
          <t>Capa. − 출하</t>
        </is>
      </c>
      <c r="C25" s="38">
        <f>C24-C23</f>
        <v>583.333333333334</v>
      </c>
      <c r="D25" s="38">
        <f>D24-D23</f>
        <v>763.333333333334</v>
      </c>
      <c r="E25" s="38">
        <f>E24-E23</f>
        <v>743.333333333334</v>
      </c>
      <c r="F25" s="38">
        <f>F24-F23</f>
        <v>603.333333333334</v>
      </c>
      <c r="G25" s="38">
        <f>G24-G23</f>
        <v>983.333333333334</v>
      </c>
      <c r="H25" s="38">
        <f>H24-H23</f>
        <v>983.333333333334</v>
      </c>
      <c r="I25" s="38">
        <f>I24-I23</f>
        <v>823.333333333334</v>
      </c>
      <c r="J25" s="38">
        <f>J24-J23</f>
        <v>763.333333333334</v>
      </c>
      <c r="K25" s="38">
        <f>K24-K23</f>
        <v>243.333333333333</v>
      </c>
      <c r="L25" s="38">
        <f>L24-L23</f>
        <v>143.333333333333</v>
      </c>
      <c r="M25" s="38">
        <f>M24-M23</f>
        <v>143.333333333333</v>
      </c>
      <c r="N25" s="38">
        <f>N24-N23</f>
        <v>203.333333333333</v>
      </c>
      <c r="O25" s="38">
        <f>O24-O23</f>
        <v>6980</v>
      </c>
    </row>
    <row r="26">
      <c r="B26" s="18" t="inlineStr">
        <is>
          <t>CXMT·한솔 2026 물량 미제시 (합계 제외)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7900"/>
    <outlinePr summaryBelow="1" summaryRight="1"/>
    <pageSetUpPr/>
  </sheetPr>
  <dimension ref="B1:O40"/>
  <sheetViews>
    <sheetView showGridLines="0" zoomScale="9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</cols>
  <sheetData>
    <row r="1">
      <c r="B1" s="1" t="inlineStr">
        <is>
          <t>05_월별_Capa기준 | 2027 47.2톤 · 2028 50.2톤 기준 생산 vs 출하</t>
        </is>
      </c>
    </row>
    <row r="2">
      <c r="B2" s="2" t="inlineStr">
        <is>
          <t>PPT 연도별 표. 생산 = 1~4월 확정 + 월 Capa. (연간 ÷ 11) · 출하·충진은 01_입력 · 08_후공정부하 연결.</t>
        </is>
      </c>
    </row>
    <row r="4">
      <c r="B4" s="8" t="inlineStr">
        <is>
          <t>2027</t>
        </is>
      </c>
      <c r="C4" s="25" t="n">
        <v>46388</v>
      </c>
      <c r="D4" s="25" t="n">
        <v>46419</v>
      </c>
      <c r="E4" s="25" t="n">
        <v>46447</v>
      </c>
      <c r="F4" s="25" t="n">
        <v>46478</v>
      </c>
      <c r="G4" s="25" t="n">
        <v>46508</v>
      </c>
      <c r="H4" s="25" t="n">
        <v>46539</v>
      </c>
      <c r="I4" s="25" t="n">
        <v>46569</v>
      </c>
      <c r="J4" s="25" t="n">
        <v>46600</v>
      </c>
      <c r="K4" s="25" t="n">
        <v>46631</v>
      </c>
      <c r="L4" s="25" t="n">
        <v>46661</v>
      </c>
      <c r="M4" s="25" t="n">
        <v>46692</v>
      </c>
      <c r="N4" s="25" t="n">
        <v>46722</v>
      </c>
      <c r="O4" s="9" t="inlineStr">
        <is>
          <t>연간</t>
        </is>
      </c>
    </row>
    <row r="5">
      <c r="B5" s="10" t="inlineStr">
        <is>
          <t>운전 조건</t>
        </is>
      </c>
      <c r="C5" s="5" t="str">
        <f>IF(MONTH(C$4)=MAINT_M,"대정비",IF(C$4&lt;RF_START,"정제기 1대",IF(C$4&gt;=T_105,"2대·105℃","정제기 2대")))</f>
        <v>정제기 1대</v>
      </c>
      <c r="D5" s="5" t="str">
        <f>IF(MONTH(D$4)=MAINT_M,"대정비",IF(D$4&lt;RF_START,"정제기 1대",IF(D$4&gt;=T_105,"2대·105℃","정제기 2대")))</f>
        <v>정제기 1대</v>
      </c>
      <c r="E5" s="5" t="str">
        <f>IF(MONTH(E$4)=MAINT_M,"대정비",IF(E$4&lt;RF_START,"정제기 1대",IF(E$4&gt;=T_105,"2대·105℃","정제기 2대")))</f>
        <v>정제기 1대</v>
      </c>
      <c r="F5" s="5" t="str">
        <f>IF(MONTH(F$4)=MAINT_M,"대정비",IF(F$4&lt;RF_START,"정제기 1대",IF(F$4&gt;=T_105,"2대·105℃","정제기 2대")))</f>
        <v>대정비</v>
      </c>
      <c r="G5" s="5" t="str">
        <f>IF(MONTH(G$4)=MAINT_M,"대정비",IF(G$4&lt;RF_START,"정제기 1대",IF(G$4&gt;=T_105,"2대·105℃","정제기 2대")))</f>
        <v>정제기 2대</v>
      </c>
      <c r="H5" s="5" t="str">
        <f>IF(MONTH(H$4)=MAINT_M,"대정비",IF(H$4&lt;RF_START,"정제기 1대",IF(H$4&gt;=T_105,"2대·105℃","정제기 2대")))</f>
        <v>정제기 2대</v>
      </c>
      <c r="I5" s="5" t="str">
        <f>IF(MONTH(I$4)=MAINT_M,"대정비",IF(I$4&lt;RF_START,"정제기 1대",IF(I$4&gt;=T_105,"2대·105℃","정제기 2대")))</f>
        <v>정제기 2대</v>
      </c>
      <c r="J5" s="5" t="str">
        <f>IF(MONTH(J$4)=MAINT_M,"대정비",IF(J$4&lt;RF_START,"정제기 1대",IF(J$4&gt;=T_105,"2대·105℃","정제기 2대")))</f>
        <v>정제기 2대</v>
      </c>
      <c r="K5" s="5" t="str">
        <f>IF(MONTH(K$4)=MAINT_M,"대정비",IF(K$4&lt;RF_START,"정제기 1대",IF(K$4&gt;=T_105,"2대·105℃","정제기 2대")))</f>
        <v>정제기 2대</v>
      </c>
      <c r="L5" s="5" t="str">
        <f>IF(MONTH(L$4)=MAINT_M,"대정비",IF(L$4&lt;RF_START,"정제기 1대",IF(L$4&gt;=T_105,"2대·105℃","정제기 2대")))</f>
        <v>정제기 2대</v>
      </c>
      <c r="M5" s="5" t="str">
        <f>IF(MONTH(M$4)=MAINT_M,"대정비",IF(M$4&lt;RF_START,"정제기 1대",IF(M$4&gt;=T_105,"2대·105℃","정제기 2대")))</f>
        <v>정제기 2대</v>
      </c>
      <c r="N5" s="5" t="str">
        <f>IF(MONTH(N$4)=MAINT_M,"대정비",IF(N$4&lt;RF_START,"정제기 1대",IF(N$4&gt;=T_105,"2대·105℃","정제기 2대")))</f>
        <v>정제기 2대</v>
      </c>
      <c r="O5" s="26" t="inlineStr"/>
    </row>
    <row r="6">
      <c r="B6" s="29" t="inlineStr">
        <is>
          <t>생산 (kg)</t>
        </is>
      </c>
      <c r="C6" s="39">
        <f>'01_입력'!$C$80</f>
        <v>2178</v>
      </c>
      <c r="D6" s="39">
        <f>'01_입력'!$D$80</f>
        <v>2178</v>
      </c>
      <c r="E6" s="39">
        <f>'01_입력'!$E$80</f>
        <v>3168</v>
      </c>
      <c r="F6" s="39">
        <f>'01_입력'!$F$80</f>
        <v>1188</v>
      </c>
      <c r="G6" s="22">
        <f>IF(MONTH(G$4)=MAINT_M,MAINT_KG,IF(G$4&gt;=T_105,CAPA_M105,IF(G$4&gt;=RF_START,CAPA_M,CAPA_NOW*1000/12)))</f>
        <v>4290.90909090909</v>
      </c>
      <c r="H6" s="22">
        <f>IF(MONTH(H$4)=MAINT_M,MAINT_KG,IF(H$4&gt;=T_105,CAPA_M105,IF(H$4&gt;=RF_START,CAPA_M,CAPA_NOW*1000/12)))</f>
        <v>4290.90909090909</v>
      </c>
      <c r="I6" s="22">
        <f>IF(MONTH(I$4)=MAINT_M,MAINT_KG,IF(I$4&gt;=T_105,CAPA_M105,IF(I$4&gt;=RF_START,CAPA_M,CAPA_NOW*1000/12)))</f>
        <v>4290.90909090909</v>
      </c>
      <c r="J6" s="22">
        <f>IF(MONTH(J$4)=MAINT_M,MAINT_KG,IF(J$4&gt;=T_105,CAPA_M105,IF(J$4&gt;=RF_START,CAPA_M,CAPA_NOW*1000/12)))</f>
        <v>4290.90909090909</v>
      </c>
      <c r="K6" s="22">
        <f>IF(MONTH(K$4)=MAINT_M,MAINT_KG,IF(K$4&gt;=T_105,CAPA_M105,IF(K$4&gt;=RF_START,CAPA_M,CAPA_NOW*1000/12)))</f>
        <v>4290.90909090909</v>
      </c>
      <c r="L6" s="22">
        <f>IF(MONTH(L$4)=MAINT_M,MAINT_KG,IF(L$4&gt;=T_105,CAPA_M105,IF(L$4&gt;=RF_START,CAPA_M,CAPA_NOW*1000/12)))</f>
        <v>4290.90909090909</v>
      </c>
      <c r="M6" s="22">
        <f>IF(MONTH(M$4)=MAINT_M,MAINT_KG,IF(M$4&gt;=T_105,CAPA_M105,IF(M$4&gt;=RF_START,CAPA_M,CAPA_NOW*1000/12)))</f>
        <v>4290.90909090909</v>
      </c>
      <c r="N6" s="22">
        <f>IF(MONTH(N$4)=MAINT_M,MAINT_KG,IF(N$4&gt;=T_105,CAPA_M105,IF(N$4&gt;=RF_START,CAPA_M,CAPA_NOW*1000/12)))</f>
        <v>4290.90909090909</v>
      </c>
      <c r="O6" s="26">
        <f>SUM(C6:N6)</f>
        <v>43039.2727272727</v>
      </c>
    </row>
    <row r="7">
      <c r="B7" s="10" t="inlineStr">
        <is>
          <t>Batch 환산 (÷190)</t>
        </is>
      </c>
      <c r="C7" s="32">
        <f>C6/KG_B</f>
        <v>11.4631578947368</v>
      </c>
      <c r="D7" s="32">
        <f>D6/KG_B</f>
        <v>11.4631578947368</v>
      </c>
      <c r="E7" s="32">
        <f>E6/KG_B</f>
        <v>16.6736842105263</v>
      </c>
      <c r="F7" s="32">
        <f>F6/KG_B</f>
        <v>6.25263157894737</v>
      </c>
      <c r="G7" s="32">
        <f>G6/KG_B</f>
        <v>22.5837320574163</v>
      </c>
      <c r="H7" s="32">
        <f>H6/KG_B</f>
        <v>22.5837320574163</v>
      </c>
      <c r="I7" s="32">
        <f>I6/KG_B</f>
        <v>22.5837320574163</v>
      </c>
      <c r="J7" s="32">
        <f>J6/KG_B</f>
        <v>22.5837320574163</v>
      </c>
      <c r="K7" s="32">
        <f>K6/KG_B</f>
        <v>22.5837320574163</v>
      </c>
      <c r="L7" s="32">
        <f>L6/KG_B</f>
        <v>22.5837320574163</v>
      </c>
      <c r="M7" s="32">
        <f>M6/KG_B</f>
        <v>22.5837320574163</v>
      </c>
      <c r="N7" s="32">
        <f>N6/KG_B</f>
        <v>22.5837320574163</v>
      </c>
      <c r="O7" s="35">
        <f>SUM(C7:N7)</f>
        <v>226.522488038278</v>
      </c>
    </row>
    <row r="8">
      <c r="B8" s="10" t="inlineStr">
        <is>
          <t>생산 − 출하</t>
        </is>
      </c>
      <c r="C8" s="38">
        <f>C6-C14</f>
        <v>-575.333333333333</v>
      </c>
      <c r="D8" s="38">
        <f>D6-D14</f>
        <v>-575.333333333333</v>
      </c>
      <c r="E8" s="38">
        <f>E6-E14</f>
        <v>-165.333333333333</v>
      </c>
      <c r="F8" s="38">
        <f>F6-F14</f>
        <v>-2145.33333333333</v>
      </c>
      <c r="G8" s="38">
        <f>G6-G14</f>
        <v>957.575757575758</v>
      </c>
      <c r="H8" s="38">
        <f>H6-H14</f>
        <v>957.575757575758</v>
      </c>
      <c r="I8" s="38">
        <f>I6-I14</f>
        <v>477.575757575758</v>
      </c>
      <c r="J8" s="38">
        <f>J6-J14</f>
        <v>477.575757575758</v>
      </c>
      <c r="K8" s="38">
        <f>K6-K14</f>
        <v>477.575757575758</v>
      </c>
      <c r="L8" s="38">
        <f>L6-L14</f>
        <v>477.575757575758</v>
      </c>
      <c r="M8" s="38">
        <f>M6-M14</f>
        <v>477.575757575758</v>
      </c>
      <c r="N8" s="38">
        <f>N6-N14</f>
        <v>477.575757575758</v>
      </c>
      <c r="O8" s="40">
        <f>SUM(C8:N8)</f>
        <v>1319.27272727273</v>
      </c>
    </row>
    <row r="9">
      <c r="B9" s="29" t="inlineStr">
        <is>
          <t>재고 (전월 재고 + 생산 − 출하)</t>
        </is>
      </c>
      <c r="C9" s="40">
        <f>N(INV_0)+C6*IF(ISNUMBER(YIELD_Q),YIELD_Q,1)-C14</f>
        <v>2306.66666666667</v>
      </c>
      <c r="D9" s="40">
        <f>C9+D6*IF(ISNUMBER(YIELD_Q),YIELD_Q,1)-D14</f>
        <v>1731.33333333333</v>
      </c>
      <c r="E9" s="40">
        <f>D9+E6*IF(ISNUMBER(YIELD_Q),YIELD_Q,1)-E14</f>
        <v>1566</v>
      </c>
      <c r="F9" s="40">
        <f>E9+F6*IF(ISNUMBER(YIELD_Q),YIELD_Q,1)-F14</f>
        <v>-579.333333333332</v>
      </c>
      <c r="G9" s="40">
        <f>F9+G6*IF(ISNUMBER(YIELD_Q),YIELD_Q,1)-G14</f>
        <v>378.242424242426</v>
      </c>
      <c r="H9" s="40">
        <f>G9+H6*IF(ISNUMBER(YIELD_Q),YIELD_Q,1)-H14</f>
        <v>1335.81818181818</v>
      </c>
      <c r="I9" s="40">
        <f>H9+I6*IF(ISNUMBER(YIELD_Q),YIELD_Q,1)-I14</f>
        <v>1813.39393939394</v>
      </c>
      <c r="J9" s="40">
        <f>I9+J6*IF(ISNUMBER(YIELD_Q),YIELD_Q,1)-J14</f>
        <v>2290.9696969697</v>
      </c>
      <c r="K9" s="40">
        <f>J9+K6*IF(ISNUMBER(YIELD_Q),YIELD_Q,1)-K14</f>
        <v>2768.54545454546</v>
      </c>
      <c r="L9" s="40">
        <f>K9+L6*IF(ISNUMBER(YIELD_Q),YIELD_Q,1)-L14</f>
        <v>3246.12121212122</v>
      </c>
      <c r="M9" s="40">
        <f>L9+M6*IF(ISNUMBER(YIELD_Q),YIELD_Q,1)-M14</f>
        <v>3723.69696969697</v>
      </c>
      <c r="N9" s="40">
        <f>M9+N6*IF(ISNUMBER(YIELD_Q),YIELD_Q,1)-N14</f>
        <v>4201.27272727273</v>
      </c>
      <c r="O9" s="40">
        <f>N9</f>
        <v>4201.27272727273</v>
      </c>
    </row>
    <row r="10">
      <c r="B10" s="10" t="inlineStr">
        <is>
          <t>SK하이닉스</t>
        </is>
      </c>
      <c r="C10" s="41">
        <f>'01_입력'!$C$94</f>
        <v>1893.33333333333</v>
      </c>
      <c r="D10" s="41">
        <f>'01_입력'!$D$94</f>
        <v>1893.33333333333</v>
      </c>
      <c r="E10" s="41">
        <f>'01_입력'!$E$94</f>
        <v>1893.33333333333</v>
      </c>
      <c r="F10" s="41">
        <f>'01_입력'!$F$94</f>
        <v>1893.33333333333</v>
      </c>
      <c r="G10" s="41">
        <f>'01_입력'!$G$94</f>
        <v>1893.33333333333</v>
      </c>
      <c r="H10" s="41">
        <f>'01_입력'!$H$94</f>
        <v>1893.33333333333</v>
      </c>
      <c r="I10" s="41">
        <f>'01_입력'!$I$94</f>
        <v>1893.33333333333</v>
      </c>
      <c r="J10" s="41">
        <f>'01_입력'!$J$94</f>
        <v>1893.33333333333</v>
      </c>
      <c r="K10" s="41">
        <f>'01_입력'!$K$94</f>
        <v>1893.33333333333</v>
      </c>
      <c r="L10" s="41">
        <f>'01_입력'!$L$94</f>
        <v>1893.33333333333</v>
      </c>
      <c r="M10" s="41">
        <f>'01_입력'!$M$94</f>
        <v>1893.33333333333</v>
      </c>
      <c r="N10" s="41">
        <f>'01_입력'!$N$94</f>
        <v>1893.33333333333</v>
      </c>
      <c r="O10" s="26">
        <f>SUM(C10:N10)</f>
        <v>22720</v>
      </c>
    </row>
    <row r="11">
      <c r="B11" s="10" t="inlineStr">
        <is>
          <t>CXMT</t>
        </is>
      </c>
      <c r="C11" s="21">
        <f>'01_입력'!$C$95</f>
        <v>0</v>
      </c>
      <c r="D11" s="21">
        <f>'01_입력'!$D$95</f>
        <v>0</v>
      </c>
      <c r="E11" s="21">
        <f>'01_입력'!$E$95</f>
        <v>580</v>
      </c>
      <c r="F11" s="21">
        <f>'01_입력'!$F$95</f>
        <v>580</v>
      </c>
      <c r="G11" s="21">
        <f>'01_입력'!$G$95</f>
        <v>580</v>
      </c>
      <c r="H11" s="21">
        <f>'01_입력'!$H$95</f>
        <v>580</v>
      </c>
      <c r="I11" s="21">
        <f>'01_입력'!$I$95</f>
        <v>780</v>
      </c>
      <c r="J11" s="21">
        <f>'01_입력'!$J$95</f>
        <v>780</v>
      </c>
      <c r="K11" s="21">
        <f>'01_입력'!$K$95</f>
        <v>780</v>
      </c>
      <c r="L11" s="21">
        <f>'01_입력'!$L$95</f>
        <v>780</v>
      </c>
      <c r="M11" s="21">
        <f>'01_입력'!$M$95</f>
        <v>780</v>
      </c>
      <c r="N11" s="21">
        <f>'01_입력'!$N$95</f>
        <v>780</v>
      </c>
      <c r="O11" s="26">
        <f>SUM(C11:N11)</f>
        <v>7000</v>
      </c>
    </row>
    <row r="12">
      <c r="B12" s="10" t="inlineStr">
        <is>
          <t>이지켐</t>
        </is>
      </c>
      <c r="C12" s="21">
        <f>'01_입력'!$C$96</f>
        <v>560</v>
      </c>
      <c r="D12" s="21">
        <f>'01_입력'!$D$96</f>
        <v>560</v>
      </c>
      <c r="E12" s="21">
        <f>'01_입력'!$E$96</f>
        <v>560</v>
      </c>
      <c r="F12" s="21">
        <f>'01_입력'!$F$96</f>
        <v>560</v>
      </c>
      <c r="G12" s="21">
        <f>'01_입력'!$G$96</f>
        <v>560</v>
      </c>
      <c r="H12" s="21">
        <f>'01_입력'!$H$96</f>
        <v>560</v>
      </c>
      <c r="I12" s="21">
        <f>'01_입력'!$I$96</f>
        <v>840</v>
      </c>
      <c r="J12" s="21">
        <f>'01_입력'!$J$96</f>
        <v>840</v>
      </c>
      <c r="K12" s="21">
        <f>'01_입력'!$K$96</f>
        <v>840</v>
      </c>
      <c r="L12" s="21">
        <f>'01_입력'!$L$96</f>
        <v>840</v>
      </c>
      <c r="M12" s="21">
        <f>'01_입력'!$M$96</f>
        <v>840</v>
      </c>
      <c r="N12" s="21">
        <f>'01_입력'!$N$96</f>
        <v>840</v>
      </c>
      <c r="O12" s="26">
        <f>SUM(C12:N12)</f>
        <v>8400</v>
      </c>
    </row>
    <row r="13">
      <c r="B13" s="10" t="inlineStr">
        <is>
          <t>한솔</t>
        </is>
      </c>
      <c r="C13" s="21">
        <f>'01_입력'!$C$97</f>
        <v>300</v>
      </c>
      <c r="D13" s="21">
        <f>'01_입력'!$D$97</f>
        <v>300</v>
      </c>
      <c r="E13" s="21">
        <f>'01_입력'!$E$97</f>
        <v>300</v>
      </c>
      <c r="F13" s="21">
        <f>'01_입력'!$F$97</f>
        <v>300</v>
      </c>
      <c r="G13" s="21">
        <f>'01_입력'!$G$97</f>
        <v>300</v>
      </c>
      <c r="H13" s="21">
        <f>'01_입력'!$H$97</f>
        <v>300</v>
      </c>
      <c r="I13" s="21">
        <f>'01_입력'!$I$97</f>
        <v>300</v>
      </c>
      <c r="J13" s="21">
        <f>'01_입력'!$J$97</f>
        <v>300</v>
      </c>
      <c r="K13" s="21">
        <f>'01_입력'!$K$97</f>
        <v>300</v>
      </c>
      <c r="L13" s="21">
        <f>'01_입력'!$L$97</f>
        <v>300</v>
      </c>
      <c r="M13" s="21">
        <f>'01_입력'!$M$97</f>
        <v>300</v>
      </c>
      <c r="N13" s="21">
        <f>'01_입력'!$N$97</f>
        <v>300</v>
      </c>
      <c r="O13" s="26">
        <f>SUM(C13:N13)</f>
        <v>3600</v>
      </c>
    </row>
    <row r="14">
      <c r="B14" s="29" t="inlineStr">
        <is>
          <t>출하 합계</t>
        </is>
      </c>
      <c r="C14" s="41">
        <f>SUM(C10:C13)</f>
        <v>2753.33333333333</v>
      </c>
      <c r="D14" s="41">
        <f>SUM(D10:D13)</f>
        <v>2753.33333333333</v>
      </c>
      <c r="E14" s="41">
        <f>SUM(E10:E13)</f>
        <v>3333.33333333333</v>
      </c>
      <c r="F14" s="41">
        <f>SUM(F10:F13)</f>
        <v>3333.33333333333</v>
      </c>
      <c r="G14" s="41">
        <f>SUM(G10:G13)</f>
        <v>3333.33333333333</v>
      </c>
      <c r="H14" s="41">
        <f>SUM(H10:H13)</f>
        <v>3333.33333333333</v>
      </c>
      <c r="I14" s="41">
        <f>SUM(I10:I13)</f>
        <v>3813.33333333333</v>
      </c>
      <c r="J14" s="41">
        <f>SUM(J10:J13)</f>
        <v>3813.33333333333</v>
      </c>
      <c r="K14" s="41">
        <f>SUM(K10:K13)</f>
        <v>3813.33333333333</v>
      </c>
      <c r="L14" s="41">
        <f>SUM(L10:L13)</f>
        <v>3813.33333333333</v>
      </c>
      <c r="M14" s="41">
        <f>SUM(M10:M13)</f>
        <v>3813.33333333333</v>
      </c>
      <c r="N14" s="41">
        <f>SUM(N10:N13)</f>
        <v>3813.33333333333</v>
      </c>
      <c r="O14" s="26">
        <f>SUM(C14:N14)</f>
        <v>41720</v>
      </c>
    </row>
    <row r="15">
      <c r="B15" s="10" t="inlineStr">
        <is>
          <t>필요 Batch (출하÷190)</t>
        </is>
      </c>
      <c r="C15" s="32">
        <f>C14/KG_B</f>
        <v>14.4912280701754</v>
      </c>
      <c r="D15" s="32">
        <f>D14/KG_B</f>
        <v>14.4912280701754</v>
      </c>
      <c r="E15" s="32">
        <f>E14/KG_B</f>
        <v>17.5438596491228</v>
      </c>
      <c r="F15" s="32">
        <f>F14/KG_B</f>
        <v>17.5438596491228</v>
      </c>
      <c r="G15" s="32">
        <f>G14/KG_B</f>
        <v>17.5438596491228</v>
      </c>
      <c r="H15" s="32">
        <f>H14/KG_B</f>
        <v>17.5438596491228</v>
      </c>
      <c r="I15" s="32">
        <f>I14/KG_B</f>
        <v>20.0701754385965</v>
      </c>
      <c r="J15" s="32">
        <f>J14/KG_B</f>
        <v>20.0701754385965</v>
      </c>
      <c r="K15" s="32">
        <f>K14/KG_B</f>
        <v>20.0701754385965</v>
      </c>
      <c r="L15" s="32">
        <f>L14/KG_B</f>
        <v>20.0701754385965</v>
      </c>
      <c r="M15" s="32">
        <f>M14/KG_B</f>
        <v>20.0701754385965</v>
      </c>
      <c r="N15" s="32">
        <f>N14/KG_B</f>
        <v>20.0701754385965</v>
      </c>
      <c r="O15" s="35">
        <f>SUM(C15:N15)</f>
        <v>219.578947368421</v>
      </c>
    </row>
    <row r="16">
      <c r="B16" s="10" t="inlineStr">
        <is>
          <t>200 L 충진 방식 (이지켐/한솔)</t>
        </is>
      </c>
      <c r="C16" s="5" t="str">
        <f>'08_후공정부하'!C30&amp;"/"&amp;'08_후공정부하'!C33</f>
        <v>수동/수동</v>
      </c>
      <c r="D16" s="5" t="str">
        <f>'08_후공정부하'!D30&amp;"/"&amp;'08_후공정부하'!D33</f>
        <v>수동/수동</v>
      </c>
      <c r="E16" s="5" t="str">
        <f>'08_후공정부하'!E30&amp;"/"&amp;'08_후공정부하'!E33</f>
        <v>수동/수동</v>
      </c>
      <c r="F16" s="5" t="str">
        <f>'08_후공정부하'!F30&amp;"/"&amp;'08_후공정부하'!F33</f>
        <v>수동/수동</v>
      </c>
      <c r="G16" s="5" t="str">
        <f>'08_후공정부하'!G30&amp;"/"&amp;'08_후공정부하'!G33</f>
        <v>수동/수동</v>
      </c>
      <c r="H16" s="5" t="str">
        <f>'08_후공정부하'!H30&amp;"/"&amp;'08_후공정부하'!H33</f>
        <v>수동/수동</v>
      </c>
      <c r="I16" s="5" t="str">
        <f>'08_후공정부하'!I30&amp;"/"&amp;'08_후공정부하'!I33</f>
        <v>ARS/ARS</v>
      </c>
      <c r="J16" s="5" t="str">
        <f>'08_후공정부하'!J30&amp;"/"&amp;'08_후공정부하'!J33</f>
        <v>ARS/ARS</v>
      </c>
      <c r="K16" s="5" t="str">
        <f>'08_후공정부하'!K30&amp;"/"&amp;'08_후공정부하'!K33</f>
        <v>ARS/ARS</v>
      </c>
      <c r="L16" s="5" t="str">
        <f>'08_후공정부하'!L30&amp;"/"&amp;'08_후공정부하'!L33</f>
        <v>ARS/ARS</v>
      </c>
      <c r="M16" s="5" t="str">
        <f>'08_후공정부하'!M30&amp;"/"&amp;'08_후공정부하'!M33</f>
        <v>ARS/ARS</v>
      </c>
      <c r="N16" s="5" t="str">
        <f>'08_후공정부하'!N30&amp;"/"&amp;'08_후공정부하'!N33</f>
        <v>ARS/ARS</v>
      </c>
      <c r="O16" s="26" t="inlineStr">
        <is>
          <t>-</t>
        </is>
      </c>
    </row>
    <row r="17">
      <c r="B17" s="10" t="inlineStr">
        <is>
          <t>5 Gal 충진 h</t>
        </is>
      </c>
      <c r="C17" s="17">
        <f>'08_후공정부하'!C25</f>
        <v>189.333333333333</v>
      </c>
      <c r="D17" s="17">
        <f>'08_후공정부하'!D25</f>
        <v>189.333333333333</v>
      </c>
      <c r="E17" s="17">
        <f>'08_후공정부하'!E25</f>
        <v>247.333333333333</v>
      </c>
      <c r="F17" s="17">
        <f>'08_후공정부하'!F25</f>
        <v>247.333333333333</v>
      </c>
      <c r="G17" s="17">
        <f>'08_후공정부하'!G25</f>
        <v>247.333333333333</v>
      </c>
      <c r="H17" s="17">
        <f>'08_후공정부하'!H25</f>
        <v>247.333333333333</v>
      </c>
      <c r="I17" s="17">
        <f>'08_후공정부하'!I25</f>
        <v>267.333333333333</v>
      </c>
      <c r="J17" s="17">
        <f>'08_후공정부하'!J25</f>
        <v>267.333333333333</v>
      </c>
      <c r="K17" s="17">
        <f>'08_후공정부하'!K25</f>
        <v>267.333333333333</v>
      </c>
      <c r="L17" s="17">
        <f>'08_후공정부하'!L25</f>
        <v>267.333333333333</v>
      </c>
      <c r="M17" s="17">
        <f>'08_후공정부하'!M25</f>
        <v>267.333333333333</v>
      </c>
      <c r="N17" s="17">
        <f>'08_후공정부하'!N25</f>
        <v>267.333333333333</v>
      </c>
      <c r="O17" s="13">
        <f>SUM(C17:N17)</f>
        <v>2972</v>
      </c>
    </row>
    <row r="18">
      <c r="B18" s="10" t="inlineStr">
        <is>
          <t>200 L 충진 h</t>
        </is>
      </c>
      <c r="C18" s="17">
        <f>'08_후공정부하'!C35</f>
        <v>48</v>
      </c>
      <c r="D18" s="17">
        <f>'08_후공정부하'!D35</f>
        <v>48</v>
      </c>
      <c r="E18" s="17">
        <f>'08_후공정부하'!E35</f>
        <v>48</v>
      </c>
      <c r="F18" s="17">
        <f>'08_후공정부하'!F35</f>
        <v>48</v>
      </c>
      <c r="G18" s="17">
        <f>'08_후공정부하'!G35</f>
        <v>48</v>
      </c>
      <c r="H18" s="17">
        <f>'08_후공정부하'!H35</f>
        <v>48</v>
      </c>
      <c r="I18" s="17">
        <f>'08_후공정부하'!I35</f>
        <v>64</v>
      </c>
      <c r="J18" s="17">
        <f>'08_후공정부하'!J35</f>
        <v>64</v>
      </c>
      <c r="K18" s="17">
        <f>'08_후공정부하'!K35</f>
        <v>64</v>
      </c>
      <c r="L18" s="17">
        <f>'08_후공정부하'!L35</f>
        <v>64</v>
      </c>
      <c r="M18" s="17">
        <f>'08_후공정부하'!M35</f>
        <v>64</v>
      </c>
      <c r="N18" s="17">
        <f>'08_후공정부하'!N35</f>
        <v>64</v>
      </c>
      <c r="O18" s="13">
        <f>SUM(C18:N18)</f>
        <v>672</v>
      </c>
    </row>
    <row r="19">
      <c r="B19" s="10" t="inlineStr">
        <is>
          <t>이지켐 용기</t>
        </is>
      </c>
      <c r="C19" s="32">
        <f>'08_후공정부하'!C29</f>
        <v>4</v>
      </c>
      <c r="D19" s="32">
        <f>'08_후공정부하'!D29</f>
        <v>4</v>
      </c>
      <c r="E19" s="32">
        <f>'08_후공정부하'!E29</f>
        <v>4</v>
      </c>
      <c r="F19" s="32">
        <f>'08_후공정부하'!F29</f>
        <v>4</v>
      </c>
      <c r="G19" s="32">
        <f>'08_후공정부하'!G29</f>
        <v>4</v>
      </c>
      <c r="H19" s="32">
        <f>'08_후공정부하'!H29</f>
        <v>4</v>
      </c>
      <c r="I19" s="32">
        <f>'08_후공정부하'!I29</f>
        <v>6</v>
      </c>
      <c r="J19" s="32">
        <f>'08_후공정부하'!J29</f>
        <v>6</v>
      </c>
      <c r="K19" s="32">
        <f>'08_후공정부하'!K29</f>
        <v>6</v>
      </c>
      <c r="L19" s="32">
        <f>'08_후공정부하'!L29</f>
        <v>6</v>
      </c>
      <c r="M19" s="32">
        <f>'08_후공정부하'!M29</f>
        <v>6</v>
      </c>
      <c r="N19" s="32">
        <f>'08_후공정부하'!N29</f>
        <v>6</v>
      </c>
      <c r="O19" s="35">
        <f>SUM(C19:N19)</f>
        <v>60</v>
      </c>
    </row>
    <row r="20">
      <c r="B20" s="10" t="inlineStr">
        <is>
          <t>한솔 용기</t>
        </is>
      </c>
      <c r="C20" s="32">
        <f>'08_후공정부하'!C32</f>
        <v>2</v>
      </c>
      <c r="D20" s="32">
        <f>'08_후공정부하'!D32</f>
        <v>2</v>
      </c>
      <c r="E20" s="32">
        <f>'08_후공정부하'!E32</f>
        <v>2</v>
      </c>
      <c r="F20" s="32">
        <f>'08_후공정부하'!F32</f>
        <v>2</v>
      </c>
      <c r="G20" s="32">
        <f>'08_후공정부하'!G32</f>
        <v>2</v>
      </c>
      <c r="H20" s="32">
        <f>'08_후공정부하'!H32</f>
        <v>2</v>
      </c>
      <c r="I20" s="32">
        <f>'08_후공정부하'!I32</f>
        <v>2</v>
      </c>
      <c r="J20" s="32">
        <f>'08_후공정부하'!J32</f>
        <v>2</v>
      </c>
      <c r="K20" s="32">
        <f>'08_후공정부하'!K32</f>
        <v>2</v>
      </c>
      <c r="L20" s="32">
        <f>'08_후공정부하'!L32</f>
        <v>2</v>
      </c>
      <c r="M20" s="32">
        <f>'08_후공정부하'!M32</f>
        <v>2</v>
      </c>
      <c r="N20" s="32">
        <f>'08_후공정부하'!N32</f>
        <v>2</v>
      </c>
      <c r="O20" s="35">
        <f>SUM(C20:N20)</f>
        <v>24</v>
      </c>
    </row>
    <row r="22">
      <c r="B22" s="8" t="inlineStr">
        <is>
          <t>2028</t>
        </is>
      </c>
      <c r="C22" s="25" t="n">
        <v>46753</v>
      </c>
      <c r="D22" s="25" t="n">
        <v>46784</v>
      </c>
      <c r="E22" s="25" t="n">
        <v>46813</v>
      </c>
      <c r="F22" s="25" t="n">
        <v>46844</v>
      </c>
      <c r="G22" s="25" t="n">
        <v>46874</v>
      </c>
      <c r="H22" s="25" t="n">
        <v>46905</v>
      </c>
      <c r="I22" s="25" t="n">
        <v>46935</v>
      </c>
      <c r="J22" s="25" t="n">
        <v>46966</v>
      </c>
      <c r="K22" s="25" t="n">
        <v>46997</v>
      </c>
      <c r="L22" s="25" t="n">
        <v>47027</v>
      </c>
      <c r="M22" s="25" t="n">
        <v>47058</v>
      </c>
      <c r="N22" s="25" t="n">
        <v>47088</v>
      </c>
      <c r="O22" s="9" t="inlineStr">
        <is>
          <t>연간</t>
        </is>
      </c>
    </row>
    <row r="23">
      <c r="B23" s="10" t="inlineStr">
        <is>
          <t>운전 조건</t>
        </is>
      </c>
      <c r="C23" s="5" t="str">
        <f>IF(MONTH(C$22)=MAINT_M,"대정비",IF(C$22&lt;RF_START,"정제기 1대",IF(C$22&gt;=T_105,"2대·105℃","정제기 2대")))</f>
        <v>2대·105℃</v>
      </c>
      <c r="D23" s="5" t="str">
        <f>IF(MONTH(D$22)=MAINT_M,"대정비",IF(D$22&lt;RF_START,"정제기 1대",IF(D$22&gt;=T_105,"2대·105℃","정제기 2대")))</f>
        <v>2대·105℃</v>
      </c>
      <c r="E23" s="5" t="str">
        <f>IF(MONTH(E$22)=MAINT_M,"대정비",IF(E$22&lt;RF_START,"정제기 1대",IF(E$22&gt;=T_105,"2대·105℃","정제기 2대")))</f>
        <v>2대·105℃</v>
      </c>
      <c r="F23" s="5" t="str">
        <f>IF(MONTH(F$22)=MAINT_M,"대정비",IF(F$22&lt;RF_START,"정제기 1대",IF(F$22&gt;=T_105,"2대·105℃","정제기 2대")))</f>
        <v>대정비</v>
      </c>
      <c r="G23" s="5" t="str">
        <f>IF(MONTH(G$22)=MAINT_M,"대정비",IF(G$22&lt;RF_START,"정제기 1대",IF(G$22&gt;=T_105,"2대·105℃","정제기 2대")))</f>
        <v>2대·105℃</v>
      </c>
      <c r="H23" s="5" t="str">
        <f>IF(MONTH(H$22)=MAINT_M,"대정비",IF(H$22&lt;RF_START,"정제기 1대",IF(H$22&gt;=T_105,"2대·105℃","정제기 2대")))</f>
        <v>2대·105℃</v>
      </c>
      <c r="I23" s="5" t="str">
        <f>IF(MONTH(I$22)=MAINT_M,"대정비",IF(I$22&lt;RF_START,"정제기 1대",IF(I$22&gt;=T_105,"2대·105℃","정제기 2대")))</f>
        <v>2대·105℃</v>
      </c>
      <c r="J23" s="5" t="str">
        <f>IF(MONTH(J$22)=MAINT_M,"대정비",IF(J$22&lt;RF_START,"정제기 1대",IF(J$22&gt;=T_105,"2대·105℃","정제기 2대")))</f>
        <v>2대·105℃</v>
      </c>
      <c r="K23" s="5" t="str">
        <f>IF(MONTH(K$22)=MAINT_M,"대정비",IF(K$22&lt;RF_START,"정제기 1대",IF(K$22&gt;=T_105,"2대·105℃","정제기 2대")))</f>
        <v>2대·105℃</v>
      </c>
      <c r="L23" s="5" t="str">
        <f>IF(MONTH(L$22)=MAINT_M,"대정비",IF(L$22&lt;RF_START,"정제기 1대",IF(L$22&gt;=T_105,"2대·105℃","정제기 2대")))</f>
        <v>2대·105℃</v>
      </c>
      <c r="M23" s="5" t="str">
        <f>IF(MONTH(M$22)=MAINT_M,"대정비",IF(M$22&lt;RF_START,"정제기 1대",IF(M$22&gt;=T_105,"2대·105℃","정제기 2대")))</f>
        <v>2대·105℃</v>
      </c>
      <c r="N23" s="5" t="str">
        <f>IF(MONTH(N$22)=MAINT_M,"대정비",IF(N$22&lt;RF_START,"정제기 1대",IF(N$22&gt;=T_105,"2대·105℃","정제기 2대")))</f>
        <v>2대·105℃</v>
      </c>
      <c r="O23" s="26" t="inlineStr"/>
    </row>
    <row r="24">
      <c r="B24" s="29" t="inlineStr">
        <is>
          <t>생산 (kg)</t>
        </is>
      </c>
      <c r="C24" s="22">
        <f>IF(MONTH(C$22)=MAINT_M,MAINT_KG,IF(C$22&gt;=T_105,CAPA_M105,IF(C$22&gt;=RF_START,CAPA_M,CAPA_NOW*1000/12)))</f>
        <v>4563.63636363636</v>
      </c>
      <c r="D24" s="22">
        <f>IF(MONTH(D$22)=MAINT_M,MAINT_KG,IF(D$22&gt;=T_105,CAPA_M105,IF(D$22&gt;=RF_START,CAPA_M,CAPA_NOW*1000/12)))</f>
        <v>4563.63636363636</v>
      </c>
      <c r="E24" s="22">
        <f>IF(MONTH(E$22)=MAINT_M,MAINT_KG,IF(E$22&gt;=T_105,CAPA_M105,IF(E$22&gt;=RF_START,CAPA_M,CAPA_NOW*1000/12)))</f>
        <v>4563.63636363636</v>
      </c>
      <c r="F24" s="22">
        <f>IF(MONTH(F$22)=MAINT_M,MAINT_KG,IF(F$22&gt;=T_105,CAPA_M105,IF(F$22&gt;=RF_START,CAPA_M,CAPA_NOW*1000/12)))</f>
        <v>1188</v>
      </c>
      <c r="G24" s="22">
        <f>IF(MONTH(G$22)=MAINT_M,MAINT_KG,IF(G$22&gt;=T_105,CAPA_M105,IF(G$22&gt;=RF_START,CAPA_M,CAPA_NOW*1000/12)))</f>
        <v>4563.63636363636</v>
      </c>
      <c r="H24" s="22">
        <f>IF(MONTH(H$22)=MAINT_M,MAINT_KG,IF(H$22&gt;=T_105,CAPA_M105,IF(H$22&gt;=RF_START,CAPA_M,CAPA_NOW*1000/12)))</f>
        <v>4563.63636363636</v>
      </c>
      <c r="I24" s="22">
        <f>IF(MONTH(I$22)=MAINT_M,MAINT_KG,IF(I$22&gt;=T_105,CAPA_M105,IF(I$22&gt;=RF_START,CAPA_M,CAPA_NOW*1000/12)))</f>
        <v>4563.63636363636</v>
      </c>
      <c r="J24" s="22">
        <f>IF(MONTH(J$22)=MAINT_M,MAINT_KG,IF(J$22&gt;=T_105,CAPA_M105,IF(J$22&gt;=RF_START,CAPA_M,CAPA_NOW*1000/12)))</f>
        <v>4563.63636363636</v>
      </c>
      <c r="K24" s="22">
        <f>IF(MONTH(K$22)=MAINT_M,MAINT_KG,IF(K$22&gt;=T_105,CAPA_M105,IF(K$22&gt;=RF_START,CAPA_M,CAPA_NOW*1000/12)))</f>
        <v>4563.63636363636</v>
      </c>
      <c r="L24" s="22">
        <f>IF(MONTH(L$22)=MAINT_M,MAINT_KG,IF(L$22&gt;=T_105,CAPA_M105,IF(L$22&gt;=RF_START,CAPA_M,CAPA_NOW*1000/12)))</f>
        <v>4563.63636363636</v>
      </c>
      <c r="M24" s="22">
        <f>IF(MONTH(M$22)=MAINT_M,MAINT_KG,IF(M$22&gt;=T_105,CAPA_M105,IF(M$22&gt;=RF_START,CAPA_M,CAPA_NOW*1000/12)))</f>
        <v>4563.63636363636</v>
      </c>
      <c r="N24" s="22">
        <f>IF(MONTH(N$22)=MAINT_M,MAINT_KG,IF(N$22&gt;=T_105,CAPA_M105,IF(N$22&gt;=RF_START,CAPA_M,CAPA_NOW*1000/12)))</f>
        <v>4563.63636363636</v>
      </c>
      <c r="O24" s="26">
        <f>SUM(C24:N24)</f>
        <v>51388</v>
      </c>
    </row>
    <row r="25">
      <c r="B25" s="10" t="inlineStr">
        <is>
          <t>Batch 환산 (÷190)</t>
        </is>
      </c>
      <c r="C25" s="32">
        <f>C24/KG_B</f>
        <v>24.0191387559809</v>
      </c>
      <c r="D25" s="32">
        <f>D24/KG_B</f>
        <v>24.0191387559809</v>
      </c>
      <c r="E25" s="32">
        <f>E24/KG_B</f>
        <v>24.0191387559809</v>
      </c>
      <c r="F25" s="32">
        <f>F24/KG_B</f>
        <v>6.25263157894737</v>
      </c>
      <c r="G25" s="32">
        <f>G24/KG_B</f>
        <v>24.0191387559809</v>
      </c>
      <c r="H25" s="32">
        <f>H24/KG_B</f>
        <v>24.0191387559809</v>
      </c>
      <c r="I25" s="32">
        <f>I24/KG_B</f>
        <v>24.0191387559809</v>
      </c>
      <c r="J25" s="32">
        <f>J24/KG_B</f>
        <v>24.0191387559809</v>
      </c>
      <c r="K25" s="32">
        <f>K24/KG_B</f>
        <v>24.0191387559809</v>
      </c>
      <c r="L25" s="32">
        <f>L24/KG_B</f>
        <v>24.0191387559809</v>
      </c>
      <c r="M25" s="32">
        <f>M24/KG_B</f>
        <v>24.0191387559809</v>
      </c>
      <c r="N25" s="32">
        <f>N24/KG_B</f>
        <v>24.0191387559809</v>
      </c>
      <c r="O25" s="35">
        <f>SUM(C25:N25)</f>
        <v>270.463157894737</v>
      </c>
    </row>
    <row r="26">
      <c r="B26" s="10" t="inlineStr">
        <is>
          <t>생산 − 출하</t>
        </is>
      </c>
      <c r="C26" s="38">
        <f>C24-C32</f>
        <v>750.303030303031</v>
      </c>
      <c r="D26" s="38">
        <f>D24-D32</f>
        <v>750.303030303031</v>
      </c>
      <c r="E26" s="38">
        <f>E24-E32</f>
        <v>750.303030303031</v>
      </c>
      <c r="F26" s="38">
        <f>F24-F32</f>
        <v>-2625.33333333333</v>
      </c>
      <c r="G26" s="38">
        <f>G24-G32</f>
        <v>750.303030303031</v>
      </c>
      <c r="H26" s="38">
        <f>H24-H32</f>
        <v>750.303030303031</v>
      </c>
      <c r="I26" s="38">
        <f>I24-I32</f>
        <v>750.303030303031</v>
      </c>
      <c r="J26" s="38">
        <f>J24-J32</f>
        <v>750.303030303031</v>
      </c>
      <c r="K26" s="38">
        <f>K24-K32</f>
        <v>750.303030303031</v>
      </c>
      <c r="L26" s="38">
        <f>L24-L32</f>
        <v>750.303030303031</v>
      </c>
      <c r="M26" s="38">
        <f>M24-M32</f>
        <v>750.303030303031</v>
      </c>
      <c r="N26" s="38">
        <f>N24-N32</f>
        <v>750.303030303031</v>
      </c>
      <c r="O26" s="40">
        <f>SUM(C26:N26)</f>
        <v>5628.00000000001</v>
      </c>
    </row>
    <row r="27">
      <c r="B27" s="29" t="inlineStr">
        <is>
          <t>재고 (전월 재고 + 생산 − 출하)</t>
        </is>
      </c>
      <c r="C27" s="40">
        <f>N9+C24*IF(ISNUMBER(YIELD_Q),YIELD_Q,1)-C32</f>
        <v>4951.57575757576</v>
      </c>
      <c r="D27" s="40">
        <f>C27+D24*IF(ISNUMBER(YIELD_Q),YIELD_Q,1)-D32</f>
        <v>5701.87878787879</v>
      </c>
      <c r="E27" s="40">
        <f>D27+E24*IF(ISNUMBER(YIELD_Q),YIELD_Q,1)-E32</f>
        <v>6452.18181818183</v>
      </c>
      <c r="F27" s="40">
        <f>E27+F24*IF(ISNUMBER(YIELD_Q),YIELD_Q,1)-F32</f>
        <v>3826.84848484849</v>
      </c>
      <c r="G27" s="40">
        <f>F27+G24*IF(ISNUMBER(YIELD_Q),YIELD_Q,1)-G32</f>
        <v>4577.15151515152</v>
      </c>
      <c r="H27" s="40">
        <f>G27+H24*IF(ISNUMBER(YIELD_Q),YIELD_Q,1)-H32</f>
        <v>5327.45454545455</v>
      </c>
      <c r="I27" s="40">
        <f>H27+I24*IF(ISNUMBER(YIELD_Q),YIELD_Q,1)-I32</f>
        <v>6077.75757575759</v>
      </c>
      <c r="J27" s="40">
        <f>I27+J24*IF(ISNUMBER(YIELD_Q),YIELD_Q,1)-J32</f>
        <v>6828.06060606062</v>
      </c>
      <c r="K27" s="40">
        <f>J27+K24*IF(ISNUMBER(YIELD_Q),YIELD_Q,1)-K32</f>
        <v>7578.36363636365</v>
      </c>
      <c r="L27" s="40">
        <f>K27+L24*IF(ISNUMBER(YIELD_Q),YIELD_Q,1)-L32</f>
        <v>8328.66666666668</v>
      </c>
      <c r="M27" s="40">
        <f>L27+M24*IF(ISNUMBER(YIELD_Q),YIELD_Q,1)-M32</f>
        <v>9078.96969696971</v>
      </c>
      <c r="N27" s="40">
        <f>M27+N24*IF(ISNUMBER(YIELD_Q),YIELD_Q,1)-N32</f>
        <v>9829.27272727275</v>
      </c>
      <c r="O27" s="40">
        <f>N27</f>
        <v>9829.27272727275</v>
      </c>
    </row>
    <row r="28">
      <c r="B28" s="10" t="inlineStr">
        <is>
          <t>SK하이닉스</t>
        </is>
      </c>
      <c r="C28" s="41">
        <f>'01_입력'!$C$101</f>
        <v>1893.33333333333</v>
      </c>
      <c r="D28" s="41">
        <f>'01_입력'!$D$101</f>
        <v>1893.33333333333</v>
      </c>
      <c r="E28" s="41">
        <f>'01_입력'!$E$101</f>
        <v>1893.33333333333</v>
      </c>
      <c r="F28" s="41">
        <f>'01_입력'!$F$101</f>
        <v>1893.33333333333</v>
      </c>
      <c r="G28" s="41">
        <f>'01_입력'!$G$101</f>
        <v>1893.33333333333</v>
      </c>
      <c r="H28" s="41">
        <f>'01_입력'!$H$101</f>
        <v>1893.33333333333</v>
      </c>
      <c r="I28" s="41">
        <f>'01_입력'!$I$101</f>
        <v>1893.33333333333</v>
      </c>
      <c r="J28" s="41">
        <f>'01_입력'!$J$101</f>
        <v>1893.33333333333</v>
      </c>
      <c r="K28" s="41">
        <f>'01_입력'!$K$101</f>
        <v>1893.33333333333</v>
      </c>
      <c r="L28" s="41">
        <f>'01_입력'!$L$101</f>
        <v>1893.33333333333</v>
      </c>
      <c r="M28" s="41">
        <f>'01_입력'!$M$101</f>
        <v>1893.33333333333</v>
      </c>
      <c r="N28" s="41">
        <f>'01_입력'!$N$101</f>
        <v>1893.33333333333</v>
      </c>
      <c r="O28" s="26">
        <f>SUM(C28:N28)</f>
        <v>22720</v>
      </c>
    </row>
    <row r="29">
      <c r="B29" s="10" t="inlineStr">
        <is>
          <t>CXMT</t>
        </is>
      </c>
      <c r="C29" s="21">
        <f>'01_입력'!$C$102</f>
        <v>780</v>
      </c>
      <c r="D29" s="21">
        <f>'01_입력'!$D$102</f>
        <v>780</v>
      </c>
      <c r="E29" s="21">
        <f>'01_입력'!$E$102</f>
        <v>780</v>
      </c>
      <c r="F29" s="21">
        <f>'01_입력'!$F$102</f>
        <v>780</v>
      </c>
      <c r="G29" s="21">
        <f>'01_입력'!$G$102</f>
        <v>780</v>
      </c>
      <c r="H29" s="21">
        <f>'01_입력'!$H$102</f>
        <v>780</v>
      </c>
      <c r="I29" s="21">
        <f>'01_입력'!$I$102</f>
        <v>780</v>
      </c>
      <c r="J29" s="21">
        <f>'01_입력'!$J$102</f>
        <v>780</v>
      </c>
      <c r="K29" s="21">
        <f>'01_입력'!$K$102</f>
        <v>780</v>
      </c>
      <c r="L29" s="21">
        <f>'01_입력'!$L$102</f>
        <v>780</v>
      </c>
      <c r="M29" s="21">
        <f>'01_입력'!$M$102</f>
        <v>780</v>
      </c>
      <c r="N29" s="21">
        <f>'01_입력'!$N$102</f>
        <v>780</v>
      </c>
      <c r="O29" s="26">
        <f>SUM(C29:N29)</f>
        <v>9360</v>
      </c>
    </row>
    <row r="30">
      <c r="B30" s="10" t="inlineStr">
        <is>
          <t>이지켐</t>
        </is>
      </c>
      <c r="C30" s="21">
        <f>'01_입력'!$C$103</f>
        <v>840</v>
      </c>
      <c r="D30" s="21">
        <f>'01_입력'!$D$103</f>
        <v>840</v>
      </c>
      <c r="E30" s="21">
        <f>'01_입력'!$E$103</f>
        <v>840</v>
      </c>
      <c r="F30" s="21">
        <f>'01_입력'!$F$103</f>
        <v>840</v>
      </c>
      <c r="G30" s="21">
        <f>'01_입력'!$G$103</f>
        <v>840</v>
      </c>
      <c r="H30" s="21">
        <f>'01_입력'!$H$103</f>
        <v>840</v>
      </c>
      <c r="I30" s="21">
        <f>'01_입력'!$I$103</f>
        <v>840</v>
      </c>
      <c r="J30" s="21">
        <f>'01_입력'!$J$103</f>
        <v>840</v>
      </c>
      <c r="K30" s="21">
        <f>'01_입력'!$K$103</f>
        <v>840</v>
      </c>
      <c r="L30" s="21">
        <f>'01_입력'!$L$103</f>
        <v>840</v>
      </c>
      <c r="M30" s="21">
        <f>'01_입력'!$M$103</f>
        <v>840</v>
      </c>
      <c r="N30" s="21">
        <f>'01_입력'!$N$103</f>
        <v>840</v>
      </c>
      <c r="O30" s="26">
        <f>SUM(C30:N30)</f>
        <v>10080</v>
      </c>
    </row>
    <row r="31">
      <c r="B31" s="10" t="inlineStr">
        <is>
          <t>한솔</t>
        </is>
      </c>
      <c r="C31" s="21">
        <f>'01_입력'!$C$104</f>
        <v>300</v>
      </c>
      <c r="D31" s="21">
        <f>'01_입력'!$D$104</f>
        <v>300</v>
      </c>
      <c r="E31" s="21">
        <f>'01_입력'!$E$104</f>
        <v>300</v>
      </c>
      <c r="F31" s="21">
        <f>'01_입력'!$F$104</f>
        <v>300</v>
      </c>
      <c r="G31" s="21">
        <f>'01_입력'!$G$104</f>
        <v>300</v>
      </c>
      <c r="H31" s="21">
        <f>'01_입력'!$H$104</f>
        <v>300</v>
      </c>
      <c r="I31" s="21">
        <f>'01_입력'!$I$104</f>
        <v>300</v>
      </c>
      <c r="J31" s="21">
        <f>'01_입력'!$J$104</f>
        <v>300</v>
      </c>
      <c r="K31" s="21">
        <f>'01_입력'!$K$104</f>
        <v>300</v>
      </c>
      <c r="L31" s="21">
        <f>'01_입력'!$L$104</f>
        <v>300</v>
      </c>
      <c r="M31" s="21">
        <f>'01_입력'!$M$104</f>
        <v>300</v>
      </c>
      <c r="N31" s="21">
        <f>'01_입력'!$N$104</f>
        <v>300</v>
      </c>
      <c r="O31" s="26">
        <f>SUM(C31:N31)</f>
        <v>3600</v>
      </c>
    </row>
    <row r="32">
      <c r="B32" s="29" t="inlineStr">
        <is>
          <t>출하 합계</t>
        </is>
      </c>
      <c r="C32" s="41">
        <f>SUM(C28:C31)</f>
        <v>3813.33333333333</v>
      </c>
      <c r="D32" s="41">
        <f>SUM(D28:D31)</f>
        <v>3813.33333333333</v>
      </c>
      <c r="E32" s="41">
        <f>SUM(E28:E31)</f>
        <v>3813.33333333333</v>
      </c>
      <c r="F32" s="41">
        <f>SUM(F28:F31)</f>
        <v>3813.33333333333</v>
      </c>
      <c r="G32" s="41">
        <f>SUM(G28:G31)</f>
        <v>3813.33333333333</v>
      </c>
      <c r="H32" s="41">
        <f>SUM(H28:H31)</f>
        <v>3813.33333333333</v>
      </c>
      <c r="I32" s="41">
        <f>SUM(I28:I31)</f>
        <v>3813.33333333333</v>
      </c>
      <c r="J32" s="41">
        <f>SUM(J28:J31)</f>
        <v>3813.33333333333</v>
      </c>
      <c r="K32" s="41">
        <f>SUM(K28:K31)</f>
        <v>3813.33333333333</v>
      </c>
      <c r="L32" s="41">
        <f>SUM(L28:L31)</f>
        <v>3813.33333333333</v>
      </c>
      <c r="M32" s="41">
        <f>SUM(M28:M31)</f>
        <v>3813.33333333333</v>
      </c>
      <c r="N32" s="41">
        <f>SUM(N28:N31)</f>
        <v>3813.33333333333</v>
      </c>
      <c r="O32" s="26">
        <f>SUM(C32:N32)</f>
        <v>45760</v>
      </c>
    </row>
    <row r="33">
      <c r="B33" s="10" t="inlineStr">
        <is>
          <t>필요 Batch (출하÷190)</t>
        </is>
      </c>
      <c r="C33" s="32">
        <f>C32/KG_B</f>
        <v>20.0701754385965</v>
      </c>
      <c r="D33" s="32">
        <f>D32/KG_B</f>
        <v>20.0701754385965</v>
      </c>
      <c r="E33" s="32">
        <f>E32/KG_B</f>
        <v>20.0701754385965</v>
      </c>
      <c r="F33" s="32">
        <f>F32/KG_B</f>
        <v>20.0701754385965</v>
      </c>
      <c r="G33" s="32">
        <f>G32/KG_B</f>
        <v>20.0701754385965</v>
      </c>
      <c r="H33" s="32">
        <f>H32/KG_B</f>
        <v>20.0701754385965</v>
      </c>
      <c r="I33" s="32">
        <f>I32/KG_B</f>
        <v>20.0701754385965</v>
      </c>
      <c r="J33" s="32">
        <f>J32/KG_B</f>
        <v>20.0701754385965</v>
      </c>
      <c r="K33" s="32">
        <f>K32/KG_B</f>
        <v>20.0701754385965</v>
      </c>
      <c r="L33" s="32">
        <f>L32/KG_B</f>
        <v>20.0701754385965</v>
      </c>
      <c r="M33" s="32">
        <f>M32/KG_B</f>
        <v>20.0701754385965</v>
      </c>
      <c r="N33" s="32">
        <f>N32/KG_B</f>
        <v>20.0701754385965</v>
      </c>
      <c r="O33" s="35">
        <f>SUM(C33:N33)</f>
        <v>240.842105263158</v>
      </c>
    </row>
    <row r="34">
      <c r="B34" s="10" t="inlineStr">
        <is>
          <t>200 L 충진 방식 (이지켐/한솔)</t>
        </is>
      </c>
      <c r="C34" s="5" t="str">
        <f>'08_후공정부하'!C48&amp;"/"&amp;'08_후공정부하'!C51</f>
        <v>ARS/ARS</v>
      </c>
      <c r="D34" s="5" t="str">
        <f>'08_후공정부하'!D48&amp;"/"&amp;'08_후공정부하'!D51</f>
        <v>ARS/ARS</v>
      </c>
      <c r="E34" s="5" t="str">
        <f>'08_후공정부하'!E48&amp;"/"&amp;'08_후공정부하'!E51</f>
        <v>ARS/ARS</v>
      </c>
      <c r="F34" s="5" t="str">
        <f>'08_후공정부하'!F48&amp;"/"&amp;'08_후공정부하'!F51</f>
        <v>ARS/ARS</v>
      </c>
      <c r="G34" s="5" t="str">
        <f>'08_후공정부하'!G48&amp;"/"&amp;'08_후공정부하'!G51</f>
        <v>ARS/ARS</v>
      </c>
      <c r="H34" s="5" t="str">
        <f>'08_후공정부하'!H48&amp;"/"&amp;'08_후공정부하'!H51</f>
        <v>ARS/ARS</v>
      </c>
      <c r="I34" s="5" t="str">
        <f>'08_후공정부하'!I48&amp;"/"&amp;'08_후공정부하'!I51</f>
        <v>ARS/ARS</v>
      </c>
      <c r="J34" s="5" t="str">
        <f>'08_후공정부하'!J48&amp;"/"&amp;'08_후공정부하'!J51</f>
        <v>ARS/ARS</v>
      </c>
      <c r="K34" s="5" t="str">
        <f>'08_후공정부하'!K48&amp;"/"&amp;'08_후공정부하'!K51</f>
        <v>ARS/ARS</v>
      </c>
      <c r="L34" s="5" t="str">
        <f>'08_후공정부하'!L48&amp;"/"&amp;'08_후공정부하'!L51</f>
        <v>ARS/ARS</v>
      </c>
      <c r="M34" s="5" t="str">
        <f>'08_후공정부하'!M48&amp;"/"&amp;'08_후공정부하'!M51</f>
        <v>ARS/ARS</v>
      </c>
      <c r="N34" s="5" t="str">
        <f>'08_후공정부하'!N48&amp;"/"&amp;'08_후공정부하'!N51</f>
        <v>ARS/ARS</v>
      </c>
      <c r="O34" s="26" t="inlineStr">
        <is>
          <t>-</t>
        </is>
      </c>
    </row>
    <row r="35">
      <c r="B35" s="10" t="inlineStr">
        <is>
          <t>5 Gal 충진 h</t>
        </is>
      </c>
      <c r="C35" s="17">
        <f>'08_후공정부하'!C43</f>
        <v>267.333333333333</v>
      </c>
      <c r="D35" s="17">
        <f>'08_후공정부하'!D43</f>
        <v>267.333333333333</v>
      </c>
      <c r="E35" s="17">
        <f>'08_후공정부하'!E43</f>
        <v>267.333333333333</v>
      </c>
      <c r="F35" s="17">
        <f>'08_후공정부하'!F43</f>
        <v>267.333333333333</v>
      </c>
      <c r="G35" s="17">
        <f>'08_후공정부하'!G43</f>
        <v>267.333333333333</v>
      </c>
      <c r="H35" s="17">
        <f>'08_후공정부하'!H43</f>
        <v>267.333333333333</v>
      </c>
      <c r="I35" s="17">
        <f>'08_후공정부하'!I43</f>
        <v>267.333333333333</v>
      </c>
      <c r="J35" s="17">
        <f>'08_후공정부하'!J43</f>
        <v>267.333333333333</v>
      </c>
      <c r="K35" s="17">
        <f>'08_후공정부하'!K43</f>
        <v>267.333333333333</v>
      </c>
      <c r="L35" s="17">
        <f>'08_후공정부하'!L43</f>
        <v>267.333333333333</v>
      </c>
      <c r="M35" s="17">
        <f>'08_후공정부하'!M43</f>
        <v>267.333333333333</v>
      </c>
      <c r="N35" s="17">
        <f>'08_후공정부하'!N43</f>
        <v>267.333333333333</v>
      </c>
      <c r="O35" s="13">
        <f>SUM(C35:N35)</f>
        <v>3208</v>
      </c>
    </row>
    <row r="36">
      <c r="B36" s="10" t="inlineStr">
        <is>
          <t>200 L 충진 h</t>
        </is>
      </c>
      <c r="C36" s="17">
        <f>'08_후공정부하'!C53</f>
        <v>64</v>
      </c>
      <c r="D36" s="17">
        <f>'08_후공정부하'!D53</f>
        <v>64</v>
      </c>
      <c r="E36" s="17">
        <f>'08_후공정부하'!E53</f>
        <v>64</v>
      </c>
      <c r="F36" s="17">
        <f>'08_후공정부하'!F53</f>
        <v>64</v>
      </c>
      <c r="G36" s="17">
        <f>'08_후공정부하'!G53</f>
        <v>64</v>
      </c>
      <c r="H36" s="17">
        <f>'08_후공정부하'!H53</f>
        <v>64</v>
      </c>
      <c r="I36" s="17">
        <f>'08_후공정부하'!I53</f>
        <v>64</v>
      </c>
      <c r="J36" s="17">
        <f>'08_후공정부하'!J53</f>
        <v>64</v>
      </c>
      <c r="K36" s="17">
        <f>'08_후공정부하'!K53</f>
        <v>64</v>
      </c>
      <c r="L36" s="17">
        <f>'08_후공정부하'!L53</f>
        <v>64</v>
      </c>
      <c r="M36" s="17">
        <f>'08_후공정부하'!M53</f>
        <v>64</v>
      </c>
      <c r="N36" s="17">
        <f>'08_후공정부하'!N53</f>
        <v>64</v>
      </c>
      <c r="O36" s="13">
        <f>SUM(C36:N36)</f>
        <v>768</v>
      </c>
    </row>
    <row r="37">
      <c r="B37" s="10" t="inlineStr">
        <is>
          <t>이지켐 용기</t>
        </is>
      </c>
      <c r="C37" s="32">
        <f>'08_후공정부하'!C47</f>
        <v>6</v>
      </c>
      <c r="D37" s="32">
        <f>'08_후공정부하'!D47</f>
        <v>6</v>
      </c>
      <c r="E37" s="32">
        <f>'08_후공정부하'!E47</f>
        <v>6</v>
      </c>
      <c r="F37" s="32">
        <f>'08_후공정부하'!F47</f>
        <v>6</v>
      </c>
      <c r="G37" s="32">
        <f>'08_후공정부하'!G47</f>
        <v>6</v>
      </c>
      <c r="H37" s="32">
        <f>'08_후공정부하'!H47</f>
        <v>6</v>
      </c>
      <c r="I37" s="32">
        <f>'08_후공정부하'!I47</f>
        <v>6</v>
      </c>
      <c r="J37" s="32">
        <f>'08_후공정부하'!J47</f>
        <v>6</v>
      </c>
      <c r="K37" s="32">
        <f>'08_후공정부하'!K47</f>
        <v>6</v>
      </c>
      <c r="L37" s="32">
        <f>'08_후공정부하'!L47</f>
        <v>6</v>
      </c>
      <c r="M37" s="32">
        <f>'08_후공정부하'!M47</f>
        <v>6</v>
      </c>
      <c r="N37" s="32">
        <f>'08_후공정부하'!N47</f>
        <v>6</v>
      </c>
      <c r="O37" s="35">
        <f>SUM(C37:N37)</f>
        <v>72</v>
      </c>
    </row>
    <row r="38">
      <c r="B38" s="10" t="inlineStr">
        <is>
          <t>한솔 용기</t>
        </is>
      </c>
      <c r="C38" s="32">
        <f>'08_후공정부하'!C50</f>
        <v>2</v>
      </c>
      <c r="D38" s="32">
        <f>'08_후공정부하'!D50</f>
        <v>2</v>
      </c>
      <c r="E38" s="32">
        <f>'08_후공정부하'!E50</f>
        <v>2</v>
      </c>
      <c r="F38" s="32">
        <f>'08_후공정부하'!F50</f>
        <v>2</v>
      </c>
      <c r="G38" s="32">
        <f>'08_후공정부하'!G50</f>
        <v>2</v>
      </c>
      <c r="H38" s="32">
        <f>'08_후공정부하'!H50</f>
        <v>2</v>
      </c>
      <c r="I38" s="32">
        <f>'08_후공정부하'!I50</f>
        <v>2</v>
      </c>
      <c r="J38" s="32">
        <f>'08_후공정부하'!J50</f>
        <v>2</v>
      </c>
      <c r="K38" s="32">
        <f>'08_후공정부하'!K50</f>
        <v>2</v>
      </c>
      <c r="L38" s="32">
        <f>'08_후공정부하'!L50</f>
        <v>2</v>
      </c>
      <c r="M38" s="32">
        <f>'08_후공정부하'!M50</f>
        <v>2</v>
      </c>
      <c r="N38" s="32">
        <f>'08_후공정부하'!N50</f>
        <v>2</v>
      </c>
      <c r="O38" s="35">
        <f>SUM(C38:N38)</f>
        <v>24</v>
      </c>
    </row>
    <row r="40">
      <c r="B40" s="18" t="inlineStr">
        <is>
          <t>2027년 1~4월은 확정 생산 (01_입력 G), 5월부터 47,200 ÷ 11 · 2028년 50,200 ÷ 11 · 4월 대정비 1,188 kg · 재고는 기초재고 2,882 kg부터</t>
        </is>
      </c>
    </row>
  </sheetData>
  <conditionalFormatting sqref="C5:N5">
    <cfRule type="expression" priority="1" dxfId="0">
      <formula>C5="대정비"</formula>
    </cfRule>
  </conditionalFormatting>
  <conditionalFormatting sqref="C6:N6">
    <cfRule type="expression" priority="2" dxfId="1">
      <formula>C5="대정비"</formula>
    </cfRule>
  </conditionalFormatting>
  <conditionalFormatting sqref="C23:N23">
    <cfRule type="expression" priority="3" dxfId="0">
      <formula>C23="대정비"</formula>
    </cfRule>
  </conditionalFormatting>
  <conditionalFormatting sqref="C24:N24">
    <cfRule type="expression" priority="4" dxfId="1">
      <formula>C23="대정비"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F7900"/>
    <outlinePr summaryBelow="1" summaryRight="1"/>
    <pageSetUpPr/>
  </sheetPr>
  <dimension ref="B1:O40"/>
  <sheetViews>
    <sheetView showGridLines="0" zoomScale="9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</cols>
  <sheetData>
    <row r="1">
      <c r="B1" s="1" t="inlineStr">
        <is>
          <t>06_월별_생산계획 | 기존 생산계획 기준 생산 vs 출하</t>
        </is>
      </c>
    </row>
    <row r="2">
      <c r="B2" s="2" t="inlineStr">
        <is>
          <t>PPT 연도별 표. 생산 = 01_입력 G 기존 생산계획 · 출하·충진은 01_입력 · 08_후공정부하 연결.</t>
        </is>
      </c>
    </row>
    <row r="4">
      <c r="B4" s="8" t="inlineStr">
        <is>
          <t>2027</t>
        </is>
      </c>
      <c r="C4" s="25" t="n">
        <v>46388</v>
      </c>
      <c r="D4" s="25" t="n">
        <v>46419</v>
      </c>
      <c r="E4" s="25" t="n">
        <v>46447</v>
      </c>
      <c r="F4" s="25" t="n">
        <v>46478</v>
      </c>
      <c r="G4" s="25" t="n">
        <v>46508</v>
      </c>
      <c r="H4" s="25" t="n">
        <v>46539</v>
      </c>
      <c r="I4" s="25" t="n">
        <v>46569</v>
      </c>
      <c r="J4" s="25" t="n">
        <v>46600</v>
      </c>
      <c r="K4" s="25" t="n">
        <v>46631</v>
      </c>
      <c r="L4" s="25" t="n">
        <v>46661</v>
      </c>
      <c r="M4" s="25" t="n">
        <v>46692</v>
      </c>
      <c r="N4" s="25" t="n">
        <v>46722</v>
      </c>
      <c r="O4" s="9" t="inlineStr">
        <is>
          <t>연간</t>
        </is>
      </c>
    </row>
    <row r="5">
      <c r="B5" s="10" t="inlineStr">
        <is>
          <t>운전 조건</t>
        </is>
      </c>
      <c r="C5" s="5" t="str">
        <f>IF(MONTH(C$4)=MAINT_M,"대정비",IF(C$4&lt;RF_START,"정제기 1대","정제기 2대"))</f>
        <v>정제기 1대</v>
      </c>
      <c r="D5" s="5" t="str">
        <f>IF(MONTH(D$4)=MAINT_M,"대정비",IF(D$4&lt;RF_START,"정제기 1대","정제기 2대"))</f>
        <v>정제기 1대</v>
      </c>
      <c r="E5" s="5" t="str">
        <f>IF(MONTH(E$4)=MAINT_M,"대정비",IF(E$4&lt;RF_START,"정제기 1대","정제기 2대"))</f>
        <v>정제기 1대</v>
      </c>
      <c r="F5" s="5" t="str">
        <f>IF(MONTH(F$4)=MAINT_M,"대정비",IF(F$4&lt;RF_START,"정제기 1대","정제기 2대"))</f>
        <v>대정비</v>
      </c>
      <c r="G5" s="5" t="str">
        <f>IF(MONTH(G$4)=MAINT_M,"대정비",IF(G$4&lt;RF_START,"정제기 1대","정제기 2대"))</f>
        <v>정제기 2대</v>
      </c>
      <c r="H5" s="5" t="str">
        <f>IF(MONTH(H$4)=MAINT_M,"대정비",IF(H$4&lt;RF_START,"정제기 1대","정제기 2대"))</f>
        <v>정제기 2대</v>
      </c>
      <c r="I5" s="5" t="str">
        <f>IF(MONTH(I$4)=MAINT_M,"대정비",IF(I$4&lt;RF_START,"정제기 1대","정제기 2대"))</f>
        <v>정제기 2대</v>
      </c>
      <c r="J5" s="5" t="str">
        <f>IF(MONTH(J$4)=MAINT_M,"대정비",IF(J$4&lt;RF_START,"정제기 1대","정제기 2대"))</f>
        <v>정제기 2대</v>
      </c>
      <c r="K5" s="5" t="str">
        <f>IF(MONTH(K$4)=MAINT_M,"대정비",IF(K$4&lt;RF_START,"정제기 1대","정제기 2대"))</f>
        <v>정제기 2대</v>
      </c>
      <c r="L5" s="5" t="str">
        <f>IF(MONTH(L$4)=MAINT_M,"대정비",IF(L$4&lt;RF_START,"정제기 1대","정제기 2대"))</f>
        <v>정제기 2대</v>
      </c>
      <c r="M5" s="5" t="str">
        <f>IF(MONTH(M$4)=MAINT_M,"대정비",IF(M$4&lt;RF_START,"정제기 1대","정제기 2대"))</f>
        <v>정제기 2대</v>
      </c>
      <c r="N5" s="5" t="str">
        <f>IF(MONTH(N$4)=MAINT_M,"대정비",IF(N$4&lt;RF_START,"정제기 1대","정제기 2대"))</f>
        <v>정제기 2대</v>
      </c>
      <c r="O5" s="26" t="inlineStr"/>
    </row>
    <row r="6">
      <c r="B6" s="29" t="inlineStr">
        <is>
          <t>생산 (kg)</t>
        </is>
      </c>
      <c r="C6" s="39">
        <f>'01_입력'!$C$80</f>
        <v>2178</v>
      </c>
      <c r="D6" s="39">
        <f>'01_입력'!$D$80</f>
        <v>2178</v>
      </c>
      <c r="E6" s="39">
        <f>'01_입력'!$E$80</f>
        <v>3168</v>
      </c>
      <c r="F6" s="39">
        <f>'01_입력'!$F$80</f>
        <v>1188</v>
      </c>
      <c r="G6" s="22">
        <f>'01_입력'!$G$80</f>
        <v>3564</v>
      </c>
      <c r="H6" s="22">
        <f>'01_입력'!$H$80</f>
        <v>3564</v>
      </c>
      <c r="I6" s="22">
        <f>'01_입력'!$I$80</f>
        <v>3564</v>
      </c>
      <c r="J6" s="22">
        <f>'01_입력'!$J$80</f>
        <v>3564</v>
      </c>
      <c r="K6" s="22">
        <f>'01_입력'!$K$80</f>
        <v>3564</v>
      </c>
      <c r="L6" s="22">
        <f>'01_입력'!$L$80</f>
        <v>3564</v>
      </c>
      <c r="M6" s="22">
        <f>'01_입력'!$M$80</f>
        <v>3564</v>
      </c>
      <c r="N6" s="22">
        <f>'01_입력'!$N$80</f>
        <v>3564</v>
      </c>
      <c r="O6" s="26">
        <f>SUM(C6:N6)</f>
        <v>37224</v>
      </c>
    </row>
    <row r="7">
      <c r="B7" s="10" t="inlineStr">
        <is>
          <t>Batch 환산 (÷190)</t>
        </is>
      </c>
      <c r="C7" s="32">
        <f>C6/KG_B</f>
        <v>11.4631578947368</v>
      </c>
      <c r="D7" s="32">
        <f>D6/KG_B</f>
        <v>11.4631578947368</v>
      </c>
      <c r="E7" s="32">
        <f>E6/KG_B</f>
        <v>16.6736842105263</v>
      </c>
      <c r="F7" s="32">
        <f>F6/KG_B</f>
        <v>6.25263157894737</v>
      </c>
      <c r="G7" s="32">
        <f>G6/KG_B</f>
        <v>18.7578947368421</v>
      </c>
      <c r="H7" s="32">
        <f>H6/KG_B</f>
        <v>18.7578947368421</v>
      </c>
      <c r="I7" s="32">
        <f>I6/KG_B</f>
        <v>18.7578947368421</v>
      </c>
      <c r="J7" s="32">
        <f>J6/KG_B</f>
        <v>18.7578947368421</v>
      </c>
      <c r="K7" s="32">
        <f>K6/KG_B</f>
        <v>18.7578947368421</v>
      </c>
      <c r="L7" s="32">
        <f>L6/KG_B</f>
        <v>18.7578947368421</v>
      </c>
      <c r="M7" s="32">
        <f>M6/KG_B</f>
        <v>18.7578947368421</v>
      </c>
      <c r="N7" s="32">
        <f>N6/KG_B</f>
        <v>18.7578947368421</v>
      </c>
      <c r="O7" s="35">
        <f>SUM(C7:N7)</f>
        <v>195.915789473684</v>
      </c>
    </row>
    <row r="8">
      <c r="B8" s="10" t="inlineStr">
        <is>
          <t>생산 − 출하</t>
        </is>
      </c>
      <c r="C8" s="38">
        <f>C6-C14</f>
        <v>-575.333333333333</v>
      </c>
      <c r="D8" s="38">
        <f>D6-D14</f>
        <v>-575.333333333333</v>
      </c>
      <c r="E8" s="38">
        <f>E6-E14</f>
        <v>-165.333333333333</v>
      </c>
      <c r="F8" s="38">
        <f>F6-F14</f>
        <v>-2145.33333333333</v>
      </c>
      <c r="G8" s="38">
        <f>G6-G14</f>
        <v>230.666666666667</v>
      </c>
      <c r="H8" s="38">
        <f>H6-H14</f>
        <v>230.666666666667</v>
      </c>
      <c r="I8" s="38">
        <f>I6-I14</f>
        <v>-249.333333333333</v>
      </c>
      <c r="J8" s="38">
        <f>J6-J14</f>
        <v>-249.333333333333</v>
      </c>
      <c r="K8" s="38">
        <f>K6-K14</f>
        <v>-249.333333333333</v>
      </c>
      <c r="L8" s="38">
        <f>L6-L14</f>
        <v>-249.333333333333</v>
      </c>
      <c r="M8" s="38">
        <f>M6-M14</f>
        <v>-249.333333333333</v>
      </c>
      <c r="N8" s="38">
        <f>N6-N14</f>
        <v>-249.333333333333</v>
      </c>
      <c r="O8" s="40">
        <f>SUM(C8:N8)</f>
        <v>-4496</v>
      </c>
    </row>
    <row r="9">
      <c r="B9" s="29" t="inlineStr">
        <is>
          <t>재고 (전월 재고 + 생산 − 출하)</t>
        </is>
      </c>
      <c r="C9" s="40">
        <f>N(INV_0)+C6*IF(ISNUMBER(YIELD_Q),YIELD_Q,1)-C14</f>
        <v>2306.66666666667</v>
      </c>
      <c r="D9" s="40">
        <f>C9+D6*IF(ISNUMBER(YIELD_Q),YIELD_Q,1)-D14</f>
        <v>1731.33333333333</v>
      </c>
      <c r="E9" s="40">
        <f>D9+E6*IF(ISNUMBER(YIELD_Q),YIELD_Q,1)-E14</f>
        <v>1566</v>
      </c>
      <c r="F9" s="40">
        <f>E9+F6*IF(ISNUMBER(YIELD_Q),YIELD_Q,1)-F14</f>
        <v>-579.333333333332</v>
      </c>
      <c r="G9" s="40">
        <f>F9+G6*IF(ISNUMBER(YIELD_Q),YIELD_Q,1)-G14</f>
        <v>-348.666666666665</v>
      </c>
      <c r="H9" s="40">
        <f>G9+H6*IF(ISNUMBER(YIELD_Q),YIELD_Q,1)-H14</f>
        <v>-117.999999999998</v>
      </c>
      <c r="I9" s="40">
        <f>H9+I6*IF(ISNUMBER(YIELD_Q),YIELD_Q,1)-I14</f>
        <v>-367.333333333331</v>
      </c>
      <c r="J9" s="40">
        <f>I9+J6*IF(ISNUMBER(YIELD_Q),YIELD_Q,1)-J14</f>
        <v>-616.666666666664</v>
      </c>
      <c r="K9" s="40">
        <f>J9+K6*IF(ISNUMBER(YIELD_Q),YIELD_Q,1)-K14</f>
        <v>-865.999999999997</v>
      </c>
      <c r="L9" s="40">
        <f>K9+L6*IF(ISNUMBER(YIELD_Q),YIELD_Q,1)-L14</f>
        <v>-1115.33333333333</v>
      </c>
      <c r="M9" s="40">
        <f>L9+M6*IF(ISNUMBER(YIELD_Q),YIELD_Q,1)-M14</f>
        <v>-1364.66666666666</v>
      </c>
      <c r="N9" s="40">
        <f>M9+N6*IF(ISNUMBER(YIELD_Q),YIELD_Q,1)-N14</f>
        <v>-1614</v>
      </c>
      <c r="O9" s="40">
        <f>N9</f>
        <v>-1614</v>
      </c>
    </row>
    <row r="10">
      <c r="B10" s="10" t="inlineStr">
        <is>
          <t>SK하이닉스</t>
        </is>
      </c>
      <c r="C10" s="41">
        <f>'01_입력'!$C$94</f>
        <v>1893.33333333333</v>
      </c>
      <c r="D10" s="41">
        <f>'01_입력'!$D$94</f>
        <v>1893.33333333333</v>
      </c>
      <c r="E10" s="41">
        <f>'01_입력'!$E$94</f>
        <v>1893.33333333333</v>
      </c>
      <c r="F10" s="41">
        <f>'01_입력'!$F$94</f>
        <v>1893.33333333333</v>
      </c>
      <c r="G10" s="41">
        <f>'01_입력'!$G$94</f>
        <v>1893.33333333333</v>
      </c>
      <c r="H10" s="41">
        <f>'01_입력'!$H$94</f>
        <v>1893.33333333333</v>
      </c>
      <c r="I10" s="41">
        <f>'01_입력'!$I$94</f>
        <v>1893.33333333333</v>
      </c>
      <c r="J10" s="41">
        <f>'01_입력'!$J$94</f>
        <v>1893.33333333333</v>
      </c>
      <c r="K10" s="41">
        <f>'01_입력'!$K$94</f>
        <v>1893.33333333333</v>
      </c>
      <c r="L10" s="41">
        <f>'01_입력'!$L$94</f>
        <v>1893.33333333333</v>
      </c>
      <c r="M10" s="41">
        <f>'01_입력'!$M$94</f>
        <v>1893.33333333333</v>
      </c>
      <c r="N10" s="41">
        <f>'01_입력'!$N$94</f>
        <v>1893.33333333333</v>
      </c>
      <c r="O10" s="26">
        <f>SUM(C10:N10)</f>
        <v>22720</v>
      </c>
    </row>
    <row r="11">
      <c r="B11" s="10" t="inlineStr">
        <is>
          <t>CXMT</t>
        </is>
      </c>
      <c r="C11" s="21">
        <f>'01_입력'!$C$95</f>
        <v>0</v>
      </c>
      <c r="D11" s="21">
        <f>'01_입력'!$D$95</f>
        <v>0</v>
      </c>
      <c r="E11" s="21">
        <f>'01_입력'!$E$95</f>
        <v>580</v>
      </c>
      <c r="F11" s="21">
        <f>'01_입력'!$F$95</f>
        <v>580</v>
      </c>
      <c r="G11" s="21">
        <f>'01_입력'!$G$95</f>
        <v>580</v>
      </c>
      <c r="H11" s="21">
        <f>'01_입력'!$H$95</f>
        <v>580</v>
      </c>
      <c r="I11" s="21">
        <f>'01_입력'!$I$95</f>
        <v>780</v>
      </c>
      <c r="J11" s="21">
        <f>'01_입력'!$J$95</f>
        <v>780</v>
      </c>
      <c r="K11" s="21">
        <f>'01_입력'!$K$95</f>
        <v>780</v>
      </c>
      <c r="L11" s="21">
        <f>'01_입력'!$L$95</f>
        <v>780</v>
      </c>
      <c r="M11" s="21">
        <f>'01_입력'!$M$95</f>
        <v>780</v>
      </c>
      <c r="N11" s="21">
        <f>'01_입력'!$N$95</f>
        <v>780</v>
      </c>
      <c r="O11" s="26">
        <f>SUM(C11:N11)</f>
        <v>7000</v>
      </c>
    </row>
    <row r="12">
      <c r="B12" s="10" t="inlineStr">
        <is>
          <t>이지켐</t>
        </is>
      </c>
      <c r="C12" s="21">
        <f>'01_입력'!$C$96</f>
        <v>560</v>
      </c>
      <c r="D12" s="21">
        <f>'01_입력'!$D$96</f>
        <v>560</v>
      </c>
      <c r="E12" s="21">
        <f>'01_입력'!$E$96</f>
        <v>560</v>
      </c>
      <c r="F12" s="21">
        <f>'01_입력'!$F$96</f>
        <v>560</v>
      </c>
      <c r="G12" s="21">
        <f>'01_입력'!$G$96</f>
        <v>560</v>
      </c>
      <c r="H12" s="21">
        <f>'01_입력'!$H$96</f>
        <v>560</v>
      </c>
      <c r="I12" s="21">
        <f>'01_입력'!$I$96</f>
        <v>840</v>
      </c>
      <c r="J12" s="21">
        <f>'01_입력'!$J$96</f>
        <v>840</v>
      </c>
      <c r="K12" s="21">
        <f>'01_입력'!$K$96</f>
        <v>840</v>
      </c>
      <c r="L12" s="21">
        <f>'01_입력'!$L$96</f>
        <v>840</v>
      </c>
      <c r="M12" s="21">
        <f>'01_입력'!$M$96</f>
        <v>840</v>
      </c>
      <c r="N12" s="21">
        <f>'01_입력'!$N$96</f>
        <v>840</v>
      </c>
      <c r="O12" s="26">
        <f>SUM(C12:N12)</f>
        <v>8400</v>
      </c>
    </row>
    <row r="13">
      <c r="B13" s="10" t="inlineStr">
        <is>
          <t>한솔</t>
        </is>
      </c>
      <c r="C13" s="21">
        <f>'01_입력'!$C$97</f>
        <v>300</v>
      </c>
      <c r="D13" s="21">
        <f>'01_입력'!$D$97</f>
        <v>300</v>
      </c>
      <c r="E13" s="21">
        <f>'01_입력'!$E$97</f>
        <v>300</v>
      </c>
      <c r="F13" s="21">
        <f>'01_입력'!$F$97</f>
        <v>300</v>
      </c>
      <c r="G13" s="21">
        <f>'01_입력'!$G$97</f>
        <v>300</v>
      </c>
      <c r="H13" s="21">
        <f>'01_입력'!$H$97</f>
        <v>300</v>
      </c>
      <c r="I13" s="21">
        <f>'01_입력'!$I$97</f>
        <v>300</v>
      </c>
      <c r="J13" s="21">
        <f>'01_입력'!$J$97</f>
        <v>300</v>
      </c>
      <c r="K13" s="21">
        <f>'01_입력'!$K$97</f>
        <v>300</v>
      </c>
      <c r="L13" s="21">
        <f>'01_입력'!$L$97</f>
        <v>300</v>
      </c>
      <c r="M13" s="21">
        <f>'01_입력'!$M$97</f>
        <v>300</v>
      </c>
      <c r="N13" s="21">
        <f>'01_입력'!$N$97</f>
        <v>300</v>
      </c>
      <c r="O13" s="26">
        <f>SUM(C13:N13)</f>
        <v>3600</v>
      </c>
    </row>
    <row r="14">
      <c r="B14" s="29" t="inlineStr">
        <is>
          <t>출하 합계</t>
        </is>
      </c>
      <c r="C14" s="41">
        <f>SUM(C10:C13)</f>
        <v>2753.33333333333</v>
      </c>
      <c r="D14" s="41">
        <f>SUM(D10:D13)</f>
        <v>2753.33333333333</v>
      </c>
      <c r="E14" s="41">
        <f>SUM(E10:E13)</f>
        <v>3333.33333333333</v>
      </c>
      <c r="F14" s="41">
        <f>SUM(F10:F13)</f>
        <v>3333.33333333333</v>
      </c>
      <c r="G14" s="41">
        <f>SUM(G10:G13)</f>
        <v>3333.33333333333</v>
      </c>
      <c r="H14" s="41">
        <f>SUM(H10:H13)</f>
        <v>3333.33333333333</v>
      </c>
      <c r="I14" s="41">
        <f>SUM(I10:I13)</f>
        <v>3813.33333333333</v>
      </c>
      <c r="J14" s="41">
        <f>SUM(J10:J13)</f>
        <v>3813.33333333333</v>
      </c>
      <c r="K14" s="41">
        <f>SUM(K10:K13)</f>
        <v>3813.33333333333</v>
      </c>
      <c r="L14" s="41">
        <f>SUM(L10:L13)</f>
        <v>3813.33333333333</v>
      </c>
      <c r="M14" s="41">
        <f>SUM(M10:M13)</f>
        <v>3813.33333333333</v>
      </c>
      <c r="N14" s="41">
        <f>SUM(N10:N13)</f>
        <v>3813.33333333333</v>
      </c>
      <c r="O14" s="26">
        <f>SUM(C14:N14)</f>
        <v>41720</v>
      </c>
    </row>
    <row r="15">
      <c r="B15" s="10" t="inlineStr">
        <is>
          <t>필요 Batch (출하÷190)</t>
        </is>
      </c>
      <c r="C15" s="32">
        <f>C14/KG_B</f>
        <v>14.4912280701754</v>
      </c>
      <c r="D15" s="32">
        <f>D14/KG_B</f>
        <v>14.4912280701754</v>
      </c>
      <c r="E15" s="32">
        <f>E14/KG_B</f>
        <v>17.5438596491228</v>
      </c>
      <c r="F15" s="32">
        <f>F14/KG_B</f>
        <v>17.5438596491228</v>
      </c>
      <c r="G15" s="32">
        <f>G14/KG_B</f>
        <v>17.5438596491228</v>
      </c>
      <c r="H15" s="32">
        <f>H14/KG_B</f>
        <v>17.5438596491228</v>
      </c>
      <c r="I15" s="32">
        <f>I14/KG_B</f>
        <v>20.0701754385965</v>
      </c>
      <c r="J15" s="32">
        <f>J14/KG_B</f>
        <v>20.0701754385965</v>
      </c>
      <c r="K15" s="32">
        <f>K14/KG_B</f>
        <v>20.0701754385965</v>
      </c>
      <c r="L15" s="32">
        <f>L14/KG_B</f>
        <v>20.0701754385965</v>
      </c>
      <c r="M15" s="32">
        <f>M14/KG_B</f>
        <v>20.0701754385965</v>
      </c>
      <c r="N15" s="32">
        <f>N14/KG_B</f>
        <v>20.0701754385965</v>
      </c>
      <c r="O15" s="35">
        <f>SUM(C15:N15)</f>
        <v>219.578947368421</v>
      </c>
    </row>
    <row r="16">
      <c r="B16" s="10" t="inlineStr">
        <is>
          <t>200 L 충진 방식 (이지켐/한솔)</t>
        </is>
      </c>
      <c r="C16" s="5" t="str">
        <f>'08_후공정부하'!C30&amp;"/"&amp;'08_후공정부하'!C33</f>
        <v>수동/수동</v>
      </c>
      <c r="D16" s="5" t="str">
        <f>'08_후공정부하'!D30&amp;"/"&amp;'08_후공정부하'!D33</f>
        <v>수동/수동</v>
      </c>
      <c r="E16" s="5" t="str">
        <f>'08_후공정부하'!E30&amp;"/"&amp;'08_후공정부하'!E33</f>
        <v>수동/수동</v>
      </c>
      <c r="F16" s="5" t="str">
        <f>'08_후공정부하'!F30&amp;"/"&amp;'08_후공정부하'!F33</f>
        <v>수동/수동</v>
      </c>
      <c r="G16" s="5" t="str">
        <f>'08_후공정부하'!G30&amp;"/"&amp;'08_후공정부하'!G33</f>
        <v>수동/수동</v>
      </c>
      <c r="H16" s="5" t="str">
        <f>'08_후공정부하'!H30&amp;"/"&amp;'08_후공정부하'!H33</f>
        <v>수동/수동</v>
      </c>
      <c r="I16" s="5" t="str">
        <f>'08_후공정부하'!I30&amp;"/"&amp;'08_후공정부하'!I33</f>
        <v>ARS/ARS</v>
      </c>
      <c r="J16" s="5" t="str">
        <f>'08_후공정부하'!J30&amp;"/"&amp;'08_후공정부하'!J33</f>
        <v>ARS/ARS</v>
      </c>
      <c r="K16" s="5" t="str">
        <f>'08_후공정부하'!K30&amp;"/"&amp;'08_후공정부하'!K33</f>
        <v>ARS/ARS</v>
      </c>
      <c r="L16" s="5" t="str">
        <f>'08_후공정부하'!L30&amp;"/"&amp;'08_후공정부하'!L33</f>
        <v>ARS/ARS</v>
      </c>
      <c r="M16" s="5" t="str">
        <f>'08_후공정부하'!M30&amp;"/"&amp;'08_후공정부하'!M33</f>
        <v>ARS/ARS</v>
      </c>
      <c r="N16" s="5" t="str">
        <f>'08_후공정부하'!N30&amp;"/"&amp;'08_후공정부하'!N33</f>
        <v>ARS/ARS</v>
      </c>
      <c r="O16" s="26" t="inlineStr">
        <is>
          <t>-</t>
        </is>
      </c>
    </row>
    <row r="17">
      <c r="B17" s="10" t="inlineStr">
        <is>
          <t>5 Gal 충진 h</t>
        </is>
      </c>
      <c r="C17" s="17">
        <f>'08_후공정부하'!C25</f>
        <v>189.333333333333</v>
      </c>
      <c r="D17" s="17">
        <f>'08_후공정부하'!D25</f>
        <v>189.333333333333</v>
      </c>
      <c r="E17" s="17">
        <f>'08_후공정부하'!E25</f>
        <v>247.333333333333</v>
      </c>
      <c r="F17" s="17">
        <f>'08_후공정부하'!F25</f>
        <v>247.333333333333</v>
      </c>
      <c r="G17" s="17">
        <f>'08_후공정부하'!G25</f>
        <v>247.333333333333</v>
      </c>
      <c r="H17" s="17">
        <f>'08_후공정부하'!H25</f>
        <v>247.333333333333</v>
      </c>
      <c r="I17" s="17">
        <f>'08_후공정부하'!I25</f>
        <v>267.333333333333</v>
      </c>
      <c r="J17" s="17">
        <f>'08_후공정부하'!J25</f>
        <v>267.333333333333</v>
      </c>
      <c r="K17" s="17">
        <f>'08_후공정부하'!K25</f>
        <v>267.333333333333</v>
      </c>
      <c r="L17" s="17">
        <f>'08_후공정부하'!L25</f>
        <v>267.333333333333</v>
      </c>
      <c r="M17" s="17">
        <f>'08_후공정부하'!M25</f>
        <v>267.333333333333</v>
      </c>
      <c r="N17" s="17">
        <f>'08_후공정부하'!N25</f>
        <v>267.333333333333</v>
      </c>
      <c r="O17" s="13">
        <f>SUM(C17:N17)</f>
        <v>2972</v>
      </c>
    </row>
    <row r="18">
      <c r="B18" s="10" t="inlineStr">
        <is>
          <t>200 L 충진 h</t>
        </is>
      </c>
      <c r="C18" s="17">
        <f>'08_후공정부하'!C35</f>
        <v>48</v>
      </c>
      <c r="D18" s="17">
        <f>'08_후공정부하'!D35</f>
        <v>48</v>
      </c>
      <c r="E18" s="17">
        <f>'08_후공정부하'!E35</f>
        <v>48</v>
      </c>
      <c r="F18" s="17">
        <f>'08_후공정부하'!F35</f>
        <v>48</v>
      </c>
      <c r="G18" s="17">
        <f>'08_후공정부하'!G35</f>
        <v>48</v>
      </c>
      <c r="H18" s="17">
        <f>'08_후공정부하'!H35</f>
        <v>48</v>
      </c>
      <c r="I18" s="17">
        <f>'08_후공정부하'!I35</f>
        <v>64</v>
      </c>
      <c r="J18" s="17">
        <f>'08_후공정부하'!J35</f>
        <v>64</v>
      </c>
      <c r="K18" s="17">
        <f>'08_후공정부하'!K35</f>
        <v>64</v>
      </c>
      <c r="L18" s="17">
        <f>'08_후공정부하'!L35</f>
        <v>64</v>
      </c>
      <c r="M18" s="17">
        <f>'08_후공정부하'!M35</f>
        <v>64</v>
      </c>
      <c r="N18" s="17">
        <f>'08_후공정부하'!N35</f>
        <v>64</v>
      </c>
      <c r="O18" s="13">
        <f>SUM(C18:N18)</f>
        <v>672</v>
      </c>
    </row>
    <row r="19">
      <c r="B19" s="10" t="inlineStr">
        <is>
          <t>이지켐 용기</t>
        </is>
      </c>
      <c r="C19" s="32">
        <f>'08_후공정부하'!C29</f>
        <v>4</v>
      </c>
      <c r="D19" s="32">
        <f>'08_후공정부하'!D29</f>
        <v>4</v>
      </c>
      <c r="E19" s="32">
        <f>'08_후공정부하'!E29</f>
        <v>4</v>
      </c>
      <c r="F19" s="32">
        <f>'08_후공정부하'!F29</f>
        <v>4</v>
      </c>
      <c r="G19" s="32">
        <f>'08_후공정부하'!G29</f>
        <v>4</v>
      </c>
      <c r="H19" s="32">
        <f>'08_후공정부하'!H29</f>
        <v>4</v>
      </c>
      <c r="I19" s="32">
        <f>'08_후공정부하'!I29</f>
        <v>6</v>
      </c>
      <c r="J19" s="32">
        <f>'08_후공정부하'!J29</f>
        <v>6</v>
      </c>
      <c r="K19" s="32">
        <f>'08_후공정부하'!K29</f>
        <v>6</v>
      </c>
      <c r="L19" s="32">
        <f>'08_후공정부하'!L29</f>
        <v>6</v>
      </c>
      <c r="M19" s="32">
        <f>'08_후공정부하'!M29</f>
        <v>6</v>
      </c>
      <c r="N19" s="32">
        <f>'08_후공정부하'!N29</f>
        <v>6</v>
      </c>
      <c r="O19" s="35">
        <f>SUM(C19:N19)</f>
        <v>60</v>
      </c>
    </row>
    <row r="20">
      <c r="B20" s="10" t="inlineStr">
        <is>
          <t>한솔 용기</t>
        </is>
      </c>
      <c r="C20" s="32">
        <f>'08_후공정부하'!C32</f>
        <v>2</v>
      </c>
      <c r="D20" s="32">
        <f>'08_후공정부하'!D32</f>
        <v>2</v>
      </c>
      <c r="E20" s="32">
        <f>'08_후공정부하'!E32</f>
        <v>2</v>
      </c>
      <c r="F20" s="32">
        <f>'08_후공정부하'!F32</f>
        <v>2</v>
      </c>
      <c r="G20" s="32">
        <f>'08_후공정부하'!G32</f>
        <v>2</v>
      </c>
      <c r="H20" s="32">
        <f>'08_후공정부하'!H32</f>
        <v>2</v>
      </c>
      <c r="I20" s="32">
        <f>'08_후공정부하'!I32</f>
        <v>2</v>
      </c>
      <c r="J20" s="32">
        <f>'08_후공정부하'!J32</f>
        <v>2</v>
      </c>
      <c r="K20" s="32">
        <f>'08_후공정부하'!K32</f>
        <v>2</v>
      </c>
      <c r="L20" s="32">
        <f>'08_후공정부하'!L32</f>
        <v>2</v>
      </c>
      <c r="M20" s="32">
        <f>'08_후공정부하'!M32</f>
        <v>2</v>
      </c>
      <c r="N20" s="32">
        <f>'08_후공정부하'!N32</f>
        <v>2</v>
      </c>
      <c r="O20" s="35">
        <f>SUM(C20:N20)</f>
        <v>24</v>
      </c>
    </row>
    <row r="22">
      <c r="B22" s="8" t="inlineStr">
        <is>
          <t>2028</t>
        </is>
      </c>
      <c r="C22" s="25" t="n">
        <v>46753</v>
      </c>
      <c r="D22" s="25" t="n">
        <v>46784</v>
      </c>
      <c r="E22" s="25" t="n">
        <v>46813</v>
      </c>
      <c r="F22" s="25" t="n">
        <v>46844</v>
      </c>
      <c r="G22" s="25" t="n">
        <v>46874</v>
      </c>
      <c r="H22" s="25" t="n">
        <v>46905</v>
      </c>
      <c r="I22" s="25" t="n">
        <v>46935</v>
      </c>
      <c r="J22" s="25" t="n">
        <v>46966</v>
      </c>
      <c r="K22" s="25" t="n">
        <v>46997</v>
      </c>
      <c r="L22" s="25" t="n">
        <v>47027</v>
      </c>
      <c r="M22" s="25" t="n">
        <v>47058</v>
      </c>
      <c r="N22" s="25" t="n">
        <v>47088</v>
      </c>
      <c r="O22" s="9" t="inlineStr">
        <is>
          <t>연간</t>
        </is>
      </c>
    </row>
    <row r="23">
      <c r="B23" s="10" t="inlineStr">
        <is>
          <t>운전 조건</t>
        </is>
      </c>
      <c r="C23" s="5" t="str">
        <f>IF(MONTH(C$22)=MAINT_M,"대정비",IF(C$22&lt;RF_START,"정제기 1대","정제기 2대"))</f>
        <v>정제기 2대</v>
      </c>
      <c r="D23" s="5" t="str">
        <f>IF(MONTH(D$22)=MAINT_M,"대정비",IF(D$22&lt;RF_START,"정제기 1대","정제기 2대"))</f>
        <v>정제기 2대</v>
      </c>
      <c r="E23" s="5" t="str">
        <f>IF(MONTH(E$22)=MAINT_M,"대정비",IF(E$22&lt;RF_START,"정제기 1대","정제기 2대"))</f>
        <v>정제기 2대</v>
      </c>
      <c r="F23" s="5" t="str">
        <f>IF(MONTH(F$22)=MAINT_M,"대정비",IF(F$22&lt;RF_START,"정제기 1대","정제기 2대"))</f>
        <v>대정비</v>
      </c>
      <c r="G23" s="5" t="str">
        <f>IF(MONTH(G$22)=MAINT_M,"대정비",IF(G$22&lt;RF_START,"정제기 1대","정제기 2대"))</f>
        <v>정제기 2대</v>
      </c>
      <c r="H23" s="5" t="str">
        <f>IF(MONTH(H$22)=MAINT_M,"대정비",IF(H$22&lt;RF_START,"정제기 1대","정제기 2대"))</f>
        <v>정제기 2대</v>
      </c>
      <c r="I23" s="5" t="str">
        <f>IF(MONTH(I$22)=MAINT_M,"대정비",IF(I$22&lt;RF_START,"정제기 1대","정제기 2대"))</f>
        <v>정제기 2대</v>
      </c>
      <c r="J23" s="5" t="str">
        <f>IF(MONTH(J$22)=MAINT_M,"대정비",IF(J$22&lt;RF_START,"정제기 1대","정제기 2대"))</f>
        <v>정제기 2대</v>
      </c>
      <c r="K23" s="5" t="str">
        <f>IF(MONTH(K$22)=MAINT_M,"대정비",IF(K$22&lt;RF_START,"정제기 1대","정제기 2대"))</f>
        <v>정제기 2대</v>
      </c>
      <c r="L23" s="5" t="str">
        <f>IF(MONTH(L$22)=MAINT_M,"대정비",IF(L$22&lt;RF_START,"정제기 1대","정제기 2대"))</f>
        <v>정제기 2대</v>
      </c>
      <c r="M23" s="5" t="str">
        <f>IF(MONTH(M$22)=MAINT_M,"대정비",IF(M$22&lt;RF_START,"정제기 1대","정제기 2대"))</f>
        <v>정제기 2대</v>
      </c>
      <c r="N23" s="5" t="str">
        <f>IF(MONTH(N$22)=MAINT_M,"대정비",IF(N$22&lt;RF_START,"정제기 1대","정제기 2대"))</f>
        <v>정제기 2대</v>
      </c>
      <c r="O23" s="26" t="inlineStr"/>
    </row>
    <row r="24">
      <c r="B24" s="29" t="inlineStr">
        <is>
          <t>생산 (kg)</t>
        </is>
      </c>
      <c r="C24" s="22">
        <f>'01_입력'!$C$83</f>
        <v>3564</v>
      </c>
      <c r="D24" s="22">
        <f>'01_입력'!$D$83</f>
        <v>3564</v>
      </c>
      <c r="E24" s="22">
        <f>'01_입력'!$E$83</f>
        <v>3564</v>
      </c>
      <c r="F24" s="22">
        <f>'01_입력'!$F$83</f>
        <v>1188</v>
      </c>
      <c r="G24" s="22">
        <f>'01_입력'!$G$83</f>
        <v>3564</v>
      </c>
      <c r="H24" s="22">
        <f>'01_입력'!$H$83</f>
        <v>3564</v>
      </c>
      <c r="I24" s="22">
        <f>'01_입력'!$I$83</f>
        <v>3564</v>
      </c>
      <c r="J24" s="22">
        <f>'01_입력'!$J$83</f>
        <v>3168</v>
      </c>
      <c r="K24" s="22">
        <f>'01_입력'!$K$83</f>
        <v>3168</v>
      </c>
      <c r="L24" s="22">
        <f>'01_입력'!$L$83</f>
        <v>3168</v>
      </c>
      <c r="M24" s="22">
        <f>'01_입력'!$M$83</f>
        <v>3168</v>
      </c>
      <c r="N24" s="22">
        <f>'01_입력'!$N$83</f>
        <v>3168</v>
      </c>
      <c r="O24" s="26">
        <f>SUM(C24:N24)</f>
        <v>38412</v>
      </c>
    </row>
    <row r="25">
      <c r="B25" s="10" t="inlineStr">
        <is>
          <t>Batch 환산 (÷190)</t>
        </is>
      </c>
      <c r="C25" s="32">
        <f>C24/KG_B</f>
        <v>18.7578947368421</v>
      </c>
      <c r="D25" s="32">
        <f>D24/KG_B</f>
        <v>18.7578947368421</v>
      </c>
      <c r="E25" s="32">
        <f>E24/KG_B</f>
        <v>18.7578947368421</v>
      </c>
      <c r="F25" s="32">
        <f>F24/KG_B</f>
        <v>6.25263157894737</v>
      </c>
      <c r="G25" s="32">
        <f>G24/KG_B</f>
        <v>18.7578947368421</v>
      </c>
      <c r="H25" s="32">
        <f>H24/KG_B</f>
        <v>18.7578947368421</v>
      </c>
      <c r="I25" s="32">
        <f>I24/KG_B</f>
        <v>18.7578947368421</v>
      </c>
      <c r="J25" s="32">
        <f>J24/KG_B</f>
        <v>16.6736842105263</v>
      </c>
      <c r="K25" s="32">
        <f>K24/KG_B</f>
        <v>16.6736842105263</v>
      </c>
      <c r="L25" s="32">
        <f>L24/KG_B</f>
        <v>16.6736842105263</v>
      </c>
      <c r="M25" s="32">
        <f>M24/KG_B</f>
        <v>16.6736842105263</v>
      </c>
      <c r="N25" s="32">
        <f>N24/KG_B</f>
        <v>16.6736842105263</v>
      </c>
      <c r="O25" s="35">
        <f>SUM(C25:N25)</f>
        <v>202.168421052632</v>
      </c>
    </row>
    <row r="26">
      <c r="B26" s="10" t="inlineStr">
        <is>
          <t>생산 − 출하</t>
        </is>
      </c>
      <c r="C26" s="38">
        <f>C24-C32</f>
        <v>-249.333333333333</v>
      </c>
      <c r="D26" s="38">
        <f>D24-D32</f>
        <v>-249.333333333333</v>
      </c>
      <c r="E26" s="38">
        <f>E24-E32</f>
        <v>-249.333333333333</v>
      </c>
      <c r="F26" s="38">
        <f>F24-F32</f>
        <v>-2625.33333333333</v>
      </c>
      <c r="G26" s="38">
        <f>G24-G32</f>
        <v>-249.333333333333</v>
      </c>
      <c r="H26" s="38">
        <f>H24-H32</f>
        <v>-249.333333333333</v>
      </c>
      <c r="I26" s="38">
        <f>I24-I32</f>
        <v>-249.333333333333</v>
      </c>
      <c r="J26" s="38">
        <f>J24-J32</f>
        <v>-645.333333333333</v>
      </c>
      <c r="K26" s="38">
        <f>K24-K32</f>
        <v>-645.333333333333</v>
      </c>
      <c r="L26" s="38">
        <f>L24-L32</f>
        <v>-645.333333333333</v>
      </c>
      <c r="M26" s="38">
        <f>M24-M32</f>
        <v>-645.333333333333</v>
      </c>
      <c r="N26" s="38">
        <f>N24-N32</f>
        <v>-645.333333333333</v>
      </c>
      <c r="O26" s="40">
        <f>SUM(C26:N26)</f>
        <v>-7348</v>
      </c>
    </row>
    <row r="27">
      <c r="B27" s="29" t="inlineStr">
        <is>
          <t>재고 (전월 재고 + 생산 − 출하)</t>
        </is>
      </c>
      <c r="C27" s="40">
        <f>N9+C24*IF(ISNUMBER(YIELD_Q),YIELD_Q,1)-C32</f>
        <v>-1863.33333333333</v>
      </c>
      <c r="D27" s="40">
        <f>C27+D24*IF(ISNUMBER(YIELD_Q),YIELD_Q,1)-D32</f>
        <v>-2112.66666666666</v>
      </c>
      <c r="E27" s="40">
        <f>D27+E24*IF(ISNUMBER(YIELD_Q),YIELD_Q,1)-E32</f>
        <v>-2362</v>
      </c>
      <c r="F27" s="40">
        <f>E27+F24*IF(ISNUMBER(YIELD_Q),YIELD_Q,1)-F32</f>
        <v>-4987.33333333333</v>
      </c>
      <c r="G27" s="40">
        <f>F27+G24*IF(ISNUMBER(YIELD_Q),YIELD_Q,1)-G32</f>
        <v>-5236.66666666666</v>
      </c>
      <c r="H27" s="40">
        <f>G27+H24*IF(ISNUMBER(YIELD_Q),YIELD_Q,1)-H32</f>
        <v>-5485.99999999999</v>
      </c>
      <c r="I27" s="40">
        <f>H27+I24*IF(ISNUMBER(YIELD_Q),YIELD_Q,1)-I32</f>
        <v>-5735.33333333333</v>
      </c>
      <c r="J27" s="40">
        <f>I27+J24*IF(ISNUMBER(YIELD_Q),YIELD_Q,1)-J32</f>
        <v>-6380.66666666666</v>
      </c>
      <c r="K27" s="40">
        <f>J27+K24*IF(ISNUMBER(YIELD_Q),YIELD_Q,1)-K32</f>
        <v>-7025.99999999999</v>
      </c>
      <c r="L27" s="40">
        <f>K27+L24*IF(ISNUMBER(YIELD_Q),YIELD_Q,1)-L32</f>
        <v>-7671.33333333333</v>
      </c>
      <c r="M27" s="40">
        <f>L27+M24*IF(ISNUMBER(YIELD_Q),YIELD_Q,1)-M32</f>
        <v>-8316.66666666666</v>
      </c>
      <c r="N27" s="40">
        <f>M27+N24*IF(ISNUMBER(YIELD_Q),YIELD_Q,1)-N32</f>
        <v>-8961.99999999999</v>
      </c>
      <c r="O27" s="40">
        <f>N27</f>
        <v>-8961.99999999999</v>
      </c>
    </row>
    <row r="28">
      <c r="B28" s="10" t="inlineStr">
        <is>
          <t>SK하이닉스</t>
        </is>
      </c>
      <c r="C28" s="41">
        <f>'01_입력'!$C$101</f>
        <v>1893.33333333333</v>
      </c>
      <c r="D28" s="41">
        <f>'01_입력'!$D$101</f>
        <v>1893.33333333333</v>
      </c>
      <c r="E28" s="41">
        <f>'01_입력'!$E$101</f>
        <v>1893.33333333333</v>
      </c>
      <c r="F28" s="41">
        <f>'01_입력'!$F$101</f>
        <v>1893.33333333333</v>
      </c>
      <c r="G28" s="41">
        <f>'01_입력'!$G$101</f>
        <v>1893.33333333333</v>
      </c>
      <c r="H28" s="41">
        <f>'01_입력'!$H$101</f>
        <v>1893.33333333333</v>
      </c>
      <c r="I28" s="41">
        <f>'01_입력'!$I$101</f>
        <v>1893.33333333333</v>
      </c>
      <c r="J28" s="41">
        <f>'01_입력'!$J$101</f>
        <v>1893.33333333333</v>
      </c>
      <c r="K28" s="41">
        <f>'01_입력'!$K$101</f>
        <v>1893.33333333333</v>
      </c>
      <c r="L28" s="41">
        <f>'01_입력'!$L$101</f>
        <v>1893.33333333333</v>
      </c>
      <c r="M28" s="41">
        <f>'01_입력'!$M$101</f>
        <v>1893.33333333333</v>
      </c>
      <c r="N28" s="41">
        <f>'01_입력'!$N$101</f>
        <v>1893.33333333333</v>
      </c>
      <c r="O28" s="26">
        <f>SUM(C28:N28)</f>
        <v>22720</v>
      </c>
    </row>
    <row r="29">
      <c r="B29" s="10" t="inlineStr">
        <is>
          <t>CXMT</t>
        </is>
      </c>
      <c r="C29" s="21">
        <f>'01_입력'!$C$102</f>
        <v>780</v>
      </c>
      <c r="D29" s="21">
        <f>'01_입력'!$D$102</f>
        <v>780</v>
      </c>
      <c r="E29" s="21">
        <f>'01_입력'!$E$102</f>
        <v>780</v>
      </c>
      <c r="F29" s="21">
        <f>'01_입력'!$F$102</f>
        <v>780</v>
      </c>
      <c r="G29" s="21">
        <f>'01_입력'!$G$102</f>
        <v>780</v>
      </c>
      <c r="H29" s="21">
        <f>'01_입력'!$H$102</f>
        <v>780</v>
      </c>
      <c r="I29" s="21">
        <f>'01_입력'!$I$102</f>
        <v>780</v>
      </c>
      <c r="J29" s="21">
        <f>'01_입력'!$J$102</f>
        <v>780</v>
      </c>
      <c r="K29" s="21">
        <f>'01_입력'!$K$102</f>
        <v>780</v>
      </c>
      <c r="L29" s="21">
        <f>'01_입력'!$L$102</f>
        <v>780</v>
      </c>
      <c r="M29" s="21">
        <f>'01_입력'!$M$102</f>
        <v>780</v>
      </c>
      <c r="N29" s="21">
        <f>'01_입력'!$N$102</f>
        <v>780</v>
      </c>
      <c r="O29" s="26">
        <f>SUM(C29:N29)</f>
        <v>9360</v>
      </c>
    </row>
    <row r="30">
      <c r="B30" s="10" t="inlineStr">
        <is>
          <t>이지켐</t>
        </is>
      </c>
      <c r="C30" s="21">
        <f>'01_입력'!$C$103</f>
        <v>840</v>
      </c>
      <c r="D30" s="21">
        <f>'01_입력'!$D$103</f>
        <v>840</v>
      </c>
      <c r="E30" s="21">
        <f>'01_입력'!$E$103</f>
        <v>840</v>
      </c>
      <c r="F30" s="21">
        <f>'01_입력'!$F$103</f>
        <v>840</v>
      </c>
      <c r="G30" s="21">
        <f>'01_입력'!$G$103</f>
        <v>840</v>
      </c>
      <c r="H30" s="21">
        <f>'01_입력'!$H$103</f>
        <v>840</v>
      </c>
      <c r="I30" s="21">
        <f>'01_입력'!$I$103</f>
        <v>840</v>
      </c>
      <c r="J30" s="21">
        <f>'01_입력'!$J$103</f>
        <v>840</v>
      </c>
      <c r="K30" s="21">
        <f>'01_입력'!$K$103</f>
        <v>840</v>
      </c>
      <c r="L30" s="21">
        <f>'01_입력'!$L$103</f>
        <v>840</v>
      </c>
      <c r="M30" s="21">
        <f>'01_입력'!$M$103</f>
        <v>840</v>
      </c>
      <c r="N30" s="21">
        <f>'01_입력'!$N$103</f>
        <v>840</v>
      </c>
      <c r="O30" s="26">
        <f>SUM(C30:N30)</f>
        <v>10080</v>
      </c>
    </row>
    <row r="31">
      <c r="B31" s="10" t="inlineStr">
        <is>
          <t>한솔</t>
        </is>
      </c>
      <c r="C31" s="21">
        <f>'01_입력'!$C$104</f>
        <v>300</v>
      </c>
      <c r="D31" s="21">
        <f>'01_입력'!$D$104</f>
        <v>300</v>
      </c>
      <c r="E31" s="21">
        <f>'01_입력'!$E$104</f>
        <v>300</v>
      </c>
      <c r="F31" s="21">
        <f>'01_입력'!$F$104</f>
        <v>300</v>
      </c>
      <c r="G31" s="21">
        <f>'01_입력'!$G$104</f>
        <v>300</v>
      </c>
      <c r="H31" s="21">
        <f>'01_입력'!$H$104</f>
        <v>300</v>
      </c>
      <c r="I31" s="21">
        <f>'01_입력'!$I$104</f>
        <v>300</v>
      </c>
      <c r="J31" s="21">
        <f>'01_입력'!$J$104</f>
        <v>300</v>
      </c>
      <c r="K31" s="21">
        <f>'01_입력'!$K$104</f>
        <v>300</v>
      </c>
      <c r="L31" s="21">
        <f>'01_입력'!$L$104</f>
        <v>300</v>
      </c>
      <c r="M31" s="21">
        <f>'01_입력'!$M$104</f>
        <v>300</v>
      </c>
      <c r="N31" s="21">
        <f>'01_입력'!$N$104</f>
        <v>300</v>
      </c>
      <c r="O31" s="26">
        <f>SUM(C31:N31)</f>
        <v>3600</v>
      </c>
    </row>
    <row r="32">
      <c r="B32" s="29" t="inlineStr">
        <is>
          <t>출하 합계</t>
        </is>
      </c>
      <c r="C32" s="41">
        <f>SUM(C28:C31)</f>
        <v>3813.33333333333</v>
      </c>
      <c r="D32" s="41">
        <f>SUM(D28:D31)</f>
        <v>3813.33333333333</v>
      </c>
      <c r="E32" s="41">
        <f>SUM(E28:E31)</f>
        <v>3813.33333333333</v>
      </c>
      <c r="F32" s="41">
        <f>SUM(F28:F31)</f>
        <v>3813.33333333333</v>
      </c>
      <c r="G32" s="41">
        <f>SUM(G28:G31)</f>
        <v>3813.33333333333</v>
      </c>
      <c r="H32" s="41">
        <f>SUM(H28:H31)</f>
        <v>3813.33333333333</v>
      </c>
      <c r="I32" s="41">
        <f>SUM(I28:I31)</f>
        <v>3813.33333333333</v>
      </c>
      <c r="J32" s="41">
        <f>SUM(J28:J31)</f>
        <v>3813.33333333333</v>
      </c>
      <c r="K32" s="41">
        <f>SUM(K28:K31)</f>
        <v>3813.33333333333</v>
      </c>
      <c r="L32" s="41">
        <f>SUM(L28:L31)</f>
        <v>3813.33333333333</v>
      </c>
      <c r="M32" s="41">
        <f>SUM(M28:M31)</f>
        <v>3813.33333333333</v>
      </c>
      <c r="N32" s="41">
        <f>SUM(N28:N31)</f>
        <v>3813.33333333333</v>
      </c>
      <c r="O32" s="26">
        <f>SUM(C32:N32)</f>
        <v>45760</v>
      </c>
    </row>
    <row r="33">
      <c r="B33" s="10" t="inlineStr">
        <is>
          <t>필요 Batch (출하÷190)</t>
        </is>
      </c>
      <c r="C33" s="32">
        <f>C32/KG_B</f>
        <v>20.0701754385965</v>
      </c>
      <c r="D33" s="32">
        <f>D32/KG_B</f>
        <v>20.0701754385965</v>
      </c>
      <c r="E33" s="32">
        <f>E32/KG_B</f>
        <v>20.0701754385965</v>
      </c>
      <c r="F33" s="32">
        <f>F32/KG_B</f>
        <v>20.0701754385965</v>
      </c>
      <c r="G33" s="32">
        <f>G32/KG_B</f>
        <v>20.0701754385965</v>
      </c>
      <c r="H33" s="32">
        <f>H32/KG_B</f>
        <v>20.0701754385965</v>
      </c>
      <c r="I33" s="32">
        <f>I32/KG_B</f>
        <v>20.0701754385965</v>
      </c>
      <c r="J33" s="32">
        <f>J32/KG_B</f>
        <v>20.0701754385965</v>
      </c>
      <c r="K33" s="32">
        <f>K32/KG_B</f>
        <v>20.0701754385965</v>
      </c>
      <c r="L33" s="32">
        <f>L32/KG_B</f>
        <v>20.0701754385965</v>
      </c>
      <c r="M33" s="32">
        <f>M32/KG_B</f>
        <v>20.0701754385965</v>
      </c>
      <c r="N33" s="32">
        <f>N32/KG_B</f>
        <v>20.0701754385965</v>
      </c>
      <c r="O33" s="35">
        <f>SUM(C33:N33)</f>
        <v>240.842105263158</v>
      </c>
    </row>
    <row r="34">
      <c r="B34" s="10" t="inlineStr">
        <is>
          <t>200 L 충진 방식 (이지켐/한솔)</t>
        </is>
      </c>
      <c r="C34" s="5" t="str">
        <f>'08_후공정부하'!C48&amp;"/"&amp;'08_후공정부하'!C51</f>
        <v>ARS/ARS</v>
      </c>
      <c r="D34" s="5" t="str">
        <f>'08_후공정부하'!D48&amp;"/"&amp;'08_후공정부하'!D51</f>
        <v>ARS/ARS</v>
      </c>
      <c r="E34" s="5" t="str">
        <f>'08_후공정부하'!E48&amp;"/"&amp;'08_후공정부하'!E51</f>
        <v>ARS/ARS</v>
      </c>
      <c r="F34" s="5" t="str">
        <f>'08_후공정부하'!F48&amp;"/"&amp;'08_후공정부하'!F51</f>
        <v>ARS/ARS</v>
      </c>
      <c r="G34" s="5" t="str">
        <f>'08_후공정부하'!G48&amp;"/"&amp;'08_후공정부하'!G51</f>
        <v>ARS/ARS</v>
      </c>
      <c r="H34" s="5" t="str">
        <f>'08_후공정부하'!H48&amp;"/"&amp;'08_후공정부하'!H51</f>
        <v>ARS/ARS</v>
      </c>
      <c r="I34" s="5" t="str">
        <f>'08_후공정부하'!I48&amp;"/"&amp;'08_후공정부하'!I51</f>
        <v>ARS/ARS</v>
      </c>
      <c r="J34" s="5" t="str">
        <f>'08_후공정부하'!J48&amp;"/"&amp;'08_후공정부하'!J51</f>
        <v>ARS/ARS</v>
      </c>
      <c r="K34" s="5" t="str">
        <f>'08_후공정부하'!K48&amp;"/"&amp;'08_후공정부하'!K51</f>
        <v>ARS/ARS</v>
      </c>
      <c r="L34" s="5" t="str">
        <f>'08_후공정부하'!L48&amp;"/"&amp;'08_후공정부하'!L51</f>
        <v>ARS/ARS</v>
      </c>
      <c r="M34" s="5" t="str">
        <f>'08_후공정부하'!M48&amp;"/"&amp;'08_후공정부하'!M51</f>
        <v>ARS/ARS</v>
      </c>
      <c r="N34" s="5" t="str">
        <f>'08_후공정부하'!N48&amp;"/"&amp;'08_후공정부하'!N51</f>
        <v>ARS/ARS</v>
      </c>
      <c r="O34" s="26" t="inlineStr">
        <is>
          <t>-</t>
        </is>
      </c>
    </row>
    <row r="35">
      <c r="B35" s="10" t="inlineStr">
        <is>
          <t>5 Gal 충진 h</t>
        </is>
      </c>
      <c r="C35" s="17">
        <f>'08_후공정부하'!C43</f>
        <v>267.333333333333</v>
      </c>
      <c r="D35" s="17">
        <f>'08_후공정부하'!D43</f>
        <v>267.333333333333</v>
      </c>
      <c r="E35" s="17">
        <f>'08_후공정부하'!E43</f>
        <v>267.333333333333</v>
      </c>
      <c r="F35" s="17">
        <f>'08_후공정부하'!F43</f>
        <v>267.333333333333</v>
      </c>
      <c r="G35" s="17">
        <f>'08_후공정부하'!G43</f>
        <v>267.333333333333</v>
      </c>
      <c r="H35" s="17">
        <f>'08_후공정부하'!H43</f>
        <v>267.333333333333</v>
      </c>
      <c r="I35" s="17">
        <f>'08_후공정부하'!I43</f>
        <v>267.333333333333</v>
      </c>
      <c r="J35" s="17">
        <f>'08_후공정부하'!J43</f>
        <v>267.333333333333</v>
      </c>
      <c r="K35" s="17">
        <f>'08_후공정부하'!K43</f>
        <v>267.333333333333</v>
      </c>
      <c r="L35" s="17">
        <f>'08_후공정부하'!L43</f>
        <v>267.333333333333</v>
      </c>
      <c r="M35" s="17">
        <f>'08_후공정부하'!M43</f>
        <v>267.333333333333</v>
      </c>
      <c r="N35" s="17">
        <f>'08_후공정부하'!N43</f>
        <v>267.333333333333</v>
      </c>
      <c r="O35" s="13">
        <f>SUM(C35:N35)</f>
        <v>3208</v>
      </c>
    </row>
    <row r="36">
      <c r="B36" s="10" t="inlineStr">
        <is>
          <t>200 L 충진 h</t>
        </is>
      </c>
      <c r="C36" s="17">
        <f>'08_후공정부하'!C53</f>
        <v>64</v>
      </c>
      <c r="D36" s="17">
        <f>'08_후공정부하'!D53</f>
        <v>64</v>
      </c>
      <c r="E36" s="17">
        <f>'08_후공정부하'!E53</f>
        <v>64</v>
      </c>
      <c r="F36" s="17">
        <f>'08_후공정부하'!F53</f>
        <v>64</v>
      </c>
      <c r="G36" s="17">
        <f>'08_후공정부하'!G53</f>
        <v>64</v>
      </c>
      <c r="H36" s="17">
        <f>'08_후공정부하'!H53</f>
        <v>64</v>
      </c>
      <c r="I36" s="17">
        <f>'08_후공정부하'!I53</f>
        <v>64</v>
      </c>
      <c r="J36" s="17">
        <f>'08_후공정부하'!J53</f>
        <v>64</v>
      </c>
      <c r="K36" s="17">
        <f>'08_후공정부하'!K53</f>
        <v>64</v>
      </c>
      <c r="L36" s="17">
        <f>'08_후공정부하'!L53</f>
        <v>64</v>
      </c>
      <c r="M36" s="17">
        <f>'08_후공정부하'!M53</f>
        <v>64</v>
      </c>
      <c r="N36" s="17">
        <f>'08_후공정부하'!N53</f>
        <v>64</v>
      </c>
      <c r="O36" s="13">
        <f>SUM(C36:N36)</f>
        <v>768</v>
      </c>
    </row>
    <row r="37">
      <c r="B37" s="10" t="inlineStr">
        <is>
          <t>이지켐 용기</t>
        </is>
      </c>
      <c r="C37" s="32">
        <f>'08_후공정부하'!C47</f>
        <v>6</v>
      </c>
      <c r="D37" s="32">
        <f>'08_후공정부하'!D47</f>
        <v>6</v>
      </c>
      <c r="E37" s="32">
        <f>'08_후공정부하'!E47</f>
        <v>6</v>
      </c>
      <c r="F37" s="32">
        <f>'08_후공정부하'!F47</f>
        <v>6</v>
      </c>
      <c r="G37" s="32">
        <f>'08_후공정부하'!G47</f>
        <v>6</v>
      </c>
      <c r="H37" s="32">
        <f>'08_후공정부하'!H47</f>
        <v>6</v>
      </c>
      <c r="I37" s="32">
        <f>'08_후공정부하'!I47</f>
        <v>6</v>
      </c>
      <c r="J37" s="32">
        <f>'08_후공정부하'!J47</f>
        <v>6</v>
      </c>
      <c r="K37" s="32">
        <f>'08_후공정부하'!K47</f>
        <v>6</v>
      </c>
      <c r="L37" s="32">
        <f>'08_후공정부하'!L47</f>
        <v>6</v>
      </c>
      <c r="M37" s="32">
        <f>'08_후공정부하'!M47</f>
        <v>6</v>
      </c>
      <c r="N37" s="32">
        <f>'08_후공정부하'!N47</f>
        <v>6</v>
      </c>
      <c r="O37" s="35">
        <f>SUM(C37:N37)</f>
        <v>72</v>
      </c>
    </row>
    <row r="38">
      <c r="B38" s="10" t="inlineStr">
        <is>
          <t>한솔 용기</t>
        </is>
      </c>
      <c r="C38" s="32">
        <f>'08_후공정부하'!C50</f>
        <v>2</v>
      </c>
      <c r="D38" s="32">
        <f>'08_후공정부하'!D50</f>
        <v>2</v>
      </c>
      <c r="E38" s="32">
        <f>'08_후공정부하'!E50</f>
        <v>2</v>
      </c>
      <c r="F38" s="32">
        <f>'08_후공정부하'!F50</f>
        <v>2</v>
      </c>
      <c r="G38" s="32">
        <f>'08_후공정부하'!G50</f>
        <v>2</v>
      </c>
      <c r="H38" s="32">
        <f>'08_후공정부하'!H50</f>
        <v>2</v>
      </c>
      <c r="I38" s="32">
        <f>'08_후공정부하'!I50</f>
        <v>2</v>
      </c>
      <c r="J38" s="32">
        <f>'08_후공정부하'!J50</f>
        <v>2</v>
      </c>
      <c r="K38" s="32">
        <f>'08_후공정부하'!K50</f>
        <v>2</v>
      </c>
      <c r="L38" s="32">
        <f>'08_후공정부하'!L50</f>
        <v>2</v>
      </c>
      <c r="M38" s="32">
        <f>'08_후공정부하'!M50</f>
        <v>2</v>
      </c>
      <c r="N38" s="32">
        <f>'08_후공정부하'!N50</f>
        <v>2</v>
      </c>
      <c r="O38" s="35">
        <f>SUM(C38:N38)</f>
        <v>24</v>
      </c>
    </row>
    <row r="40">
      <c r="B40" s="18" t="inlineStr">
        <is>
          <t>01_입력 G 기존 생산계획 · 2027년 1~4월 확정 · 2028년 생산계획 38,412 kg</t>
        </is>
      </c>
    </row>
  </sheetData>
  <conditionalFormatting sqref="C5:N5">
    <cfRule type="expression" priority="1" dxfId="0">
      <formula>C5="대정비"</formula>
    </cfRule>
  </conditionalFormatting>
  <conditionalFormatting sqref="C6:N6">
    <cfRule type="expression" priority="2" dxfId="1">
      <formula>C5="대정비"</formula>
    </cfRule>
  </conditionalFormatting>
  <conditionalFormatting sqref="C23:N23">
    <cfRule type="expression" priority="3" dxfId="0">
      <formula>C23="대정비"</formula>
    </cfRule>
  </conditionalFormatting>
  <conditionalFormatting sqref="C24:N24">
    <cfRule type="expression" priority="4" dxfId="1">
      <formula>C23="대정비"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7900"/>
    <outlinePr summaryBelow="1" summaryRight="1"/>
    <pageSetUpPr/>
  </sheetPr>
  <dimension ref="B1:Z16"/>
  <sheetViews>
    <sheetView showGridLines="0" zoomScale="9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</cols>
  <sheetData>
    <row r="1">
      <c r="B1" s="1" t="inlineStr">
        <is>
          <t>07_버전비교 | Capa. 기준 vs 기존 생산계획 (2027~2028)</t>
        </is>
      </c>
    </row>
    <row r="2">
      <c r="B2" s="2" t="inlineStr">
        <is>
          <t>재고 = 기초재고 (2027-01-01) + 생산 − 출하 · 2028년은 2027년 말 재고에서 이어짐.</t>
        </is>
      </c>
    </row>
    <row r="4" ht="20" customHeight="1">
      <c r="B4" s="7" t="inlineStr">
        <is>
          <t>① 연간 비교 (kg)</t>
        </is>
      </c>
    </row>
    <row r="5">
      <c r="B5" s="8" t="inlineStr">
        <is>
          <t>버전</t>
        </is>
      </c>
      <c r="C5" s="9" t="inlineStr">
        <is>
          <t>2027 생산</t>
        </is>
      </c>
      <c r="D5" s="9" t="inlineStr">
        <is>
          <t>2027 출하</t>
        </is>
      </c>
      <c r="E5" s="9" t="inlineStr">
        <is>
          <t>2027 차이</t>
        </is>
      </c>
      <c r="F5" s="9" t="inlineStr">
        <is>
          <t>2028 생산</t>
        </is>
      </c>
      <c r="G5" s="9" t="inlineStr">
        <is>
          <t>2028 출하</t>
        </is>
      </c>
      <c r="H5" s="9" t="inlineStr">
        <is>
          <t>2028 차이</t>
        </is>
      </c>
      <c r="I5" s="9" t="inlineStr">
        <is>
          <t>'27 말 재고</t>
        </is>
      </c>
      <c r="J5" s="9" t="inlineStr">
        <is>
          <t>'28 말 재고</t>
        </is>
      </c>
      <c r="K5" s="9" t="inlineStr">
        <is>
          <t>최저 재고</t>
        </is>
      </c>
      <c r="L5" s="9" t="inlineStr">
        <is>
          <t>최저 시점</t>
        </is>
      </c>
    </row>
    <row r="6">
      <c r="B6" s="10" t="inlineStr">
        <is>
          <t>① Capa. 기준 (47.2 / 50.2톤)</t>
        </is>
      </c>
      <c r="C6" s="21">
        <f>'05_월별_Capa기준'!O6</f>
        <v>43039.2727272727</v>
      </c>
      <c r="D6" s="21">
        <f>'05_월별_Capa기준'!O14</f>
        <v>41720</v>
      </c>
      <c r="E6" s="40">
        <f>C6-D6</f>
        <v>1319.27272727273</v>
      </c>
      <c r="F6" s="21">
        <f>'05_월별_Capa기준'!O24</f>
        <v>51388</v>
      </c>
      <c r="G6" s="21">
        <f>'05_월별_Capa기준'!O32</f>
        <v>45760</v>
      </c>
      <c r="H6" s="40">
        <f>F6-G6</f>
        <v>5628</v>
      </c>
      <c r="I6" s="40">
        <f>'05_월별_Capa기준'!N9</f>
        <v>4201.27272727273</v>
      </c>
      <c r="J6" s="40">
        <f>'05_월별_Capa기준'!N27</f>
        <v>9829.27272727275</v>
      </c>
      <c r="K6" s="40">
        <f>MIN('05_월별_Capa기준'!$C$9:$N$9,'05_월별_Capa기준'!$C$27:$N$27)</f>
        <v>-579.333333333332</v>
      </c>
      <c r="L6" s="42">
        <f>IF(MIN('05_월별_Capa기준'!$C$9:$N$9)&lt;=MIN('05_월별_Capa기준'!$C$27:$N$27),INDEX('05_월별_Capa기준'!$C$4:$N$4,MATCH(MIN('05_월별_Capa기준'!$C$9:$N$9),'05_월별_Capa기준'!$C$9:$N$9,0)),INDEX('05_월별_Capa기준'!$C$22:$N$22,MATCH(MIN('05_월별_Capa기준'!$C$27:$N$27),'05_월별_Capa기준'!$C$27:$N$27,0)))</f>
        <v>46478.0</v>
      </c>
    </row>
    <row r="7">
      <c r="B7" s="10" t="inlineStr">
        <is>
          <t>② 기존 생산계획</t>
        </is>
      </c>
      <c r="C7" s="21">
        <f>'06_월별_생산계획'!O6</f>
        <v>37224</v>
      </c>
      <c r="D7" s="21">
        <f>'06_월별_생산계획'!O14</f>
        <v>41720</v>
      </c>
      <c r="E7" s="40">
        <f>C7-D7</f>
        <v>-4496</v>
      </c>
      <c r="F7" s="21">
        <f>'06_월별_생산계획'!O24</f>
        <v>38412</v>
      </c>
      <c r="G7" s="21">
        <f>'06_월별_생산계획'!O32</f>
        <v>45760</v>
      </c>
      <c r="H7" s="40">
        <f>F7-G7</f>
        <v>-7348</v>
      </c>
      <c r="I7" s="40">
        <f>'06_월별_생산계획'!N9</f>
        <v>-1614</v>
      </c>
      <c r="J7" s="40">
        <f>'06_월별_생산계획'!N27</f>
        <v>-8961.99999999999</v>
      </c>
      <c r="K7" s="40">
        <f>MIN('06_월별_생산계획'!$C$9:$N$9,'06_월별_생산계획'!$C$27:$N$27)</f>
        <v>-8961.99999999999</v>
      </c>
      <c r="L7" s="42">
        <f>IF(MIN('06_월별_생산계획'!$C$9:$N$9)&lt;=MIN('06_월별_생산계획'!$C$27:$N$27),INDEX('06_월별_생산계획'!$C$4:$N$4,MATCH(MIN('06_월별_생산계획'!$C$9:$N$9),'06_월별_생산계획'!$C$9:$N$9,0)),INDEX('06_월별_생산계획'!$C$22:$N$22,MATCH(MIN('06_월별_생산계획'!$C$27:$N$27),'06_월별_생산계획'!$C$27:$N$27,0)))</f>
        <v>47088.0</v>
      </c>
    </row>
    <row r="8">
      <c r="B8" s="10" t="inlineStr">
        <is>
          <t>기초재고 (2027-01-01)</t>
        </is>
      </c>
      <c r="C8" s="21">
        <f>INV_0</f>
        <v>2882</v>
      </c>
    </row>
    <row r="10" ht="20" customHeight="1">
      <c r="B10" s="7" t="inlineStr">
        <is>
          <t>② 월별 생산 · 출하 · 재고 (kg)</t>
        </is>
      </c>
    </row>
    <row r="11">
      <c r="B11" s="8" t="inlineStr">
        <is>
          <t>월</t>
        </is>
      </c>
      <c r="C11" s="43" t="n">
        <v>46388</v>
      </c>
      <c r="D11" s="43" t="n">
        <v>46419</v>
      </c>
      <c r="E11" s="43" t="n">
        <v>46447</v>
      </c>
      <c r="F11" s="43" t="n">
        <v>46478</v>
      </c>
      <c r="G11" s="43" t="n">
        <v>46508</v>
      </c>
      <c r="H11" s="43" t="n">
        <v>46539</v>
      </c>
      <c r="I11" s="43" t="n">
        <v>46569</v>
      </c>
      <c r="J11" s="43" t="n">
        <v>46600</v>
      </c>
      <c r="K11" s="43" t="n">
        <v>46631</v>
      </c>
      <c r="L11" s="43" t="n">
        <v>46661</v>
      </c>
      <c r="M11" s="43" t="n">
        <v>46692</v>
      </c>
      <c r="N11" s="43" t="n">
        <v>46722</v>
      </c>
      <c r="O11" s="43" t="n">
        <v>46753</v>
      </c>
      <c r="P11" s="43" t="n">
        <v>46784</v>
      </c>
      <c r="Q11" s="43" t="n">
        <v>46813</v>
      </c>
      <c r="R11" s="43" t="n">
        <v>46844</v>
      </c>
      <c r="S11" s="43" t="n">
        <v>46874</v>
      </c>
      <c r="T11" s="43" t="n">
        <v>46905</v>
      </c>
      <c r="U11" s="43" t="n">
        <v>46935</v>
      </c>
      <c r="V11" s="43" t="n">
        <v>46966</v>
      </c>
      <c r="W11" s="43" t="n">
        <v>46997</v>
      </c>
      <c r="X11" s="43" t="n">
        <v>47027</v>
      </c>
      <c r="Y11" s="43" t="n">
        <v>47058</v>
      </c>
      <c r="Z11" s="43" t="n">
        <v>47088</v>
      </c>
    </row>
    <row r="12">
      <c r="B12" s="10" t="inlineStr">
        <is>
          <t>출하</t>
        </is>
      </c>
      <c r="C12" s="21">
        <f>'05_월별_Capa기준'!C14</f>
        <v>2753.33333333333</v>
      </c>
      <c r="D12" s="21">
        <f>'05_월별_Capa기준'!D14</f>
        <v>2753.33333333333</v>
      </c>
      <c r="E12" s="21">
        <f>'05_월별_Capa기준'!E14</f>
        <v>3333.33333333333</v>
      </c>
      <c r="F12" s="21">
        <f>'05_월별_Capa기준'!F14</f>
        <v>3333.33333333333</v>
      </c>
      <c r="G12" s="21">
        <f>'05_월별_Capa기준'!G14</f>
        <v>3333.33333333333</v>
      </c>
      <c r="H12" s="21">
        <f>'05_월별_Capa기준'!H14</f>
        <v>3333.33333333333</v>
      </c>
      <c r="I12" s="21">
        <f>'05_월별_Capa기준'!I14</f>
        <v>3813.33333333333</v>
      </c>
      <c r="J12" s="21">
        <f>'05_월별_Capa기준'!J14</f>
        <v>3813.33333333333</v>
      </c>
      <c r="K12" s="21">
        <f>'05_월별_Capa기준'!K14</f>
        <v>3813.33333333333</v>
      </c>
      <c r="L12" s="21">
        <f>'05_월별_Capa기준'!L14</f>
        <v>3813.33333333333</v>
      </c>
      <c r="M12" s="21">
        <f>'05_월별_Capa기준'!M14</f>
        <v>3813.33333333333</v>
      </c>
      <c r="N12" s="21">
        <f>'05_월별_Capa기준'!N14</f>
        <v>3813.33333333333</v>
      </c>
      <c r="O12" s="21">
        <f>'05_월별_Capa기준'!C32</f>
        <v>3813.33333333333</v>
      </c>
      <c r="P12" s="21">
        <f>'05_월별_Capa기준'!D32</f>
        <v>3813.33333333333</v>
      </c>
      <c r="Q12" s="21">
        <f>'05_월별_Capa기준'!E32</f>
        <v>3813.33333333333</v>
      </c>
      <c r="R12" s="21">
        <f>'05_월별_Capa기준'!F32</f>
        <v>3813.33333333333</v>
      </c>
      <c r="S12" s="21">
        <f>'05_월별_Capa기준'!G32</f>
        <v>3813.33333333333</v>
      </c>
      <c r="T12" s="21">
        <f>'05_월별_Capa기준'!H32</f>
        <v>3813.33333333333</v>
      </c>
      <c r="U12" s="21">
        <f>'05_월별_Capa기준'!I32</f>
        <v>3813.33333333333</v>
      </c>
      <c r="V12" s="21">
        <f>'05_월별_Capa기준'!J32</f>
        <v>3813.33333333333</v>
      </c>
      <c r="W12" s="21">
        <f>'05_월별_Capa기준'!K32</f>
        <v>3813.33333333333</v>
      </c>
      <c r="X12" s="21">
        <f>'05_월별_Capa기준'!L32</f>
        <v>3813.33333333333</v>
      </c>
      <c r="Y12" s="21">
        <f>'05_월별_Capa기준'!M32</f>
        <v>3813.33333333333</v>
      </c>
      <c r="Z12" s="21">
        <f>'05_월별_Capa기준'!N32</f>
        <v>3813.33333333333</v>
      </c>
    </row>
    <row r="13">
      <c r="B13" s="10" t="inlineStr">
        <is>
          <t>① 생산 (Capa. 기준)</t>
        </is>
      </c>
      <c r="C13" s="21">
        <f>'05_월별_Capa기준'!C6</f>
        <v>2178</v>
      </c>
      <c r="D13" s="21">
        <f>'05_월별_Capa기준'!D6</f>
        <v>2178</v>
      </c>
      <c r="E13" s="21">
        <f>'05_월별_Capa기준'!E6</f>
        <v>3168</v>
      </c>
      <c r="F13" s="21">
        <f>'05_월별_Capa기준'!F6</f>
        <v>1188</v>
      </c>
      <c r="G13" s="21">
        <f>'05_월별_Capa기준'!G6</f>
        <v>4290.90909090909</v>
      </c>
      <c r="H13" s="21">
        <f>'05_월별_Capa기준'!H6</f>
        <v>4290.90909090909</v>
      </c>
      <c r="I13" s="21">
        <f>'05_월별_Capa기준'!I6</f>
        <v>4290.90909090909</v>
      </c>
      <c r="J13" s="21">
        <f>'05_월별_Capa기준'!J6</f>
        <v>4290.90909090909</v>
      </c>
      <c r="K13" s="21">
        <f>'05_월별_Capa기준'!K6</f>
        <v>4290.90909090909</v>
      </c>
      <c r="L13" s="21">
        <f>'05_월별_Capa기준'!L6</f>
        <v>4290.90909090909</v>
      </c>
      <c r="M13" s="21">
        <f>'05_월별_Capa기준'!M6</f>
        <v>4290.90909090909</v>
      </c>
      <c r="N13" s="21">
        <f>'05_월별_Capa기준'!N6</f>
        <v>4290.90909090909</v>
      </c>
      <c r="O13" s="21">
        <f>'05_월별_Capa기준'!C24</f>
        <v>4563.63636363636</v>
      </c>
      <c r="P13" s="21">
        <f>'05_월별_Capa기준'!D24</f>
        <v>4563.63636363636</v>
      </c>
      <c r="Q13" s="21">
        <f>'05_월별_Capa기준'!E24</f>
        <v>4563.63636363636</v>
      </c>
      <c r="R13" s="21">
        <f>'05_월별_Capa기준'!F24</f>
        <v>1188</v>
      </c>
      <c r="S13" s="21">
        <f>'05_월별_Capa기준'!G24</f>
        <v>4563.63636363636</v>
      </c>
      <c r="T13" s="21">
        <f>'05_월별_Capa기준'!H24</f>
        <v>4563.63636363636</v>
      </c>
      <c r="U13" s="21">
        <f>'05_월별_Capa기준'!I24</f>
        <v>4563.63636363636</v>
      </c>
      <c r="V13" s="21">
        <f>'05_월별_Capa기준'!J24</f>
        <v>4563.63636363636</v>
      </c>
      <c r="W13" s="21">
        <f>'05_월별_Capa기준'!K24</f>
        <v>4563.63636363636</v>
      </c>
      <c r="X13" s="21">
        <f>'05_월별_Capa기준'!L24</f>
        <v>4563.63636363636</v>
      </c>
      <c r="Y13" s="21">
        <f>'05_월별_Capa기준'!M24</f>
        <v>4563.63636363636</v>
      </c>
      <c r="Z13" s="21">
        <f>'05_월별_Capa기준'!N24</f>
        <v>4563.63636363636</v>
      </c>
    </row>
    <row r="14">
      <c r="B14" s="29" t="inlineStr">
        <is>
          <t>① 재고</t>
        </is>
      </c>
      <c r="C14" s="40">
        <f>'05_월별_Capa기준'!C9</f>
        <v>2306.66666666667</v>
      </c>
      <c r="D14" s="40">
        <f>'05_월별_Capa기준'!D9</f>
        <v>1731.33333333333</v>
      </c>
      <c r="E14" s="40">
        <f>'05_월별_Capa기준'!E9</f>
        <v>1566</v>
      </c>
      <c r="F14" s="40">
        <f>'05_월별_Capa기준'!F9</f>
        <v>-579.333333333332</v>
      </c>
      <c r="G14" s="40">
        <f>'05_월별_Capa기준'!G9</f>
        <v>378.242424242426</v>
      </c>
      <c r="H14" s="40">
        <f>'05_월별_Capa기준'!H9</f>
        <v>1335.81818181818</v>
      </c>
      <c r="I14" s="40">
        <f>'05_월별_Capa기준'!I9</f>
        <v>1813.39393939394</v>
      </c>
      <c r="J14" s="40">
        <f>'05_월별_Capa기준'!J9</f>
        <v>2290.9696969697</v>
      </c>
      <c r="K14" s="40">
        <f>'05_월별_Capa기준'!K9</f>
        <v>2768.54545454546</v>
      </c>
      <c r="L14" s="40">
        <f>'05_월별_Capa기준'!L9</f>
        <v>3246.12121212122</v>
      </c>
      <c r="M14" s="40">
        <f>'05_월별_Capa기준'!M9</f>
        <v>3723.69696969697</v>
      </c>
      <c r="N14" s="40">
        <f>'05_월별_Capa기준'!N9</f>
        <v>4201.27272727273</v>
      </c>
      <c r="O14" s="40">
        <f>'05_월별_Capa기준'!C27</f>
        <v>4951.57575757576</v>
      </c>
      <c r="P14" s="40">
        <f>'05_월별_Capa기준'!D27</f>
        <v>5701.87878787879</v>
      </c>
      <c r="Q14" s="40">
        <f>'05_월별_Capa기준'!E27</f>
        <v>6452.18181818183</v>
      </c>
      <c r="R14" s="40">
        <f>'05_월별_Capa기준'!F27</f>
        <v>3826.84848484849</v>
      </c>
      <c r="S14" s="40">
        <f>'05_월별_Capa기준'!G27</f>
        <v>4577.15151515152</v>
      </c>
      <c r="T14" s="40">
        <f>'05_월별_Capa기준'!H27</f>
        <v>5327.45454545455</v>
      </c>
      <c r="U14" s="40">
        <f>'05_월별_Capa기준'!I27</f>
        <v>6077.75757575759</v>
      </c>
      <c r="V14" s="40">
        <f>'05_월별_Capa기준'!J27</f>
        <v>6828.06060606062</v>
      </c>
      <c r="W14" s="40">
        <f>'05_월별_Capa기준'!K27</f>
        <v>7578.36363636365</v>
      </c>
      <c r="X14" s="40">
        <f>'05_월별_Capa기준'!L27</f>
        <v>8328.66666666668</v>
      </c>
      <c r="Y14" s="40">
        <f>'05_월별_Capa기준'!M27</f>
        <v>9078.96969696971</v>
      </c>
      <c r="Z14" s="40">
        <f>'05_월별_Capa기준'!N27</f>
        <v>9829.27272727275</v>
      </c>
    </row>
    <row r="15">
      <c r="B15" s="10" t="inlineStr">
        <is>
          <t>② 생산 (기존 생산계획)</t>
        </is>
      </c>
      <c r="C15" s="21">
        <f>'06_월별_생산계획'!C6</f>
        <v>2178</v>
      </c>
      <c r="D15" s="21">
        <f>'06_월별_생산계획'!D6</f>
        <v>2178</v>
      </c>
      <c r="E15" s="21">
        <f>'06_월별_생산계획'!E6</f>
        <v>3168</v>
      </c>
      <c r="F15" s="21">
        <f>'06_월별_생산계획'!F6</f>
        <v>1188</v>
      </c>
      <c r="G15" s="21">
        <f>'06_월별_생산계획'!G6</f>
        <v>3564</v>
      </c>
      <c r="H15" s="21">
        <f>'06_월별_생산계획'!H6</f>
        <v>3564</v>
      </c>
      <c r="I15" s="21">
        <f>'06_월별_생산계획'!I6</f>
        <v>3564</v>
      </c>
      <c r="J15" s="21">
        <f>'06_월별_생산계획'!J6</f>
        <v>3564</v>
      </c>
      <c r="K15" s="21">
        <f>'06_월별_생산계획'!K6</f>
        <v>3564</v>
      </c>
      <c r="L15" s="21">
        <f>'06_월별_생산계획'!L6</f>
        <v>3564</v>
      </c>
      <c r="M15" s="21">
        <f>'06_월별_생산계획'!M6</f>
        <v>3564</v>
      </c>
      <c r="N15" s="21">
        <f>'06_월별_생산계획'!N6</f>
        <v>3564</v>
      </c>
      <c r="O15" s="21">
        <f>'06_월별_생산계획'!C24</f>
        <v>3564</v>
      </c>
      <c r="P15" s="21">
        <f>'06_월별_생산계획'!D24</f>
        <v>3564</v>
      </c>
      <c r="Q15" s="21">
        <f>'06_월별_생산계획'!E24</f>
        <v>3564</v>
      </c>
      <c r="R15" s="21">
        <f>'06_월별_생산계획'!F24</f>
        <v>1188</v>
      </c>
      <c r="S15" s="21">
        <f>'06_월별_생산계획'!G24</f>
        <v>3564</v>
      </c>
      <c r="T15" s="21">
        <f>'06_월별_생산계획'!H24</f>
        <v>3564</v>
      </c>
      <c r="U15" s="21">
        <f>'06_월별_생산계획'!I24</f>
        <v>3564</v>
      </c>
      <c r="V15" s="21">
        <f>'06_월별_생산계획'!J24</f>
        <v>3168</v>
      </c>
      <c r="W15" s="21">
        <f>'06_월별_생산계획'!K24</f>
        <v>3168</v>
      </c>
      <c r="X15" s="21">
        <f>'06_월별_생산계획'!L24</f>
        <v>3168</v>
      </c>
      <c r="Y15" s="21">
        <f>'06_월별_생산계획'!M24</f>
        <v>3168</v>
      </c>
      <c r="Z15" s="21">
        <f>'06_월별_생산계획'!N24</f>
        <v>3168</v>
      </c>
    </row>
    <row r="16">
      <c r="B16" s="29" t="inlineStr">
        <is>
          <t>② 재고</t>
        </is>
      </c>
      <c r="C16" s="40">
        <f>'06_월별_생산계획'!C9</f>
        <v>2306.66666666667</v>
      </c>
      <c r="D16" s="40">
        <f>'06_월별_생산계획'!D9</f>
        <v>1731.33333333333</v>
      </c>
      <c r="E16" s="40">
        <f>'06_월별_생산계획'!E9</f>
        <v>1566</v>
      </c>
      <c r="F16" s="40">
        <f>'06_월별_생산계획'!F9</f>
        <v>-579.333333333332</v>
      </c>
      <c r="G16" s="40">
        <f>'06_월별_생산계획'!G9</f>
        <v>-348.666666666665</v>
      </c>
      <c r="H16" s="40">
        <f>'06_월별_생산계획'!H9</f>
        <v>-117.999999999998</v>
      </c>
      <c r="I16" s="40">
        <f>'06_월별_생산계획'!I9</f>
        <v>-367.333333333331</v>
      </c>
      <c r="J16" s="40">
        <f>'06_월별_생산계획'!J9</f>
        <v>-616.666666666664</v>
      </c>
      <c r="K16" s="40">
        <f>'06_월별_생산계획'!K9</f>
        <v>-865.999999999997</v>
      </c>
      <c r="L16" s="40">
        <f>'06_월별_생산계획'!L9</f>
        <v>-1115.33333333333</v>
      </c>
      <c r="M16" s="40">
        <f>'06_월별_생산계획'!M9</f>
        <v>-1364.66666666666</v>
      </c>
      <c r="N16" s="40">
        <f>'06_월별_생산계획'!N9</f>
        <v>-1614</v>
      </c>
      <c r="O16" s="40">
        <f>'06_월별_생산계획'!C27</f>
        <v>-1863.33333333333</v>
      </c>
      <c r="P16" s="40">
        <f>'06_월별_생산계획'!D27</f>
        <v>-2112.66666666666</v>
      </c>
      <c r="Q16" s="40">
        <f>'06_월별_생산계획'!E27</f>
        <v>-2362</v>
      </c>
      <c r="R16" s="40">
        <f>'06_월별_생산계획'!F27</f>
        <v>-4987.33333333333</v>
      </c>
      <c r="S16" s="40">
        <f>'06_월별_생산계획'!G27</f>
        <v>-5236.66666666666</v>
      </c>
      <c r="T16" s="40">
        <f>'06_월별_생산계획'!H27</f>
        <v>-5485.99999999999</v>
      </c>
      <c r="U16" s="40">
        <f>'06_월별_생산계획'!I27</f>
        <v>-5735.33333333333</v>
      </c>
      <c r="V16" s="40">
        <f>'06_월별_생산계획'!J27</f>
        <v>-6380.66666666666</v>
      </c>
      <c r="W16" s="40">
        <f>'06_월별_생산계획'!K27</f>
        <v>-7025.99999999999</v>
      </c>
      <c r="X16" s="40">
        <f>'06_월별_생산계획'!L27</f>
        <v>-7671.33333333333</v>
      </c>
      <c r="Y16" s="40">
        <f>'06_월별_생산계획'!M27</f>
        <v>-8316.66666666666</v>
      </c>
      <c r="Z16" s="40">
        <f>'06_월별_생산계획'!N27</f>
        <v>-8961.99999999999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0AD47"/>
    <outlinePr summaryBelow="1" summaryRight="1"/>
    <pageSetUpPr/>
  </sheetPr>
  <dimension ref="B1:O58"/>
  <sheetViews>
    <sheetView showGridLines="0" zoomScale="9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</cols>
  <sheetData>
    <row r="1">
      <c r="B1" s="1" t="inlineStr">
        <is>
          <t>08_후공정부하 | 5 Gal · 200 L 충진 · OQC · 검사 (출하계획 기준)</t>
        </is>
      </c>
    </row>
    <row r="2">
      <c r="B2" s="2" t="inlineStr">
        <is>
          <t>생산 버전과 무관하게 출하량으로 계산. ARS 시간 미입력 시 수동 8 h 적용.</t>
        </is>
      </c>
    </row>
    <row r="4">
      <c r="B4" s="8" t="inlineStr">
        <is>
          <t>2026</t>
        </is>
      </c>
      <c r="C4" s="25" t="n">
        <v>46023</v>
      </c>
      <c r="D4" s="25" t="n">
        <v>46054</v>
      </c>
      <c r="E4" s="25" t="n">
        <v>46082</v>
      </c>
      <c r="F4" s="25" t="n">
        <v>46113</v>
      </c>
      <c r="G4" s="25" t="n">
        <v>46143</v>
      </c>
      <c r="H4" s="25" t="n">
        <v>46174</v>
      </c>
      <c r="I4" s="25" t="n">
        <v>46204</v>
      </c>
      <c r="J4" s="25" t="n">
        <v>46235</v>
      </c>
      <c r="K4" s="25" t="n">
        <v>46266</v>
      </c>
      <c r="L4" s="25" t="n">
        <v>46296</v>
      </c>
      <c r="M4" s="25" t="n">
        <v>46327</v>
      </c>
      <c r="N4" s="25" t="n">
        <v>46357</v>
      </c>
      <c r="O4" s="9" t="inlineStr">
        <is>
          <t>연간</t>
        </is>
      </c>
    </row>
    <row r="5">
      <c r="B5" s="10" t="inlineStr">
        <is>
          <t>5 Gal 출하 (하이닉스+CXMT) kg</t>
        </is>
      </c>
      <c r="C5" s="21">
        <f>N('01_입력'!$C$87)+N('01_입력'!$C$88)</f>
        <v>1600</v>
      </c>
      <c r="D5" s="21">
        <f>N('01_입력'!$D$87)+N('01_입력'!$D$88)</f>
        <v>1420</v>
      </c>
      <c r="E5" s="21">
        <f>N('01_입력'!$E$87)+N('01_입력'!$E$88)</f>
        <v>1440</v>
      </c>
      <c r="F5" s="21">
        <f>N('01_입력'!$F$87)+N('01_입력'!$F$88)</f>
        <v>1580</v>
      </c>
      <c r="G5" s="21">
        <f>N('01_입력'!$G$87)+N('01_입력'!$G$88)</f>
        <v>1200</v>
      </c>
      <c r="H5" s="21">
        <f>N('01_입력'!$H$87)+N('01_입력'!$H$88)</f>
        <v>1200</v>
      </c>
      <c r="I5" s="21">
        <f>N('01_입력'!$I$87)+N('01_입력'!$I$88)</f>
        <v>1360</v>
      </c>
      <c r="J5" s="21">
        <f>N('01_입력'!$J$87)+N('01_입력'!$J$88)</f>
        <v>1420</v>
      </c>
      <c r="K5" s="21">
        <f>N('01_입력'!$K$87)+N('01_입력'!$K$88)</f>
        <v>1380</v>
      </c>
      <c r="L5" s="21">
        <f>N('01_입력'!$L$87)+N('01_입력'!$L$88)</f>
        <v>1480</v>
      </c>
      <c r="M5" s="21">
        <f>N('01_입력'!$M$87)+N('01_입력'!$M$88)</f>
        <v>1480</v>
      </c>
      <c r="N5" s="21">
        <f>N('01_입력'!$N$87)+N('01_입력'!$N$88)</f>
        <v>1420</v>
      </c>
      <c r="O5" s="26">
        <f>SUM(C5:N5)</f>
        <v>16980</v>
      </c>
    </row>
    <row r="6">
      <c r="B6" s="10" t="inlineStr">
        <is>
          <t>5 Gal 병</t>
        </is>
      </c>
      <c r="C6" s="32">
        <f>C5/KG_BOT</f>
        <v>80</v>
      </c>
      <c r="D6" s="32">
        <f>D5/KG_BOT</f>
        <v>71</v>
      </c>
      <c r="E6" s="32">
        <f>E5/KG_BOT</f>
        <v>72</v>
      </c>
      <c r="F6" s="32">
        <f>F5/KG_BOT</f>
        <v>79</v>
      </c>
      <c r="G6" s="32">
        <f>G5/KG_BOT</f>
        <v>60</v>
      </c>
      <c r="H6" s="32">
        <f>H5/KG_BOT</f>
        <v>60</v>
      </c>
      <c r="I6" s="32">
        <f>I5/KG_BOT</f>
        <v>68</v>
      </c>
      <c r="J6" s="32">
        <f>J5/KG_BOT</f>
        <v>71</v>
      </c>
      <c r="K6" s="32">
        <f>K5/KG_BOT</f>
        <v>69</v>
      </c>
      <c r="L6" s="32">
        <f>L5/KG_BOT</f>
        <v>74</v>
      </c>
      <c r="M6" s="32">
        <f>M5/KG_BOT</f>
        <v>74</v>
      </c>
      <c r="N6" s="32">
        <f>N5/KG_BOT</f>
        <v>71</v>
      </c>
      <c r="O6" s="35">
        <f>SUM(C6:N6)</f>
        <v>849</v>
      </c>
    </row>
    <row r="7">
      <c r="B7" s="10" t="inlineStr">
        <is>
          <t>5 Gal 충진 h</t>
        </is>
      </c>
      <c r="C7" s="13">
        <f>C6*FILL_5G</f>
        <v>160</v>
      </c>
      <c r="D7" s="13">
        <f>D6*FILL_5G</f>
        <v>142</v>
      </c>
      <c r="E7" s="13">
        <f>E6*FILL_5G</f>
        <v>144</v>
      </c>
      <c r="F7" s="13">
        <f>F6*FILL_5G</f>
        <v>158</v>
      </c>
      <c r="G7" s="13">
        <f>G6*FILL_5G</f>
        <v>120</v>
      </c>
      <c r="H7" s="13">
        <f>H6*FILL_5G</f>
        <v>120</v>
      </c>
      <c r="I7" s="13">
        <f>I6*FILL_5G</f>
        <v>136</v>
      </c>
      <c r="J7" s="13">
        <f>J6*FILL_5G</f>
        <v>142</v>
      </c>
      <c r="K7" s="13">
        <f>K6*FILL_5G</f>
        <v>138</v>
      </c>
      <c r="L7" s="13">
        <f>L6*FILL_5G</f>
        <v>148</v>
      </c>
      <c r="M7" s="13">
        <f>M6*FILL_5G</f>
        <v>148</v>
      </c>
      <c r="N7" s="13">
        <f>N6*FILL_5G</f>
        <v>142</v>
      </c>
      <c r="O7" s="13">
        <f>SUM(C7:N7)</f>
        <v>1698</v>
      </c>
    </row>
    <row r="8">
      <c r="B8" s="10" t="inlineStr">
        <is>
          <t>5 Gal OQC h</t>
        </is>
      </c>
      <c r="C8" s="17">
        <f>C6/BOT_B*OQC_5G</f>
        <v>17.7777777777778</v>
      </c>
      <c r="D8" s="17">
        <f>D6/BOT_B*OQC_5G</f>
        <v>15.7777777777778</v>
      </c>
      <c r="E8" s="17">
        <f>E6/BOT_B*OQC_5G</f>
        <v>16</v>
      </c>
      <c r="F8" s="17">
        <f>F6/BOT_B*OQC_5G</f>
        <v>17.5555555555556</v>
      </c>
      <c r="G8" s="17">
        <f>G6/BOT_B*OQC_5G</f>
        <v>13.3333333333333</v>
      </c>
      <c r="H8" s="17">
        <f>H6/BOT_B*OQC_5G</f>
        <v>13.3333333333333</v>
      </c>
      <c r="I8" s="17">
        <f>I6/BOT_B*OQC_5G</f>
        <v>15.1111111111111</v>
      </c>
      <c r="J8" s="17">
        <f>J6/BOT_B*OQC_5G</f>
        <v>15.7777777777778</v>
      </c>
      <c r="K8" s="17">
        <f>K6/BOT_B*OQC_5G</f>
        <v>15.3333333333333</v>
      </c>
      <c r="L8" s="17">
        <f>L6/BOT_B*OQC_5G</f>
        <v>16.4444444444444</v>
      </c>
      <c r="M8" s="17">
        <f>M6/BOT_B*OQC_5G</f>
        <v>16.4444444444444</v>
      </c>
      <c r="N8" s="17">
        <f>N6/BOT_B*OQC_5G</f>
        <v>15.7777777777778</v>
      </c>
      <c r="O8" s="13">
        <f>SUM(C8:N8)</f>
        <v>188.666666666667</v>
      </c>
    </row>
    <row r="9">
      <c r="B9" s="10" t="inlineStr">
        <is>
          <t>글로브 박스 가용 h (1교대)</t>
        </is>
      </c>
      <c r="C9" s="33">
        <f>WH_DAY*WD_MON</f>
        <v>176</v>
      </c>
      <c r="D9" s="33">
        <f>WH_DAY*WD_MON</f>
        <v>176</v>
      </c>
      <c r="E9" s="33">
        <f>WH_DAY*WD_MON</f>
        <v>176</v>
      </c>
      <c r="F9" s="33">
        <f>WH_DAY*WD_MON</f>
        <v>176</v>
      </c>
      <c r="G9" s="33">
        <f>WH_DAY*WD_MON</f>
        <v>176</v>
      </c>
      <c r="H9" s="33">
        <f>WH_DAY*WD_MON</f>
        <v>176</v>
      </c>
      <c r="I9" s="33">
        <f>WH_DAY*WD_MON</f>
        <v>176</v>
      </c>
      <c r="J9" s="33">
        <f>WH_DAY*WD_MON</f>
        <v>176</v>
      </c>
      <c r="K9" s="33">
        <f>WH_DAY*WD_MON</f>
        <v>176</v>
      </c>
      <c r="L9" s="33">
        <f>WH_DAY*WD_MON</f>
        <v>176</v>
      </c>
      <c r="M9" s="33">
        <f>WH_DAY*WD_MON</f>
        <v>176</v>
      </c>
      <c r="N9" s="33">
        <f>WH_DAY*WD_MON</f>
        <v>176</v>
      </c>
      <c r="O9" s="34">
        <f>C9</f>
        <v>176</v>
      </c>
    </row>
    <row r="10">
      <c r="B10" s="10" t="inlineStr">
        <is>
          <t>글로브 박스 부하율</t>
        </is>
      </c>
      <c r="C10" s="44">
        <f>C7/C9</f>
        <v>0.909090909090909</v>
      </c>
      <c r="D10" s="44">
        <f>D7/D9</f>
        <v>0.806818181818182</v>
      </c>
      <c r="E10" s="44">
        <f>E7/E9</f>
        <v>0.818181818181818</v>
      </c>
      <c r="F10" s="44">
        <f>F7/F9</f>
        <v>0.897727272727273</v>
      </c>
      <c r="G10" s="44">
        <f>G7/G9</f>
        <v>0.681818181818182</v>
      </c>
      <c r="H10" s="44">
        <f>H7/H9</f>
        <v>0.681818181818182</v>
      </c>
      <c r="I10" s="44">
        <f>I7/I9</f>
        <v>0.772727272727273</v>
      </c>
      <c r="J10" s="44">
        <f>J7/J9</f>
        <v>0.806818181818182</v>
      </c>
      <c r="K10" s="44">
        <f>K7/K9</f>
        <v>0.784090909090909</v>
      </c>
      <c r="L10" s="44">
        <f>L7/L9</f>
        <v>0.840909090909091</v>
      </c>
      <c r="M10" s="44">
        <f>M7/M9</f>
        <v>0.840909090909091</v>
      </c>
      <c r="N10" s="44">
        <f>N7/N9</f>
        <v>0.806818181818182</v>
      </c>
      <c r="O10" s="45">
        <f>MAX(C10:N10)</f>
        <v>0.909090909090909</v>
      </c>
    </row>
    <row r="11">
      <c r="B11" s="10" t="inlineStr">
        <is>
          <t>이지켐 용기</t>
        </is>
      </c>
      <c r="C11" s="32">
        <f>N('01_입력'!$C$89)/KG_EZ</f>
        <v>0</v>
      </c>
      <c r="D11" s="32">
        <f>N('01_입력'!$D$89)/KG_EZ</f>
        <v>0</v>
      </c>
      <c r="E11" s="32">
        <f>N('01_입력'!$E$89)/KG_EZ</f>
        <v>0</v>
      </c>
      <c r="F11" s="32">
        <f>N('01_입력'!$F$89)/KG_EZ</f>
        <v>0</v>
      </c>
      <c r="G11" s="32">
        <f>N('01_입력'!$G$89)/KG_EZ</f>
        <v>0</v>
      </c>
      <c r="H11" s="32">
        <f>N('01_입력'!$H$89)/KG_EZ</f>
        <v>0</v>
      </c>
      <c r="I11" s="32">
        <f>N('01_입력'!$I$89)/KG_EZ</f>
        <v>0</v>
      </c>
      <c r="J11" s="32">
        <f>N('01_입력'!$J$89)/KG_EZ</f>
        <v>0</v>
      </c>
      <c r="K11" s="32">
        <f>N('01_입력'!$K$89)/KG_EZ</f>
        <v>4</v>
      </c>
      <c r="L11" s="32">
        <f>N('01_입력'!$L$89)/KG_EZ</f>
        <v>4</v>
      </c>
      <c r="M11" s="32">
        <f>N('01_입력'!$M$89)/KG_EZ</f>
        <v>4</v>
      </c>
      <c r="N11" s="32">
        <f>N('01_입력'!$N$89)/KG_EZ</f>
        <v>4</v>
      </c>
      <c r="O11" s="35">
        <f>SUM(C11:N11)</f>
        <v>16</v>
      </c>
    </row>
    <row r="12">
      <c r="B12" s="10" t="inlineStr">
        <is>
          <t>이지켐 충진 방식</t>
        </is>
      </c>
      <c r="C12" s="5" t="str">
        <f>IF(C11=0,"-",IF(C$4&gt;=ARS_EZ_S,"ARS","수동"))</f>
        <v>-</v>
      </c>
      <c r="D12" s="5" t="str">
        <f>IF(D11=0,"-",IF(D$4&gt;=ARS_EZ_S,"ARS","수동"))</f>
        <v>-</v>
      </c>
      <c r="E12" s="5" t="str">
        <f>IF(E11=0,"-",IF(E$4&gt;=ARS_EZ_S,"ARS","수동"))</f>
        <v>-</v>
      </c>
      <c r="F12" s="5" t="str">
        <f>IF(F11=0,"-",IF(F$4&gt;=ARS_EZ_S,"ARS","수동"))</f>
        <v>-</v>
      </c>
      <c r="G12" s="5" t="str">
        <f>IF(G11=0,"-",IF(G$4&gt;=ARS_EZ_S,"ARS","수동"))</f>
        <v>-</v>
      </c>
      <c r="H12" s="5" t="str">
        <f>IF(H11=0,"-",IF(H$4&gt;=ARS_EZ_S,"ARS","수동"))</f>
        <v>-</v>
      </c>
      <c r="I12" s="5" t="str">
        <f>IF(I11=0,"-",IF(I$4&gt;=ARS_EZ_S,"ARS","수동"))</f>
        <v>-</v>
      </c>
      <c r="J12" s="5" t="str">
        <f>IF(J11=0,"-",IF(J$4&gt;=ARS_EZ_S,"ARS","수동"))</f>
        <v>-</v>
      </c>
      <c r="K12" s="5" t="str">
        <f>IF(K11=0,"-",IF(K$4&gt;=ARS_EZ_S,"ARS","수동"))</f>
        <v>수동</v>
      </c>
      <c r="L12" s="5" t="str">
        <f>IF(L11=0,"-",IF(L$4&gt;=ARS_EZ_S,"ARS","수동"))</f>
        <v>수동</v>
      </c>
      <c r="M12" s="5" t="str">
        <f>IF(M11=0,"-",IF(M$4&gt;=ARS_EZ_S,"ARS","수동"))</f>
        <v>수동</v>
      </c>
      <c r="N12" s="5" t="str">
        <f>IF(N11=0,"-",IF(N$4&gt;=ARS_EZ_S,"ARS","수동"))</f>
        <v>수동</v>
      </c>
      <c r="O12" s="6" t="inlineStr">
        <is>
          <t>-</t>
        </is>
      </c>
    </row>
    <row r="13">
      <c r="B13" s="10" t="inlineStr">
        <is>
          <t>이지켐 충진 h</t>
        </is>
      </c>
      <c r="C13" s="17">
        <f>C11*IF(AND(C12="ARS",ISNUMBER(ARS_EZ_T)),ARS_EZ_T,FILL_EZ)</f>
        <v>0</v>
      </c>
      <c r="D13" s="17">
        <f>D11*IF(AND(D12="ARS",ISNUMBER(ARS_EZ_T)),ARS_EZ_T,FILL_EZ)</f>
        <v>0</v>
      </c>
      <c r="E13" s="17">
        <f>E11*IF(AND(E12="ARS",ISNUMBER(ARS_EZ_T)),ARS_EZ_T,FILL_EZ)</f>
        <v>0</v>
      </c>
      <c r="F13" s="17">
        <f>F11*IF(AND(F12="ARS",ISNUMBER(ARS_EZ_T)),ARS_EZ_T,FILL_EZ)</f>
        <v>0</v>
      </c>
      <c r="G13" s="17">
        <f>G11*IF(AND(G12="ARS",ISNUMBER(ARS_EZ_T)),ARS_EZ_T,FILL_EZ)</f>
        <v>0</v>
      </c>
      <c r="H13" s="17">
        <f>H11*IF(AND(H12="ARS",ISNUMBER(ARS_EZ_T)),ARS_EZ_T,FILL_EZ)</f>
        <v>0</v>
      </c>
      <c r="I13" s="17">
        <f>I11*IF(AND(I12="ARS",ISNUMBER(ARS_EZ_T)),ARS_EZ_T,FILL_EZ)</f>
        <v>0</v>
      </c>
      <c r="J13" s="17">
        <f>J11*IF(AND(J12="ARS",ISNUMBER(ARS_EZ_T)),ARS_EZ_T,FILL_EZ)</f>
        <v>0</v>
      </c>
      <c r="K13" s="17">
        <f>K11*IF(AND(K12="ARS",ISNUMBER(ARS_EZ_T)),ARS_EZ_T,FILL_EZ)</f>
        <v>32</v>
      </c>
      <c r="L13" s="17">
        <f>L11*IF(AND(L12="ARS",ISNUMBER(ARS_EZ_T)),ARS_EZ_T,FILL_EZ)</f>
        <v>32</v>
      </c>
      <c r="M13" s="17">
        <f>M11*IF(AND(M12="ARS",ISNUMBER(ARS_EZ_T)),ARS_EZ_T,FILL_EZ)</f>
        <v>32</v>
      </c>
      <c r="N13" s="17">
        <f>N11*IF(AND(N12="ARS",ISNUMBER(ARS_EZ_T)),ARS_EZ_T,FILL_EZ)</f>
        <v>32</v>
      </c>
      <c r="O13" s="13">
        <f>SUM(C13:N13)</f>
        <v>128</v>
      </c>
    </row>
    <row r="14">
      <c r="B14" s="10" t="inlineStr">
        <is>
          <t>한솔 용기</t>
        </is>
      </c>
      <c r="C14" s="32">
        <f>N('01_입력'!$C$90)/KG_HS</f>
        <v>0</v>
      </c>
      <c r="D14" s="32">
        <f>N('01_입력'!$D$90)/KG_HS</f>
        <v>0</v>
      </c>
      <c r="E14" s="32">
        <f>N('01_입력'!$E$90)/KG_HS</f>
        <v>0</v>
      </c>
      <c r="F14" s="32">
        <f>N('01_입력'!$F$90)/KG_HS</f>
        <v>0</v>
      </c>
      <c r="G14" s="32">
        <f>N('01_입력'!$G$90)/KG_HS</f>
        <v>0</v>
      </c>
      <c r="H14" s="32">
        <f>N('01_입력'!$H$90)/KG_HS</f>
        <v>0</v>
      </c>
      <c r="I14" s="32">
        <f>N('01_입력'!$I$90)/KG_HS</f>
        <v>0</v>
      </c>
      <c r="J14" s="32">
        <f>N('01_입력'!$J$90)/KG_HS</f>
        <v>0</v>
      </c>
      <c r="K14" s="32">
        <f>N('01_입력'!$K$90)/KG_HS</f>
        <v>0</v>
      </c>
      <c r="L14" s="32">
        <f>N('01_입력'!$L$90)/KG_HS</f>
        <v>0</v>
      </c>
      <c r="M14" s="32">
        <f>N('01_입력'!$M$90)/KG_HS</f>
        <v>0</v>
      </c>
      <c r="N14" s="32">
        <f>N('01_입력'!$N$90)/KG_HS</f>
        <v>0</v>
      </c>
      <c r="O14" s="35">
        <f>SUM(C14:N14)</f>
        <v>0</v>
      </c>
    </row>
    <row r="15">
      <c r="B15" s="10" t="inlineStr">
        <is>
          <t>한솔 충진 방식</t>
        </is>
      </c>
      <c r="C15" s="5" t="str">
        <f>IF(C14=0,"-",IF(C$4&gt;=ARS_HS_S,"ARS","수동"))</f>
        <v>-</v>
      </c>
      <c r="D15" s="5" t="str">
        <f>IF(D14=0,"-",IF(D$4&gt;=ARS_HS_S,"ARS","수동"))</f>
        <v>-</v>
      </c>
      <c r="E15" s="5" t="str">
        <f>IF(E14=0,"-",IF(E$4&gt;=ARS_HS_S,"ARS","수동"))</f>
        <v>-</v>
      </c>
      <c r="F15" s="5" t="str">
        <f>IF(F14=0,"-",IF(F$4&gt;=ARS_HS_S,"ARS","수동"))</f>
        <v>-</v>
      </c>
      <c r="G15" s="5" t="str">
        <f>IF(G14=0,"-",IF(G$4&gt;=ARS_HS_S,"ARS","수동"))</f>
        <v>-</v>
      </c>
      <c r="H15" s="5" t="str">
        <f>IF(H14=0,"-",IF(H$4&gt;=ARS_HS_S,"ARS","수동"))</f>
        <v>-</v>
      </c>
      <c r="I15" s="5" t="str">
        <f>IF(I14=0,"-",IF(I$4&gt;=ARS_HS_S,"ARS","수동"))</f>
        <v>-</v>
      </c>
      <c r="J15" s="5" t="str">
        <f>IF(J14=0,"-",IF(J$4&gt;=ARS_HS_S,"ARS","수동"))</f>
        <v>-</v>
      </c>
      <c r="K15" s="5" t="str">
        <f>IF(K14=0,"-",IF(K$4&gt;=ARS_HS_S,"ARS","수동"))</f>
        <v>-</v>
      </c>
      <c r="L15" s="5" t="str">
        <f>IF(L14=0,"-",IF(L$4&gt;=ARS_HS_S,"ARS","수동"))</f>
        <v>-</v>
      </c>
      <c r="M15" s="5" t="str">
        <f>IF(M14=0,"-",IF(M$4&gt;=ARS_HS_S,"ARS","수동"))</f>
        <v>-</v>
      </c>
      <c r="N15" s="5" t="str">
        <f>IF(N14=0,"-",IF(N$4&gt;=ARS_HS_S,"ARS","수동"))</f>
        <v>-</v>
      </c>
      <c r="O15" s="6" t="inlineStr">
        <is>
          <t>-</t>
        </is>
      </c>
    </row>
    <row r="16">
      <c r="B16" s="10" t="inlineStr">
        <is>
          <t>한솔 충진 h</t>
        </is>
      </c>
      <c r="C16" s="17">
        <f>C14*IF(AND(C15="ARS",ISNUMBER(ARS_HS_T)),ARS_HS_T,FILL_HS)</f>
        <v>0</v>
      </c>
      <c r="D16" s="17">
        <f>D14*IF(AND(D15="ARS",ISNUMBER(ARS_HS_T)),ARS_HS_T,FILL_HS)</f>
        <v>0</v>
      </c>
      <c r="E16" s="17">
        <f>E14*IF(AND(E15="ARS",ISNUMBER(ARS_HS_T)),ARS_HS_T,FILL_HS)</f>
        <v>0</v>
      </c>
      <c r="F16" s="17">
        <f>F14*IF(AND(F15="ARS",ISNUMBER(ARS_HS_T)),ARS_HS_T,FILL_HS)</f>
        <v>0</v>
      </c>
      <c r="G16" s="17">
        <f>G14*IF(AND(G15="ARS",ISNUMBER(ARS_HS_T)),ARS_HS_T,FILL_HS)</f>
        <v>0</v>
      </c>
      <c r="H16" s="17">
        <f>H14*IF(AND(H15="ARS",ISNUMBER(ARS_HS_T)),ARS_HS_T,FILL_HS)</f>
        <v>0</v>
      </c>
      <c r="I16" s="17">
        <f>I14*IF(AND(I15="ARS",ISNUMBER(ARS_HS_T)),ARS_HS_T,FILL_HS)</f>
        <v>0</v>
      </c>
      <c r="J16" s="17">
        <f>J14*IF(AND(J15="ARS",ISNUMBER(ARS_HS_T)),ARS_HS_T,FILL_HS)</f>
        <v>0</v>
      </c>
      <c r="K16" s="17">
        <f>K14*IF(AND(K15="ARS",ISNUMBER(ARS_HS_T)),ARS_HS_T,FILL_HS)</f>
        <v>0</v>
      </c>
      <c r="L16" s="17">
        <f>L14*IF(AND(L15="ARS",ISNUMBER(ARS_HS_T)),ARS_HS_T,FILL_HS)</f>
        <v>0</v>
      </c>
      <c r="M16" s="17">
        <f>M14*IF(AND(M15="ARS",ISNUMBER(ARS_HS_T)),ARS_HS_T,FILL_HS)</f>
        <v>0</v>
      </c>
      <c r="N16" s="17">
        <f>N14*IF(AND(N15="ARS",ISNUMBER(ARS_HS_T)),ARS_HS_T,FILL_HS)</f>
        <v>0</v>
      </c>
      <c r="O16" s="13">
        <f>SUM(C16:N16)</f>
        <v>0</v>
      </c>
    </row>
    <row r="17">
      <c r="B17" s="10" t="inlineStr">
        <is>
          <t>200 L 충진 h 합계</t>
        </is>
      </c>
      <c r="C17" s="13">
        <f>C13+C16</f>
        <v>0</v>
      </c>
      <c r="D17" s="13">
        <f>D13+D16</f>
        <v>0</v>
      </c>
      <c r="E17" s="13">
        <f>E13+E16</f>
        <v>0</v>
      </c>
      <c r="F17" s="13">
        <f>F13+F16</f>
        <v>0</v>
      </c>
      <c r="G17" s="13">
        <f>G13+G16</f>
        <v>0</v>
      </c>
      <c r="H17" s="13">
        <f>H13+H16</f>
        <v>0</v>
      </c>
      <c r="I17" s="13">
        <f>I13+I16</f>
        <v>0</v>
      </c>
      <c r="J17" s="13">
        <f>J13+J16</f>
        <v>0</v>
      </c>
      <c r="K17" s="13">
        <f>K13+K16</f>
        <v>32</v>
      </c>
      <c r="L17" s="13">
        <f>L13+L16</f>
        <v>32</v>
      </c>
      <c r="M17" s="13">
        <f>M13+M16</f>
        <v>32</v>
      </c>
      <c r="N17" s="13">
        <f>N13+N16</f>
        <v>32</v>
      </c>
      <c r="O17" s="13">
        <f>SUM(C17:N17)</f>
        <v>128</v>
      </c>
    </row>
    <row r="18">
      <c r="B18" s="10" t="inlineStr">
        <is>
          <t>200 L OQC h</t>
        </is>
      </c>
      <c r="C18" s="17">
        <f>(C11+C14)*OQC_200</f>
        <v>0</v>
      </c>
      <c r="D18" s="17">
        <f>(D11+D14)*OQC_200</f>
        <v>0</v>
      </c>
      <c r="E18" s="17">
        <f>(E11+E14)*OQC_200</f>
        <v>0</v>
      </c>
      <c r="F18" s="17">
        <f>(F11+F14)*OQC_200</f>
        <v>0</v>
      </c>
      <c r="G18" s="17">
        <f>(G11+G14)*OQC_200</f>
        <v>0</v>
      </c>
      <c r="H18" s="17">
        <f>(H11+H14)*OQC_200</f>
        <v>0</v>
      </c>
      <c r="I18" s="17">
        <f>(I11+I14)*OQC_200</f>
        <v>0</v>
      </c>
      <c r="J18" s="17">
        <f>(J11+J14)*OQC_200</f>
        <v>0</v>
      </c>
      <c r="K18" s="17">
        <f>(K11+K14)*OQC_200</f>
        <v>8</v>
      </c>
      <c r="L18" s="17">
        <f>(L11+L14)*OQC_200</f>
        <v>8</v>
      </c>
      <c r="M18" s="17">
        <f>(M11+M14)*OQC_200</f>
        <v>8</v>
      </c>
      <c r="N18" s="17">
        <f>(N11+N14)*OQC_200</f>
        <v>8</v>
      </c>
      <c r="O18" s="13">
        <f>SUM(C18:N18)</f>
        <v>32</v>
      </c>
    </row>
    <row r="19">
      <c r="B19" s="10" t="inlineStr">
        <is>
          <t>필요 Batch (출하 ÷ 190)</t>
        </is>
      </c>
      <c r="C19" s="32">
        <f>(N('01_입력'!$C$87)+N('01_입력'!$C$88)+N('01_입력'!$C$89)+N('01_입력'!$C$90))/KG_B</f>
        <v>8.42105263157895</v>
      </c>
      <c r="D19" s="32">
        <f>(N('01_입력'!$D$87)+N('01_입력'!$D$88)+N('01_입력'!$D$89)+N('01_입력'!$D$90))/KG_B</f>
        <v>7.47368421052632</v>
      </c>
      <c r="E19" s="32">
        <f>(N('01_입력'!$E$87)+N('01_입력'!$E$88)+N('01_입력'!$E$89)+N('01_입력'!$E$90))/KG_B</f>
        <v>7.57894736842105</v>
      </c>
      <c r="F19" s="32">
        <f>(N('01_입력'!$F$87)+N('01_입력'!$F$88)+N('01_입력'!$F$89)+N('01_입력'!$F$90))/KG_B</f>
        <v>8.31578947368421</v>
      </c>
      <c r="G19" s="32">
        <f>(N('01_입력'!$G$87)+N('01_입력'!$G$88)+N('01_입력'!$G$89)+N('01_입력'!$G$90))/KG_B</f>
        <v>6.31578947368421</v>
      </c>
      <c r="H19" s="32">
        <f>(N('01_입력'!$H$87)+N('01_입력'!$H$88)+N('01_입력'!$H$89)+N('01_입력'!$H$90))/KG_B</f>
        <v>6.31578947368421</v>
      </c>
      <c r="I19" s="32">
        <f>(N('01_입력'!$I$87)+N('01_입력'!$I$88)+N('01_입력'!$I$89)+N('01_입력'!$I$90))/KG_B</f>
        <v>7.15789473684211</v>
      </c>
      <c r="J19" s="32">
        <f>(N('01_입력'!$J$87)+N('01_입력'!$J$88)+N('01_입력'!$J$89)+N('01_입력'!$J$90))/KG_B</f>
        <v>7.47368421052632</v>
      </c>
      <c r="K19" s="32">
        <f>(N('01_입력'!$K$87)+N('01_입력'!$K$88)+N('01_입력'!$K$89)+N('01_입력'!$K$90))/KG_B</f>
        <v>10.2105263157895</v>
      </c>
      <c r="L19" s="32">
        <f>(N('01_입력'!$L$87)+N('01_입력'!$L$88)+N('01_입력'!$L$89)+N('01_입력'!$L$90))/KG_B</f>
        <v>10.7368421052632</v>
      </c>
      <c r="M19" s="32">
        <f>(N('01_입력'!$M$87)+N('01_입력'!$M$88)+N('01_입력'!$M$89)+N('01_입력'!$M$90))/KG_B</f>
        <v>10.7368421052632</v>
      </c>
      <c r="N19" s="32">
        <f>(N('01_입력'!$N$87)+N('01_입력'!$N$88)+N('01_입력'!$N$89)+N('01_입력'!$N$90))/KG_B</f>
        <v>10.4210526315789</v>
      </c>
      <c r="O19" s="35">
        <f>SUM(C19:N19)</f>
        <v>101.157894736842</v>
      </c>
    </row>
    <row r="20">
      <c r="B20" s="10" t="inlineStr">
        <is>
          <t>PQC~이송·FQC h (필요 Batch 기준)</t>
        </is>
      </c>
      <c r="C20" s="17">
        <f>C19*(T_PQC+T_FQC)</f>
        <v>67.3684210526316</v>
      </c>
      <c r="D20" s="17">
        <f>D19*(T_PQC+T_FQC)</f>
        <v>59.7894736842105</v>
      </c>
      <c r="E20" s="17">
        <f>E19*(T_PQC+T_FQC)</f>
        <v>60.6315789473684</v>
      </c>
      <c r="F20" s="17">
        <f>F19*(T_PQC+T_FQC)</f>
        <v>66.5263157894737</v>
      </c>
      <c r="G20" s="17">
        <f>G19*(T_PQC+T_FQC)</f>
        <v>50.5263157894737</v>
      </c>
      <c r="H20" s="17">
        <f>H19*(T_PQC+T_FQC)</f>
        <v>50.5263157894737</v>
      </c>
      <c r="I20" s="17">
        <f>I19*(T_PQC+T_FQC)</f>
        <v>57.2631578947368</v>
      </c>
      <c r="J20" s="17">
        <f>J19*(T_PQC+T_FQC)</f>
        <v>59.7894736842105</v>
      </c>
      <c r="K20" s="17">
        <f>K19*(T_PQC+T_FQC)</f>
        <v>81.6842105263158</v>
      </c>
      <c r="L20" s="17">
        <f>L19*(T_PQC+T_FQC)</f>
        <v>85.8947368421053</v>
      </c>
      <c r="M20" s="17">
        <f>M19*(T_PQC+T_FQC)</f>
        <v>85.8947368421053</v>
      </c>
      <c r="N20" s="17">
        <f>N19*(T_PQC+T_FQC)</f>
        <v>83.3684210526316</v>
      </c>
      <c r="O20" s="13">
        <f>SUM(C20:N20)</f>
        <v>809.263157894737</v>
      </c>
    </row>
    <row r="22">
      <c r="B22" s="8" t="inlineStr">
        <is>
          <t>2027</t>
        </is>
      </c>
      <c r="C22" s="25" t="n">
        <v>46388</v>
      </c>
      <c r="D22" s="25" t="n">
        <v>46419</v>
      </c>
      <c r="E22" s="25" t="n">
        <v>46447</v>
      </c>
      <c r="F22" s="25" t="n">
        <v>46478</v>
      </c>
      <c r="G22" s="25" t="n">
        <v>46508</v>
      </c>
      <c r="H22" s="25" t="n">
        <v>46539</v>
      </c>
      <c r="I22" s="25" t="n">
        <v>46569</v>
      </c>
      <c r="J22" s="25" t="n">
        <v>46600</v>
      </c>
      <c r="K22" s="25" t="n">
        <v>46631</v>
      </c>
      <c r="L22" s="25" t="n">
        <v>46661</v>
      </c>
      <c r="M22" s="25" t="n">
        <v>46692</v>
      </c>
      <c r="N22" s="25" t="n">
        <v>46722</v>
      </c>
      <c r="O22" s="9" t="inlineStr">
        <is>
          <t>연간</t>
        </is>
      </c>
    </row>
    <row r="23">
      <c r="B23" s="10" t="inlineStr">
        <is>
          <t>5 Gal 출하 (하이닉스+CXMT) kg</t>
        </is>
      </c>
      <c r="C23" s="21">
        <f>N('01_입력'!$C$94)+N('01_입력'!$C$95)</f>
        <v>1893.33333333333</v>
      </c>
      <c r="D23" s="21">
        <f>N('01_입력'!$D$94)+N('01_입력'!$D$95)</f>
        <v>1893.33333333333</v>
      </c>
      <c r="E23" s="21">
        <f>N('01_입력'!$E$94)+N('01_입력'!$E$95)</f>
        <v>2473.33333333333</v>
      </c>
      <c r="F23" s="21">
        <f>N('01_입력'!$F$94)+N('01_입력'!$F$95)</f>
        <v>2473.33333333333</v>
      </c>
      <c r="G23" s="21">
        <f>N('01_입력'!$G$94)+N('01_입력'!$G$95)</f>
        <v>2473.33333333333</v>
      </c>
      <c r="H23" s="21">
        <f>N('01_입력'!$H$94)+N('01_입력'!$H$95)</f>
        <v>2473.33333333333</v>
      </c>
      <c r="I23" s="21">
        <f>N('01_입력'!$I$94)+N('01_입력'!$I$95)</f>
        <v>2673.33333333333</v>
      </c>
      <c r="J23" s="21">
        <f>N('01_입력'!$J$94)+N('01_입력'!$J$95)</f>
        <v>2673.33333333333</v>
      </c>
      <c r="K23" s="21">
        <f>N('01_입력'!$K$94)+N('01_입력'!$K$95)</f>
        <v>2673.33333333333</v>
      </c>
      <c r="L23" s="21">
        <f>N('01_입력'!$L$94)+N('01_입력'!$L$95)</f>
        <v>2673.33333333333</v>
      </c>
      <c r="M23" s="21">
        <f>N('01_입력'!$M$94)+N('01_입력'!$M$95)</f>
        <v>2673.33333333333</v>
      </c>
      <c r="N23" s="21">
        <f>N('01_입력'!$N$94)+N('01_입력'!$N$95)</f>
        <v>2673.33333333333</v>
      </c>
      <c r="O23" s="26">
        <f>SUM(C23:N23)</f>
        <v>29720</v>
      </c>
    </row>
    <row r="24">
      <c r="B24" s="10" t="inlineStr">
        <is>
          <t>5 Gal 병</t>
        </is>
      </c>
      <c r="C24" s="32">
        <f>C23/KG_BOT</f>
        <v>94.6666666666667</v>
      </c>
      <c r="D24" s="32">
        <f>D23/KG_BOT</f>
        <v>94.6666666666667</v>
      </c>
      <c r="E24" s="32">
        <f>E23/KG_BOT</f>
        <v>123.666666666667</v>
      </c>
      <c r="F24" s="32">
        <f>F23/KG_BOT</f>
        <v>123.666666666667</v>
      </c>
      <c r="G24" s="32">
        <f>G23/KG_BOT</f>
        <v>123.666666666667</v>
      </c>
      <c r="H24" s="32">
        <f>H23/KG_BOT</f>
        <v>123.666666666667</v>
      </c>
      <c r="I24" s="32">
        <f>I23/KG_BOT</f>
        <v>133.666666666667</v>
      </c>
      <c r="J24" s="32">
        <f>J23/KG_BOT</f>
        <v>133.666666666667</v>
      </c>
      <c r="K24" s="32">
        <f>K23/KG_BOT</f>
        <v>133.666666666667</v>
      </c>
      <c r="L24" s="32">
        <f>L23/KG_BOT</f>
        <v>133.666666666667</v>
      </c>
      <c r="M24" s="32">
        <f>M23/KG_BOT</f>
        <v>133.666666666667</v>
      </c>
      <c r="N24" s="32">
        <f>N23/KG_BOT</f>
        <v>133.666666666667</v>
      </c>
      <c r="O24" s="35">
        <f>SUM(C24:N24)</f>
        <v>1486</v>
      </c>
    </row>
    <row r="25">
      <c r="B25" s="10" t="inlineStr">
        <is>
          <t>5 Gal 충진 h</t>
        </is>
      </c>
      <c r="C25" s="13">
        <f>C24*FILL_5G</f>
        <v>189.333333333333</v>
      </c>
      <c r="D25" s="13">
        <f>D24*FILL_5G</f>
        <v>189.333333333333</v>
      </c>
      <c r="E25" s="13">
        <f>E24*FILL_5G</f>
        <v>247.333333333333</v>
      </c>
      <c r="F25" s="13">
        <f>F24*FILL_5G</f>
        <v>247.333333333333</v>
      </c>
      <c r="G25" s="13">
        <f>G24*FILL_5G</f>
        <v>247.333333333333</v>
      </c>
      <c r="H25" s="13">
        <f>H24*FILL_5G</f>
        <v>247.333333333333</v>
      </c>
      <c r="I25" s="13">
        <f>I24*FILL_5G</f>
        <v>267.333333333333</v>
      </c>
      <c r="J25" s="13">
        <f>J24*FILL_5G</f>
        <v>267.333333333333</v>
      </c>
      <c r="K25" s="13">
        <f>K24*FILL_5G</f>
        <v>267.333333333333</v>
      </c>
      <c r="L25" s="13">
        <f>L24*FILL_5G</f>
        <v>267.333333333333</v>
      </c>
      <c r="M25" s="13">
        <f>M24*FILL_5G</f>
        <v>267.333333333333</v>
      </c>
      <c r="N25" s="13">
        <f>N24*FILL_5G</f>
        <v>267.333333333333</v>
      </c>
      <c r="O25" s="13">
        <f>SUM(C25:N25)</f>
        <v>2972</v>
      </c>
    </row>
    <row r="26">
      <c r="B26" s="10" t="inlineStr">
        <is>
          <t>5 Gal OQC h</t>
        </is>
      </c>
      <c r="C26" s="17">
        <f>C24/BOT_B*OQC_5G</f>
        <v>21.037037037037</v>
      </c>
      <c r="D26" s="17">
        <f>D24/BOT_B*OQC_5G</f>
        <v>21.037037037037</v>
      </c>
      <c r="E26" s="17">
        <f>E24/BOT_B*OQC_5G</f>
        <v>27.4814814814815</v>
      </c>
      <c r="F26" s="17">
        <f>F24/BOT_B*OQC_5G</f>
        <v>27.4814814814815</v>
      </c>
      <c r="G26" s="17">
        <f>G24/BOT_B*OQC_5G</f>
        <v>27.4814814814815</v>
      </c>
      <c r="H26" s="17">
        <f>H24/BOT_B*OQC_5G</f>
        <v>27.4814814814815</v>
      </c>
      <c r="I26" s="17">
        <f>I24/BOT_B*OQC_5G</f>
        <v>29.7037037037037</v>
      </c>
      <c r="J26" s="17">
        <f>J24/BOT_B*OQC_5G</f>
        <v>29.7037037037037</v>
      </c>
      <c r="K26" s="17">
        <f>K24/BOT_B*OQC_5G</f>
        <v>29.7037037037037</v>
      </c>
      <c r="L26" s="17">
        <f>L24/BOT_B*OQC_5G</f>
        <v>29.7037037037037</v>
      </c>
      <c r="M26" s="17">
        <f>M24/BOT_B*OQC_5G</f>
        <v>29.7037037037037</v>
      </c>
      <c r="N26" s="17">
        <f>N24/BOT_B*OQC_5G</f>
        <v>29.7037037037037</v>
      </c>
      <c r="O26" s="13">
        <f>SUM(C26:N26)</f>
        <v>330.222222222222</v>
      </c>
    </row>
    <row r="27">
      <c r="B27" s="10" t="inlineStr">
        <is>
          <t>글로브 박스 가용 h (1교대)</t>
        </is>
      </c>
      <c r="C27" s="33">
        <f>WH_DAY*WD_MON</f>
        <v>176</v>
      </c>
      <c r="D27" s="33">
        <f>WH_DAY*WD_MON</f>
        <v>176</v>
      </c>
      <c r="E27" s="33">
        <f>WH_DAY*WD_MON</f>
        <v>176</v>
      </c>
      <c r="F27" s="33">
        <f>WH_DAY*WD_MON</f>
        <v>176</v>
      </c>
      <c r="G27" s="33">
        <f>WH_DAY*WD_MON</f>
        <v>176</v>
      </c>
      <c r="H27" s="33">
        <f>WH_DAY*WD_MON</f>
        <v>176</v>
      </c>
      <c r="I27" s="33">
        <f>WH_DAY*WD_MON</f>
        <v>176</v>
      </c>
      <c r="J27" s="33">
        <f>WH_DAY*WD_MON</f>
        <v>176</v>
      </c>
      <c r="K27" s="33">
        <f>WH_DAY*WD_MON</f>
        <v>176</v>
      </c>
      <c r="L27" s="33">
        <f>WH_DAY*WD_MON</f>
        <v>176</v>
      </c>
      <c r="M27" s="33">
        <f>WH_DAY*WD_MON</f>
        <v>176</v>
      </c>
      <c r="N27" s="33">
        <f>WH_DAY*WD_MON</f>
        <v>176</v>
      </c>
      <c r="O27" s="34">
        <f>C27</f>
        <v>176</v>
      </c>
    </row>
    <row r="28">
      <c r="B28" s="10" t="inlineStr">
        <is>
          <t>글로브 박스 부하율</t>
        </is>
      </c>
      <c r="C28" s="44">
        <f>C25/C27</f>
        <v>1.07575757575758</v>
      </c>
      <c r="D28" s="44">
        <f>D25/D27</f>
        <v>1.07575757575758</v>
      </c>
      <c r="E28" s="44">
        <f>E25/E27</f>
        <v>1.40530303030303</v>
      </c>
      <c r="F28" s="44">
        <f>F25/F27</f>
        <v>1.40530303030303</v>
      </c>
      <c r="G28" s="44">
        <f>G25/G27</f>
        <v>1.40530303030303</v>
      </c>
      <c r="H28" s="44">
        <f>H25/H27</f>
        <v>1.40530303030303</v>
      </c>
      <c r="I28" s="44">
        <f>I25/I27</f>
        <v>1.51893939393939</v>
      </c>
      <c r="J28" s="44">
        <f>J25/J27</f>
        <v>1.51893939393939</v>
      </c>
      <c r="K28" s="44">
        <f>K25/K27</f>
        <v>1.51893939393939</v>
      </c>
      <c r="L28" s="44">
        <f>L25/L27</f>
        <v>1.51893939393939</v>
      </c>
      <c r="M28" s="44">
        <f>M25/M27</f>
        <v>1.51893939393939</v>
      </c>
      <c r="N28" s="44">
        <f>N25/N27</f>
        <v>1.51893939393939</v>
      </c>
      <c r="O28" s="45">
        <f>MAX(C28:N28)</f>
        <v>1.51893939393939</v>
      </c>
    </row>
    <row r="29">
      <c r="B29" s="10" t="inlineStr">
        <is>
          <t>이지켐 용기</t>
        </is>
      </c>
      <c r="C29" s="32">
        <f>N('01_입력'!$C$96)/KG_EZ</f>
        <v>4</v>
      </c>
      <c r="D29" s="32">
        <f>N('01_입력'!$D$96)/KG_EZ</f>
        <v>4</v>
      </c>
      <c r="E29" s="32">
        <f>N('01_입력'!$E$96)/KG_EZ</f>
        <v>4</v>
      </c>
      <c r="F29" s="32">
        <f>N('01_입력'!$F$96)/KG_EZ</f>
        <v>4</v>
      </c>
      <c r="G29" s="32">
        <f>N('01_입력'!$G$96)/KG_EZ</f>
        <v>4</v>
      </c>
      <c r="H29" s="32">
        <f>N('01_입력'!$H$96)/KG_EZ</f>
        <v>4</v>
      </c>
      <c r="I29" s="32">
        <f>N('01_입력'!$I$96)/KG_EZ</f>
        <v>6</v>
      </c>
      <c r="J29" s="32">
        <f>N('01_입력'!$J$96)/KG_EZ</f>
        <v>6</v>
      </c>
      <c r="K29" s="32">
        <f>N('01_입력'!$K$96)/KG_EZ</f>
        <v>6</v>
      </c>
      <c r="L29" s="32">
        <f>N('01_입력'!$L$96)/KG_EZ</f>
        <v>6</v>
      </c>
      <c r="M29" s="32">
        <f>N('01_입력'!$M$96)/KG_EZ</f>
        <v>6</v>
      </c>
      <c r="N29" s="32">
        <f>N('01_입력'!$N$96)/KG_EZ</f>
        <v>6</v>
      </c>
      <c r="O29" s="35">
        <f>SUM(C29:N29)</f>
        <v>60</v>
      </c>
    </row>
    <row r="30">
      <c r="B30" s="10" t="inlineStr">
        <is>
          <t>이지켐 충진 방식</t>
        </is>
      </c>
      <c r="C30" s="5" t="str">
        <f>IF(C29=0,"-",IF(C$22&gt;=ARS_EZ_S,"ARS","수동"))</f>
        <v>수동</v>
      </c>
      <c r="D30" s="5" t="str">
        <f>IF(D29=0,"-",IF(D$22&gt;=ARS_EZ_S,"ARS","수동"))</f>
        <v>수동</v>
      </c>
      <c r="E30" s="5" t="str">
        <f>IF(E29=0,"-",IF(E$22&gt;=ARS_EZ_S,"ARS","수동"))</f>
        <v>수동</v>
      </c>
      <c r="F30" s="5" t="str">
        <f>IF(F29=0,"-",IF(F$22&gt;=ARS_EZ_S,"ARS","수동"))</f>
        <v>수동</v>
      </c>
      <c r="G30" s="5" t="str">
        <f>IF(G29=0,"-",IF(G$22&gt;=ARS_EZ_S,"ARS","수동"))</f>
        <v>수동</v>
      </c>
      <c r="H30" s="5" t="str">
        <f>IF(H29=0,"-",IF(H$22&gt;=ARS_EZ_S,"ARS","수동"))</f>
        <v>수동</v>
      </c>
      <c r="I30" s="5" t="str">
        <f>IF(I29=0,"-",IF(I$22&gt;=ARS_EZ_S,"ARS","수동"))</f>
        <v>ARS</v>
      </c>
      <c r="J30" s="5" t="str">
        <f>IF(J29=0,"-",IF(J$22&gt;=ARS_EZ_S,"ARS","수동"))</f>
        <v>ARS</v>
      </c>
      <c r="K30" s="5" t="str">
        <f>IF(K29=0,"-",IF(K$22&gt;=ARS_EZ_S,"ARS","수동"))</f>
        <v>ARS</v>
      </c>
      <c r="L30" s="5" t="str">
        <f>IF(L29=0,"-",IF(L$22&gt;=ARS_EZ_S,"ARS","수동"))</f>
        <v>ARS</v>
      </c>
      <c r="M30" s="5" t="str">
        <f>IF(M29=0,"-",IF(M$22&gt;=ARS_EZ_S,"ARS","수동"))</f>
        <v>ARS</v>
      </c>
      <c r="N30" s="5" t="str">
        <f>IF(N29=0,"-",IF(N$22&gt;=ARS_EZ_S,"ARS","수동"))</f>
        <v>ARS</v>
      </c>
      <c r="O30" s="6" t="inlineStr">
        <is>
          <t>-</t>
        </is>
      </c>
    </row>
    <row r="31">
      <c r="B31" s="10" t="inlineStr">
        <is>
          <t>이지켐 충진 h</t>
        </is>
      </c>
      <c r="C31" s="17">
        <f>C29*IF(AND(C30="ARS",ISNUMBER(ARS_EZ_T)),ARS_EZ_T,FILL_EZ)</f>
        <v>32</v>
      </c>
      <c r="D31" s="17">
        <f>D29*IF(AND(D30="ARS",ISNUMBER(ARS_EZ_T)),ARS_EZ_T,FILL_EZ)</f>
        <v>32</v>
      </c>
      <c r="E31" s="17">
        <f>E29*IF(AND(E30="ARS",ISNUMBER(ARS_EZ_T)),ARS_EZ_T,FILL_EZ)</f>
        <v>32</v>
      </c>
      <c r="F31" s="17">
        <f>F29*IF(AND(F30="ARS",ISNUMBER(ARS_EZ_T)),ARS_EZ_T,FILL_EZ)</f>
        <v>32</v>
      </c>
      <c r="G31" s="17">
        <f>G29*IF(AND(G30="ARS",ISNUMBER(ARS_EZ_T)),ARS_EZ_T,FILL_EZ)</f>
        <v>32</v>
      </c>
      <c r="H31" s="17">
        <f>H29*IF(AND(H30="ARS",ISNUMBER(ARS_EZ_T)),ARS_EZ_T,FILL_EZ)</f>
        <v>32</v>
      </c>
      <c r="I31" s="17">
        <f>I29*IF(AND(I30="ARS",ISNUMBER(ARS_EZ_T)),ARS_EZ_T,FILL_EZ)</f>
        <v>48</v>
      </c>
      <c r="J31" s="17">
        <f>J29*IF(AND(J30="ARS",ISNUMBER(ARS_EZ_T)),ARS_EZ_T,FILL_EZ)</f>
        <v>48</v>
      </c>
      <c r="K31" s="17">
        <f>K29*IF(AND(K30="ARS",ISNUMBER(ARS_EZ_T)),ARS_EZ_T,FILL_EZ)</f>
        <v>48</v>
      </c>
      <c r="L31" s="17">
        <f>L29*IF(AND(L30="ARS",ISNUMBER(ARS_EZ_T)),ARS_EZ_T,FILL_EZ)</f>
        <v>48</v>
      </c>
      <c r="M31" s="17">
        <f>M29*IF(AND(M30="ARS",ISNUMBER(ARS_EZ_T)),ARS_EZ_T,FILL_EZ)</f>
        <v>48</v>
      </c>
      <c r="N31" s="17">
        <f>N29*IF(AND(N30="ARS",ISNUMBER(ARS_EZ_T)),ARS_EZ_T,FILL_EZ)</f>
        <v>48</v>
      </c>
      <c r="O31" s="13">
        <f>SUM(C31:N31)</f>
        <v>480</v>
      </c>
    </row>
    <row r="32">
      <c r="B32" s="10" t="inlineStr">
        <is>
          <t>한솔 용기</t>
        </is>
      </c>
      <c r="C32" s="32">
        <f>N('01_입력'!$C$97)/KG_HS</f>
        <v>2</v>
      </c>
      <c r="D32" s="32">
        <f>N('01_입력'!$D$97)/KG_HS</f>
        <v>2</v>
      </c>
      <c r="E32" s="32">
        <f>N('01_입력'!$E$97)/KG_HS</f>
        <v>2</v>
      </c>
      <c r="F32" s="32">
        <f>N('01_입력'!$F$97)/KG_HS</f>
        <v>2</v>
      </c>
      <c r="G32" s="32">
        <f>N('01_입력'!$G$97)/KG_HS</f>
        <v>2</v>
      </c>
      <c r="H32" s="32">
        <f>N('01_입력'!$H$97)/KG_HS</f>
        <v>2</v>
      </c>
      <c r="I32" s="32">
        <f>N('01_입력'!$I$97)/KG_HS</f>
        <v>2</v>
      </c>
      <c r="J32" s="32">
        <f>N('01_입력'!$J$97)/KG_HS</f>
        <v>2</v>
      </c>
      <c r="K32" s="32">
        <f>N('01_입력'!$K$97)/KG_HS</f>
        <v>2</v>
      </c>
      <c r="L32" s="32">
        <f>N('01_입력'!$L$97)/KG_HS</f>
        <v>2</v>
      </c>
      <c r="M32" s="32">
        <f>N('01_입력'!$M$97)/KG_HS</f>
        <v>2</v>
      </c>
      <c r="N32" s="32">
        <f>N('01_입력'!$N$97)/KG_HS</f>
        <v>2</v>
      </c>
      <c r="O32" s="35">
        <f>SUM(C32:N32)</f>
        <v>24</v>
      </c>
    </row>
    <row r="33">
      <c r="B33" s="10" t="inlineStr">
        <is>
          <t>한솔 충진 방식</t>
        </is>
      </c>
      <c r="C33" s="5" t="str">
        <f>IF(C32=0,"-",IF(C$22&gt;=ARS_HS_S,"ARS","수동"))</f>
        <v>수동</v>
      </c>
      <c r="D33" s="5" t="str">
        <f>IF(D32=0,"-",IF(D$22&gt;=ARS_HS_S,"ARS","수동"))</f>
        <v>수동</v>
      </c>
      <c r="E33" s="5" t="str">
        <f>IF(E32=0,"-",IF(E$22&gt;=ARS_HS_S,"ARS","수동"))</f>
        <v>수동</v>
      </c>
      <c r="F33" s="5" t="str">
        <f>IF(F32=0,"-",IF(F$22&gt;=ARS_HS_S,"ARS","수동"))</f>
        <v>수동</v>
      </c>
      <c r="G33" s="5" t="str">
        <f>IF(G32=0,"-",IF(G$22&gt;=ARS_HS_S,"ARS","수동"))</f>
        <v>수동</v>
      </c>
      <c r="H33" s="5" t="str">
        <f>IF(H32=0,"-",IF(H$22&gt;=ARS_HS_S,"ARS","수동"))</f>
        <v>수동</v>
      </c>
      <c r="I33" s="5" t="str">
        <f>IF(I32=0,"-",IF(I$22&gt;=ARS_HS_S,"ARS","수동"))</f>
        <v>ARS</v>
      </c>
      <c r="J33" s="5" t="str">
        <f>IF(J32=0,"-",IF(J$22&gt;=ARS_HS_S,"ARS","수동"))</f>
        <v>ARS</v>
      </c>
      <c r="K33" s="5" t="str">
        <f>IF(K32=0,"-",IF(K$22&gt;=ARS_HS_S,"ARS","수동"))</f>
        <v>ARS</v>
      </c>
      <c r="L33" s="5" t="str">
        <f>IF(L32=0,"-",IF(L$22&gt;=ARS_HS_S,"ARS","수동"))</f>
        <v>ARS</v>
      </c>
      <c r="M33" s="5" t="str">
        <f>IF(M32=0,"-",IF(M$22&gt;=ARS_HS_S,"ARS","수동"))</f>
        <v>ARS</v>
      </c>
      <c r="N33" s="5" t="str">
        <f>IF(N32=0,"-",IF(N$22&gt;=ARS_HS_S,"ARS","수동"))</f>
        <v>ARS</v>
      </c>
      <c r="O33" s="6" t="inlineStr">
        <is>
          <t>-</t>
        </is>
      </c>
    </row>
    <row r="34">
      <c r="B34" s="10" t="inlineStr">
        <is>
          <t>한솔 충진 h</t>
        </is>
      </c>
      <c r="C34" s="17">
        <f>C32*IF(AND(C33="ARS",ISNUMBER(ARS_HS_T)),ARS_HS_T,FILL_HS)</f>
        <v>16</v>
      </c>
      <c r="D34" s="17">
        <f>D32*IF(AND(D33="ARS",ISNUMBER(ARS_HS_T)),ARS_HS_T,FILL_HS)</f>
        <v>16</v>
      </c>
      <c r="E34" s="17">
        <f>E32*IF(AND(E33="ARS",ISNUMBER(ARS_HS_T)),ARS_HS_T,FILL_HS)</f>
        <v>16</v>
      </c>
      <c r="F34" s="17">
        <f>F32*IF(AND(F33="ARS",ISNUMBER(ARS_HS_T)),ARS_HS_T,FILL_HS)</f>
        <v>16</v>
      </c>
      <c r="G34" s="17">
        <f>G32*IF(AND(G33="ARS",ISNUMBER(ARS_HS_T)),ARS_HS_T,FILL_HS)</f>
        <v>16</v>
      </c>
      <c r="H34" s="17">
        <f>H32*IF(AND(H33="ARS",ISNUMBER(ARS_HS_T)),ARS_HS_T,FILL_HS)</f>
        <v>16</v>
      </c>
      <c r="I34" s="17">
        <f>I32*IF(AND(I33="ARS",ISNUMBER(ARS_HS_T)),ARS_HS_T,FILL_HS)</f>
        <v>16</v>
      </c>
      <c r="J34" s="17">
        <f>J32*IF(AND(J33="ARS",ISNUMBER(ARS_HS_T)),ARS_HS_T,FILL_HS)</f>
        <v>16</v>
      </c>
      <c r="K34" s="17">
        <f>K32*IF(AND(K33="ARS",ISNUMBER(ARS_HS_T)),ARS_HS_T,FILL_HS)</f>
        <v>16</v>
      </c>
      <c r="L34" s="17">
        <f>L32*IF(AND(L33="ARS",ISNUMBER(ARS_HS_T)),ARS_HS_T,FILL_HS)</f>
        <v>16</v>
      </c>
      <c r="M34" s="17">
        <f>M32*IF(AND(M33="ARS",ISNUMBER(ARS_HS_T)),ARS_HS_T,FILL_HS)</f>
        <v>16</v>
      </c>
      <c r="N34" s="17">
        <f>N32*IF(AND(N33="ARS",ISNUMBER(ARS_HS_T)),ARS_HS_T,FILL_HS)</f>
        <v>16</v>
      </c>
      <c r="O34" s="13">
        <f>SUM(C34:N34)</f>
        <v>192</v>
      </c>
    </row>
    <row r="35">
      <c r="B35" s="10" t="inlineStr">
        <is>
          <t>200 L 충진 h 합계</t>
        </is>
      </c>
      <c r="C35" s="13">
        <f>C31+C34</f>
        <v>48</v>
      </c>
      <c r="D35" s="13">
        <f>D31+D34</f>
        <v>48</v>
      </c>
      <c r="E35" s="13">
        <f>E31+E34</f>
        <v>48</v>
      </c>
      <c r="F35" s="13">
        <f>F31+F34</f>
        <v>48</v>
      </c>
      <c r="G35" s="13">
        <f>G31+G34</f>
        <v>48</v>
      </c>
      <c r="H35" s="13">
        <f>H31+H34</f>
        <v>48</v>
      </c>
      <c r="I35" s="13">
        <f>I31+I34</f>
        <v>64</v>
      </c>
      <c r="J35" s="13">
        <f>J31+J34</f>
        <v>64</v>
      </c>
      <c r="K35" s="13">
        <f>K31+K34</f>
        <v>64</v>
      </c>
      <c r="L35" s="13">
        <f>L31+L34</f>
        <v>64</v>
      </c>
      <c r="M35" s="13">
        <f>M31+M34</f>
        <v>64</v>
      </c>
      <c r="N35" s="13">
        <f>N31+N34</f>
        <v>64</v>
      </c>
      <c r="O35" s="13">
        <f>SUM(C35:N35)</f>
        <v>672</v>
      </c>
    </row>
    <row r="36">
      <c r="B36" s="10" t="inlineStr">
        <is>
          <t>200 L OQC h</t>
        </is>
      </c>
      <c r="C36" s="17">
        <f>(C29+C32)*OQC_200</f>
        <v>12</v>
      </c>
      <c r="D36" s="17">
        <f>(D29+D32)*OQC_200</f>
        <v>12</v>
      </c>
      <c r="E36" s="17">
        <f>(E29+E32)*OQC_200</f>
        <v>12</v>
      </c>
      <c r="F36" s="17">
        <f>(F29+F32)*OQC_200</f>
        <v>12</v>
      </c>
      <c r="G36" s="17">
        <f>(G29+G32)*OQC_200</f>
        <v>12</v>
      </c>
      <c r="H36" s="17">
        <f>(H29+H32)*OQC_200</f>
        <v>12</v>
      </c>
      <c r="I36" s="17">
        <f>(I29+I32)*OQC_200</f>
        <v>16</v>
      </c>
      <c r="J36" s="17">
        <f>(J29+J32)*OQC_200</f>
        <v>16</v>
      </c>
      <c r="K36" s="17">
        <f>(K29+K32)*OQC_200</f>
        <v>16</v>
      </c>
      <c r="L36" s="17">
        <f>(L29+L32)*OQC_200</f>
        <v>16</v>
      </c>
      <c r="M36" s="17">
        <f>(M29+M32)*OQC_200</f>
        <v>16</v>
      </c>
      <c r="N36" s="17">
        <f>(N29+N32)*OQC_200</f>
        <v>16</v>
      </c>
      <c r="O36" s="13">
        <f>SUM(C36:N36)</f>
        <v>168</v>
      </c>
    </row>
    <row r="37">
      <c r="B37" s="10" t="inlineStr">
        <is>
          <t>필요 Batch (출하 ÷ 190)</t>
        </is>
      </c>
      <c r="C37" s="32">
        <f>(N('01_입력'!$C$94)+N('01_입력'!$C$95)+N('01_입력'!$C$96)+N('01_입력'!$C$97))/KG_B</f>
        <v>14.4912280701754</v>
      </c>
      <c r="D37" s="32">
        <f>(N('01_입력'!$D$94)+N('01_입력'!$D$95)+N('01_입력'!$D$96)+N('01_입력'!$D$97))/KG_B</f>
        <v>14.4912280701754</v>
      </c>
      <c r="E37" s="32">
        <f>(N('01_입력'!$E$94)+N('01_입력'!$E$95)+N('01_입력'!$E$96)+N('01_입력'!$E$97))/KG_B</f>
        <v>17.5438596491228</v>
      </c>
      <c r="F37" s="32">
        <f>(N('01_입력'!$F$94)+N('01_입력'!$F$95)+N('01_입력'!$F$96)+N('01_입력'!$F$97))/KG_B</f>
        <v>17.5438596491228</v>
      </c>
      <c r="G37" s="32">
        <f>(N('01_입력'!$G$94)+N('01_입력'!$G$95)+N('01_입력'!$G$96)+N('01_입력'!$G$97))/KG_B</f>
        <v>17.5438596491228</v>
      </c>
      <c r="H37" s="32">
        <f>(N('01_입력'!$H$94)+N('01_입력'!$H$95)+N('01_입력'!$H$96)+N('01_입력'!$H$97))/KG_B</f>
        <v>17.5438596491228</v>
      </c>
      <c r="I37" s="32">
        <f>(N('01_입력'!$I$94)+N('01_입력'!$I$95)+N('01_입력'!$I$96)+N('01_입력'!$I$97))/KG_B</f>
        <v>20.0701754385965</v>
      </c>
      <c r="J37" s="32">
        <f>(N('01_입력'!$J$94)+N('01_입력'!$J$95)+N('01_입력'!$J$96)+N('01_입력'!$J$97))/KG_B</f>
        <v>20.0701754385965</v>
      </c>
      <c r="K37" s="32">
        <f>(N('01_입력'!$K$94)+N('01_입력'!$K$95)+N('01_입력'!$K$96)+N('01_입력'!$K$97))/KG_B</f>
        <v>20.0701754385965</v>
      </c>
      <c r="L37" s="32">
        <f>(N('01_입력'!$L$94)+N('01_입력'!$L$95)+N('01_입력'!$L$96)+N('01_입력'!$L$97))/KG_B</f>
        <v>20.0701754385965</v>
      </c>
      <c r="M37" s="32">
        <f>(N('01_입력'!$M$94)+N('01_입력'!$M$95)+N('01_입력'!$M$96)+N('01_입력'!$M$97))/KG_B</f>
        <v>20.0701754385965</v>
      </c>
      <c r="N37" s="32">
        <f>(N('01_입력'!$N$94)+N('01_입력'!$N$95)+N('01_입력'!$N$96)+N('01_입력'!$N$97))/KG_B</f>
        <v>20.0701754385965</v>
      </c>
      <c r="O37" s="35">
        <f>SUM(C37:N37)</f>
        <v>219.578947368421</v>
      </c>
    </row>
    <row r="38">
      <c r="B38" s="10" t="inlineStr">
        <is>
          <t>PQC~이송·FQC h (필요 Batch 기준)</t>
        </is>
      </c>
      <c r="C38" s="17">
        <f>C37*(T_PQC+T_FQC)</f>
        <v>115.929824561403</v>
      </c>
      <c r="D38" s="17">
        <f>D37*(T_PQC+T_FQC)</f>
        <v>115.929824561403</v>
      </c>
      <c r="E38" s="17">
        <f>E37*(T_PQC+T_FQC)</f>
        <v>140.350877192982</v>
      </c>
      <c r="F38" s="17">
        <f>F37*(T_PQC+T_FQC)</f>
        <v>140.350877192982</v>
      </c>
      <c r="G38" s="17">
        <f>G37*(T_PQC+T_FQC)</f>
        <v>140.350877192982</v>
      </c>
      <c r="H38" s="17">
        <f>H37*(T_PQC+T_FQC)</f>
        <v>140.350877192982</v>
      </c>
      <c r="I38" s="17">
        <f>I37*(T_PQC+T_FQC)</f>
        <v>160.561403508772</v>
      </c>
      <c r="J38" s="17">
        <f>J37*(T_PQC+T_FQC)</f>
        <v>160.561403508772</v>
      </c>
      <c r="K38" s="17">
        <f>K37*(T_PQC+T_FQC)</f>
        <v>160.561403508772</v>
      </c>
      <c r="L38" s="17">
        <f>L37*(T_PQC+T_FQC)</f>
        <v>160.561403508772</v>
      </c>
      <c r="M38" s="17">
        <f>M37*(T_PQC+T_FQC)</f>
        <v>160.561403508772</v>
      </c>
      <c r="N38" s="17">
        <f>N37*(T_PQC+T_FQC)</f>
        <v>160.561403508772</v>
      </c>
      <c r="O38" s="13">
        <f>SUM(C38:N38)</f>
        <v>1756.63157894737</v>
      </c>
    </row>
    <row r="40">
      <c r="B40" s="8" t="inlineStr">
        <is>
          <t>2028</t>
        </is>
      </c>
      <c r="C40" s="25" t="n">
        <v>46753</v>
      </c>
      <c r="D40" s="25" t="n">
        <v>46784</v>
      </c>
      <c r="E40" s="25" t="n">
        <v>46813</v>
      </c>
      <c r="F40" s="25" t="n">
        <v>46844</v>
      </c>
      <c r="G40" s="25" t="n">
        <v>46874</v>
      </c>
      <c r="H40" s="25" t="n">
        <v>46905</v>
      </c>
      <c r="I40" s="25" t="n">
        <v>46935</v>
      </c>
      <c r="J40" s="25" t="n">
        <v>46966</v>
      </c>
      <c r="K40" s="25" t="n">
        <v>46997</v>
      </c>
      <c r="L40" s="25" t="n">
        <v>47027</v>
      </c>
      <c r="M40" s="25" t="n">
        <v>47058</v>
      </c>
      <c r="N40" s="25" t="n">
        <v>47088</v>
      </c>
      <c r="O40" s="9" t="inlineStr">
        <is>
          <t>연간</t>
        </is>
      </c>
    </row>
    <row r="41">
      <c r="B41" s="10" t="inlineStr">
        <is>
          <t>5 Gal 출하 (하이닉스+CXMT) kg</t>
        </is>
      </c>
      <c r="C41" s="21">
        <f>N('01_입력'!$C$101)+N('01_입력'!$C$102)</f>
        <v>2673.33333333333</v>
      </c>
      <c r="D41" s="21">
        <f>N('01_입력'!$D$101)+N('01_입력'!$D$102)</f>
        <v>2673.33333333333</v>
      </c>
      <c r="E41" s="21">
        <f>N('01_입력'!$E$101)+N('01_입력'!$E$102)</f>
        <v>2673.33333333333</v>
      </c>
      <c r="F41" s="21">
        <f>N('01_입력'!$F$101)+N('01_입력'!$F$102)</f>
        <v>2673.33333333333</v>
      </c>
      <c r="G41" s="21">
        <f>N('01_입력'!$G$101)+N('01_입력'!$G$102)</f>
        <v>2673.33333333333</v>
      </c>
      <c r="H41" s="21">
        <f>N('01_입력'!$H$101)+N('01_입력'!$H$102)</f>
        <v>2673.33333333333</v>
      </c>
      <c r="I41" s="21">
        <f>N('01_입력'!$I$101)+N('01_입력'!$I$102)</f>
        <v>2673.33333333333</v>
      </c>
      <c r="J41" s="21">
        <f>N('01_입력'!$J$101)+N('01_입력'!$J$102)</f>
        <v>2673.33333333333</v>
      </c>
      <c r="K41" s="21">
        <f>N('01_입력'!$K$101)+N('01_입력'!$K$102)</f>
        <v>2673.33333333333</v>
      </c>
      <c r="L41" s="21">
        <f>N('01_입력'!$L$101)+N('01_입력'!$L$102)</f>
        <v>2673.33333333333</v>
      </c>
      <c r="M41" s="21">
        <f>N('01_입력'!$M$101)+N('01_입력'!$M$102)</f>
        <v>2673.33333333333</v>
      </c>
      <c r="N41" s="21">
        <f>N('01_입력'!$N$101)+N('01_입력'!$N$102)</f>
        <v>2673.33333333333</v>
      </c>
      <c r="O41" s="26">
        <f>SUM(C41:N41)</f>
        <v>32080</v>
      </c>
    </row>
    <row r="42">
      <c r="B42" s="10" t="inlineStr">
        <is>
          <t>5 Gal 병</t>
        </is>
      </c>
      <c r="C42" s="32">
        <f>C41/KG_BOT</f>
        <v>133.666666666667</v>
      </c>
      <c r="D42" s="32">
        <f>D41/KG_BOT</f>
        <v>133.666666666667</v>
      </c>
      <c r="E42" s="32">
        <f>E41/KG_BOT</f>
        <v>133.666666666667</v>
      </c>
      <c r="F42" s="32">
        <f>F41/KG_BOT</f>
        <v>133.666666666667</v>
      </c>
      <c r="G42" s="32">
        <f>G41/KG_BOT</f>
        <v>133.666666666667</v>
      </c>
      <c r="H42" s="32">
        <f>H41/KG_BOT</f>
        <v>133.666666666667</v>
      </c>
      <c r="I42" s="32">
        <f>I41/KG_BOT</f>
        <v>133.666666666667</v>
      </c>
      <c r="J42" s="32">
        <f>J41/KG_BOT</f>
        <v>133.666666666667</v>
      </c>
      <c r="K42" s="32">
        <f>K41/KG_BOT</f>
        <v>133.666666666667</v>
      </c>
      <c r="L42" s="32">
        <f>L41/KG_BOT</f>
        <v>133.666666666667</v>
      </c>
      <c r="M42" s="32">
        <f>M41/KG_BOT</f>
        <v>133.666666666667</v>
      </c>
      <c r="N42" s="32">
        <f>N41/KG_BOT</f>
        <v>133.666666666667</v>
      </c>
      <c r="O42" s="35">
        <f>SUM(C42:N42)</f>
        <v>1604</v>
      </c>
    </row>
    <row r="43">
      <c r="B43" s="10" t="inlineStr">
        <is>
          <t>5 Gal 충진 h</t>
        </is>
      </c>
      <c r="C43" s="13">
        <f>C42*FILL_5G</f>
        <v>267.333333333333</v>
      </c>
      <c r="D43" s="13">
        <f>D42*FILL_5G</f>
        <v>267.333333333333</v>
      </c>
      <c r="E43" s="13">
        <f>E42*FILL_5G</f>
        <v>267.333333333333</v>
      </c>
      <c r="F43" s="13">
        <f>F42*FILL_5G</f>
        <v>267.333333333333</v>
      </c>
      <c r="G43" s="13">
        <f>G42*FILL_5G</f>
        <v>267.333333333333</v>
      </c>
      <c r="H43" s="13">
        <f>H42*FILL_5G</f>
        <v>267.333333333333</v>
      </c>
      <c r="I43" s="13">
        <f>I42*FILL_5G</f>
        <v>267.333333333333</v>
      </c>
      <c r="J43" s="13">
        <f>J42*FILL_5G</f>
        <v>267.333333333333</v>
      </c>
      <c r="K43" s="13">
        <f>K42*FILL_5G</f>
        <v>267.333333333333</v>
      </c>
      <c r="L43" s="13">
        <f>L42*FILL_5G</f>
        <v>267.333333333333</v>
      </c>
      <c r="M43" s="13">
        <f>M42*FILL_5G</f>
        <v>267.333333333333</v>
      </c>
      <c r="N43" s="13">
        <f>N42*FILL_5G</f>
        <v>267.333333333333</v>
      </c>
      <c r="O43" s="13">
        <f>SUM(C43:N43)</f>
        <v>3208</v>
      </c>
    </row>
    <row r="44">
      <c r="B44" s="10" t="inlineStr">
        <is>
          <t>5 Gal OQC h</t>
        </is>
      </c>
      <c r="C44" s="17">
        <f>C42/BOT_B*OQC_5G</f>
        <v>29.7037037037037</v>
      </c>
      <c r="D44" s="17">
        <f>D42/BOT_B*OQC_5G</f>
        <v>29.7037037037037</v>
      </c>
      <c r="E44" s="17">
        <f>E42/BOT_B*OQC_5G</f>
        <v>29.7037037037037</v>
      </c>
      <c r="F44" s="17">
        <f>F42/BOT_B*OQC_5G</f>
        <v>29.7037037037037</v>
      </c>
      <c r="G44" s="17">
        <f>G42/BOT_B*OQC_5G</f>
        <v>29.7037037037037</v>
      </c>
      <c r="H44" s="17">
        <f>H42/BOT_B*OQC_5G</f>
        <v>29.7037037037037</v>
      </c>
      <c r="I44" s="17">
        <f>I42/BOT_B*OQC_5G</f>
        <v>29.7037037037037</v>
      </c>
      <c r="J44" s="17">
        <f>J42/BOT_B*OQC_5G</f>
        <v>29.7037037037037</v>
      </c>
      <c r="K44" s="17">
        <f>K42/BOT_B*OQC_5G</f>
        <v>29.7037037037037</v>
      </c>
      <c r="L44" s="17">
        <f>L42/BOT_B*OQC_5G</f>
        <v>29.7037037037037</v>
      </c>
      <c r="M44" s="17">
        <f>M42/BOT_B*OQC_5G</f>
        <v>29.7037037037037</v>
      </c>
      <c r="N44" s="17">
        <f>N42/BOT_B*OQC_5G</f>
        <v>29.7037037037037</v>
      </c>
      <c r="O44" s="13">
        <f>SUM(C44:N44)</f>
        <v>356.444444444444</v>
      </c>
    </row>
    <row r="45">
      <c r="B45" s="10" t="inlineStr">
        <is>
          <t>글로브 박스 가용 h (1교대)</t>
        </is>
      </c>
      <c r="C45" s="33">
        <f>WH_DAY*WD_MON</f>
        <v>176</v>
      </c>
      <c r="D45" s="33">
        <f>WH_DAY*WD_MON</f>
        <v>176</v>
      </c>
      <c r="E45" s="33">
        <f>WH_DAY*WD_MON</f>
        <v>176</v>
      </c>
      <c r="F45" s="33">
        <f>WH_DAY*WD_MON</f>
        <v>176</v>
      </c>
      <c r="G45" s="33">
        <f>WH_DAY*WD_MON</f>
        <v>176</v>
      </c>
      <c r="H45" s="33">
        <f>WH_DAY*WD_MON</f>
        <v>176</v>
      </c>
      <c r="I45" s="33">
        <f>WH_DAY*WD_MON</f>
        <v>176</v>
      </c>
      <c r="J45" s="33">
        <f>WH_DAY*WD_MON</f>
        <v>176</v>
      </c>
      <c r="K45" s="33">
        <f>WH_DAY*WD_MON</f>
        <v>176</v>
      </c>
      <c r="L45" s="33">
        <f>WH_DAY*WD_MON</f>
        <v>176</v>
      </c>
      <c r="M45" s="33">
        <f>WH_DAY*WD_MON</f>
        <v>176</v>
      </c>
      <c r="N45" s="33">
        <f>WH_DAY*WD_MON</f>
        <v>176</v>
      </c>
      <c r="O45" s="34">
        <f>C45</f>
        <v>176</v>
      </c>
    </row>
    <row r="46">
      <c r="B46" s="10" t="inlineStr">
        <is>
          <t>글로브 박스 부하율</t>
        </is>
      </c>
      <c r="C46" s="44">
        <f>C43/C45</f>
        <v>1.51893939393939</v>
      </c>
      <c r="D46" s="44">
        <f>D43/D45</f>
        <v>1.51893939393939</v>
      </c>
      <c r="E46" s="44">
        <f>E43/E45</f>
        <v>1.51893939393939</v>
      </c>
      <c r="F46" s="44">
        <f>F43/F45</f>
        <v>1.51893939393939</v>
      </c>
      <c r="G46" s="44">
        <f>G43/G45</f>
        <v>1.51893939393939</v>
      </c>
      <c r="H46" s="44">
        <f>H43/H45</f>
        <v>1.51893939393939</v>
      </c>
      <c r="I46" s="44">
        <f>I43/I45</f>
        <v>1.51893939393939</v>
      </c>
      <c r="J46" s="44">
        <f>J43/J45</f>
        <v>1.51893939393939</v>
      </c>
      <c r="K46" s="44">
        <f>K43/K45</f>
        <v>1.51893939393939</v>
      </c>
      <c r="L46" s="44">
        <f>L43/L45</f>
        <v>1.51893939393939</v>
      </c>
      <c r="M46" s="44">
        <f>M43/M45</f>
        <v>1.51893939393939</v>
      </c>
      <c r="N46" s="44">
        <f>N43/N45</f>
        <v>1.51893939393939</v>
      </c>
      <c r="O46" s="45">
        <f>MAX(C46:N46)</f>
        <v>1.51893939393939</v>
      </c>
    </row>
    <row r="47">
      <c r="B47" s="10" t="inlineStr">
        <is>
          <t>이지켐 용기</t>
        </is>
      </c>
      <c r="C47" s="32">
        <f>N('01_입력'!$C$103)/KG_EZ</f>
        <v>6</v>
      </c>
      <c r="D47" s="32">
        <f>N('01_입력'!$D$103)/KG_EZ</f>
        <v>6</v>
      </c>
      <c r="E47" s="32">
        <f>N('01_입력'!$E$103)/KG_EZ</f>
        <v>6</v>
      </c>
      <c r="F47" s="32">
        <f>N('01_입력'!$F$103)/KG_EZ</f>
        <v>6</v>
      </c>
      <c r="G47" s="32">
        <f>N('01_입력'!$G$103)/KG_EZ</f>
        <v>6</v>
      </c>
      <c r="H47" s="32">
        <f>N('01_입력'!$H$103)/KG_EZ</f>
        <v>6</v>
      </c>
      <c r="I47" s="32">
        <f>N('01_입력'!$I$103)/KG_EZ</f>
        <v>6</v>
      </c>
      <c r="J47" s="32">
        <f>N('01_입력'!$J$103)/KG_EZ</f>
        <v>6</v>
      </c>
      <c r="K47" s="32">
        <f>N('01_입력'!$K$103)/KG_EZ</f>
        <v>6</v>
      </c>
      <c r="L47" s="32">
        <f>N('01_입력'!$L$103)/KG_EZ</f>
        <v>6</v>
      </c>
      <c r="M47" s="32">
        <f>N('01_입력'!$M$103)/KG_EZ</f>
        <v>6</v>
      </c>
      <c r="N47" s="32">
        <f>N('01_입력'!$N$103)/KG_EZ</f>
        <v>6</v>
      </c>
      <c r="O47" s="35">
        <f>SUM(C47:N47)</f>
        <v>72</v>
      </c>
    </row>
    <row r="48">
      <c r="B48" s="10" t="inlineStr">
        <is>
          <t>이지켐 충진 방식</t>
        </is>
      </c>
      <c r="C48" s="5" t="str">
        <f>IF(C47=0,"-",IF(C$40&gt;=ARS_EZ_S,"ARS","수동"))</f>
        <v>ARS</v>
      </c>
      <c r="D48" s="5" t="str">
        <f>IF(D47=0,"-",IF(D$40&gt;=ARS_EZ_S,"ARS","수동"))</f>
        <v>ARS</v>
      </c>
      <c r="E48" s="5" t="str">
        <f>IF(E47=0,"-",IF(E$40&gt;=ARS_EZ_S,"ARS","수동"))</f>
        <v>ARS</v>
      </c>
      <c r="F48" s="5" t="str">
        <f>IF(F47=0,"-",IF(F$40&gt;=ARS_EZ_S,"ARS","수동"))</f>
        <v>ARS</v>
      </c>
      <c r="G48" s="5" t="str">
        <f>IF(G47=0,"-",IF(G$40&gt;=ARS_EZ_S,"ARS","수동"))</f>
        <v>ARS</v>
      </c>
      <c r="H48" s="5" t="str">
        <f>IF(H47=0,"-",IF(H$40&gt;=ARS_EZ_S,"ARS","수동"))</f>
        <v>ARS</v>
      </c>
      <c r="I48" s="5" t="str">
        <f>IF(I47=0,"-",IF(I$40&gt;=ARS_EZ_S,"ARS","수동"))</f>
        <v>ARS</v>
      </c>
      <c r="J48" s="5" t="str">
        <f>IF(J47=0,"-",IF(J$40&gt;=ARS_EZ_S,"ARS","수동"))</f>
        <v>ARS</v>
      </c>
      <c r="K48" s="5" t="str">
        <f>IF(K47=0,"-",IF(K$40&gt;=ARS_EZ_S,"ARS","수동"))</f>
        <v>ARS</v>
      </c>
      <c r="L48" s="5" t="str">
        <f>IF(L47=0,"-",IF(L$40&gt;=ARS_EZ_S,"ARS","수동"))</f>
        <v>ARS</v>
      </c>
      <c r="M48" s="5" t="str">
        <f>IF(M47=0,"-",IF(M$40&gt;=ARS_EZ_S,"ARS","수동"))</f>
        <v>ARS</v>
      </c>
      <c r="N48" s="5" t="str">
        <f>IF(N47=0,"-",IF(N$40&gt;=ARS_EZ_S,"ARS","수동"))</f>
        <v>ARS</v>
      </c>
      <c r="O48" s="6" t="inlineStr">
        <is>
          <t>-</t>
        </is>
      </c>
    </row>
    <row r="49">
      <c r="B49" s="10" t="inlineStr">
        <is>
          <t>이지켐 충진 h</t>
        </is>
      </c>
      <c r="C49" s="17">
        <f>C47*IF(AND(C48="ARS",ISNUMBER(ARS_EZ_T)),ARS_EZ_T,FILL_EZ)</f>
        <v>48</v>
      </c>
      <c r="D49" s="17">
        <f>D47*IF(AND(D48="ARS",ISNUMBER(ARS_EZ_T)),ARS_EZ_T,FILL_EZ)</f>
        <v>48</v>
      </c>
      <c r="E49" s="17">
        <f>E47*IF(AND(E48="ARS",ISNUMBER(ARS_EZ_T)),ARS_EZ_T,FILL_EZ)</f>
        <v>48</v>
      </c>
      <c r="F49" s="17">
        <f>F47*IF(AND(F48="ARS",ISNUMBER(ARS_EZ_T)),ARS_EZ_T,FILL_EZ)</f>
        <v>48</v>
      </c>
      <c r="G49" s="17">
        <f>G47*IF(AND(G48="ARS",ISNUMBER(ARS_EZ_T)),ARS_EZ_T,FILL_EZ)</f>
        <v>48</v>
      </c>
      <c r="H49" s="17">
        <f>H47*IF(AND(H48="ARS",ISNUMBER(ARS_EZ_T)),ARS_EZ_T,FILL_EZ)</f>
        <v>48</v>
      </c>
      <c r="I49" s="17">
        <f>I47*IF(AND(I48="ARS",ISNUMBER(ARS_EZ_T)),ARS_EZ_T,FILL_EZ)</f>
        <v>48</v>
      </c>
      <c r="J49" s="17">
        <f>J47*IF(AND(J48="ARS",ISNUMBER(ARS_EZ_T)),ARS_EZ_T,FILL_EZ)</f>
        <v>48</v>
      </c>
      <c r="K49" s="17">
        <f>K47*IF(AND(K48="ARS",ISNUMBER(ARS_EZ_T)),ARS_EZ_T,FILL_EZ)</f>
        <v>48</v>
      </c>
      <c r="L49" s="17">
        <f>L47*IF(AND(L48="ARS",ISNUMBER(ARS_EZ_T)),ARS_EZ_T,FILL_EZ)</f>
        <v>48</v>
      </c>
      <c r="M49" s="17">
        <f>M47*IF(AND(M48="ARS",ISNUMBER(ARS_EZ_T)),ARS_EZ_T,FILL_EZ)</f>
        <v>48</v>
      </c>
      <c r="N49" s="17">
        <f>N47*IF(AND(N48="ARS",ISNUMBER(ARS_EZ_T)),ARS_EZ_T,FILL_EZ)</f>
        <v>48</v>
      </c>
      <c r="O49" s="13">
        <f>SUM(C49:N49)</f>
        <v>576</v>
      </c>
    </row>
    <row r="50">
      <c r="B50" s="10" t="inlineStr">
        <is>
          <t>한솔 용기</t>
        </is>
      </c>
      <c r="C50" s="32">
        <f>N('01_입력'!$C$104)/KG_HS</f>
        <v>2</v>
      </c>
      <c r="D50" s="32">
        <f>N('01_입력'!$D$104)/KG_HS</f>
        <v>2</v>
      </c>
      <c r="E50" s="32">
        <f>N('01_입력'!$E$104)/KG_HS</f>
        <v>2</v>
      </c>
      <c r="F50" s="32">
        <f>N('01_입력'!$F$104)/KG_HS</f>
        <v>2</v>
      </c>
      <c r="G50" s="32">
        <f>N('01_입력'!$G$104)/KG_HS</f>
        <v>2</v>
      </c>
      <c r="H50" s="32">
        <f>N('01_입력'!$H$104)/KG_HS</f>
        <v>2</v>
      </c>
      <c r="I50" s="32">
        <f>N('01_입력'!$I$104)/KG_HS</f>
        <v>2</v>
      </c>
      <c r="J50" s="32">
        <f>N('01_입력'!$J$104)/KG_HS</f>
        <v>2</v>
      </c>
      <c r="K50" s="32">
        <f>N('01_입력'!$K$104)/KG_HS</f>
        <v>2</v>
      </c>
      <c r="L50" s="32">
        <f>N('01_입력'!$L$104)/KG_HS</f>
        <v>2</v>
      </c>
      <c r="M50" s="32">
        <f>N('01_입력'!$M$104)/KG_HS</f>
        <v>2</v>
      </c>
      <c r="N50" s="32">
        <f>N('01_입력'!$N$104)/KG_HS</f>
        <v>2</v>
      </c>
      <c r="O50" s="35">
        <f>SUM(C50:N50)</f>
        <v>24</v>
      </c>
    </row>
    <row r="51">
      <c r="B51" s="10" t="inlineStr">
        <is>
          <t>한솔 충진 방식</t>
        </is>
      </c>
      <c r="C51" s="5" t="str">
        <f>IF(C50=0,"-",IF(C$40&gt;=ARS_HS_S,"ARS","수동"))</f>
        <v>ARS</v>
      </c>
      <c r="D51" s="5" t="str">
        <f>IF(D50=0,"-",IF(D$40&gt;=ARS_HS_S,"ARS","수동"))</f>
        <v>ARS</v>
      </c>
      <c r="E51" s="5" t="str">
        <f>IF(E50=0,"-",IF(E$40&gt;=ARS_HS_S,"ARS","수동"))</f>
        <v>ARS</v>
      </c>
      <c r="F51" s="5" t="str">
        <f>IF(F50=0,"-",IF(F$40&gt;=ARS_HS_S,"ARS","수동"))</f>
        <v>ARS</v>
      </c>
      <c r="G51" s="5" t="str">
        <f>IF(G50=0,"-",IF(G$40&gt;=ARS_HS_S,"ARS","수동"))</f>
        <v>ARS</v>
      </c>
      <c r="H51" s="5" t="str">
        <f>IF(H50=0,"-",IF(H$40&gt;=ARS_HS_S,"ARS","수동"))</f>
        <v>ARS</v>
      </c>
      <c r="I51" s="5" t="str">
        <f>IF(I50=0,"-",IF(I$40&gt;=ARS_HS_S,"ARS","수동"))</f>
        <v>ARS</v>
      </c>
      <c r="J51" s="5" t="str">
        <f>IF(J50=0,"-",IF(J$40&gt;=ARS_HS_S,"ARS","수동"))</f>
        <v>ARS</v>
      </c>
      <c r="K51" s="5" t="str">
        <f>IF(K50=0,"-",IF(K$40&gt;=ARS_HS_S,"ARS","수동"))</f>
        <v>ARS</v>
      </c>
      <c r="L51" s="5" t="str">
        <f>IF(L50=0,"-",IF(L$40&gt;=ARS_HS_S,"ARS","수동"))</f>
        <v>ARS</v>
      </c>
      <c r="M51" s="5" t="str">
        <f>IF(M50=0,"-",IF(M$40&gt;=ARS_HS_S,"ARS","수동"))</f>
        <v>ARS</v>
      </c>
      <c r="N51" s="5" t="str">
        <f>IF(N50=0,"-",IF(N$40&gt;=ARS_HS_S,"ARS","수동"))</f>
        <v>ARS</v>
      </c>
      <c r="O51" s="6" t="inlineStr">
        <is>
          <t>-</t>
        </is>
      </c>
    </row>
    <row r="52">
      <c r="B52" s="10" t="inlineStr">
        <is>
          <t>한솔 충진 h</t>
        </is>
      </c>
      <c r="C52" s="17">
        <f>C50*IF(AND(C51="ARS",ISNUMBER(ARS_HS_T)),ARS_HS_T,FILL_HS)</f>
        <v>16</v>
      </c>
      <c r="D52" s="17">
        <f>D50*IF(AND(D51="ARS",ISNUMBER(ARS_HS_T)),ARS_HS_T,FILL_HS)</f>
        <v>16</v>
      </c>
      <c r="E52" s="17">
        <f>E50*IF(AND(E51="ARS",ISNUMBER(ARS_HS_T)),ARS_HS_T,FILL_HS)</f>
        <v>16</v>
      </c>
      <c r="F52" s="17">
        <f>F50*IF(AND(F51="ARS",ISNUMBER(ARS_HS_T)),ARS_HS_T,FILL_HS)</f>
        <v>16</v>
      </c>
      <c r="G52" s="17">
        <f>G50*IF(AND(G51="ARS",ISNUMBER(ARS_HS_T)),ARS_HS_T,FILL_HS)</f>
        <v>16</v>
      </c>
      <c r="H52" s="17">
        <f>H50*IF(AND(H51="ARS",ISNUMBER(ARS_HS_T)),ARS_HS_T,FILL_HS)</f>
        <v>16</v>
      </c>
      <c r="I52" s="17">
        <f>I50*IF(AND(I51="ARS",ISNUMBER(ARS_HS_T)),ARS_HS_T,FILL_HS)</f>
        <v>16</v>
      </c>
      <c r="J52" s="17">
        <f>J50*IF(AND(J51="ARS",ISNUMBER(ARS_HS_T)),ARS_HS_T,FILL_HS)</f>
        <v>16</v>
      </c>
      <c r="K52" s="17">
        <f>K50*IF(AND(K51="ARS",ISNUMBER(ARS_HS_T)),ARS_HS_T,FILL_HS)</f>
        <v>16</v>
      </c>
      <c r="L52" s="17">
        <f>L50*IF(AND(L51="ARS",ISNUMBER(ARS_HS_T)),ARS_HS_T,FILL_HS)</f>
        <v>16</v>
      </c>
      <c r="M52" s="17">
        <f>M50*IF(AND(M51="ARS",ISNUMBER(ARS_HS_T)),ARS_HS_T,FILL_HS)</f>
        <v>16</v>
      </c>
      <c r="N52" s="17">
        <f>N50*IF(AND(N51="ARS",ISNUMBER(ARS_HS_T)),ARS_HS_T,FILL_HS)</f>
        <v>16</v>
      </c>
      <c r="O52" s="13">
        <f>SUM(C52:N52)</f>
        <v>192</v>
      </c>
    </row>
    <row r="53">
      <c r="B53" s="10" t="inlineStr">
        <is>
          <t>200 L 충진 h 합계</t>
        </is>
      </c>
      <c r="C53" s="13">
        <f>C49+C52</f>
        <v>64</v>
      </c>
      <c r="D53" s="13">
        <f>D49+D52</f>
        <v>64</v>
      </c>
      <c r="E53" s="13">
        <f>E49+E52</f>
        <v>64</v>
      </c>
      <c r="F53" s="13">
        <f>F49+F52</f>
        <v>64</v>
      </c>
      <c r="G53" s="13">
        <f>G49+G52</f>
        <v>64</v>
      </c>
      <c r="H53" s="13">
        <f>H49+H52</f>
        <v>64</v>
      </c>
      <c r="I53" s="13">
        <f>I49+I52</f>
        <v>64</v>
      </c>
      <c r="J53" s="13">
        <f>J49+J52</f>
        <v>64</v>
      </c>
      <c r="K53" s="13">
        <f>K49+K52</f>
        <v>64</v>
      </c>
      <c r="L53" s="13">
        <f>L49+L52</f>
        <v>64</v>
      </c>
      <c r="M53" s="13">
        <f>M49+M52</f>
        <v>64</v>
      </c>
      <c r="N53" s="13">
        <f>N49+N52</f>
        <v>64</v>
      </c>
      <c r="O53" s="13">
        <f>SUM(C53:N53)</f>
        <v>768</v>
      </c>
    </row>
    <row r="54">
      <c r="B54" s="10" t="inlineStr">
        <is>
          <t>200 L OQC h</t>
        </is>
      </c>
      <c r="C54" s="17">
        <f>(C47+C50)*OQC_200</f>
        <v>16</v>
      </c>
      <c r="D54" s="17">
        <f>(D47+D50)*OQC_200</f>
        <v>16</v>
      </c>
      <c r="E54" s="17">
        <f>(E47+E50)*OQC_200</f>
        <v>16</v>
      </c>
      <c r="F54" s="17">
        <f>(F47+F50)*OQC_200</f>
        <v>16</v>
      </c>
      <c r="G54" s="17">
        <f>(G47+G50)*OQC_200</f>
        <v>16</v>
      </c>
      <c r="H54" s="17">
        <f>(H47+H50)*OQC_200</f>
        <v>16</v>
      </c>
      <c r="I54" s="17">
        <f>(I47+I50)*OQC_200</f>
        <v>16</v>
      </c>
      <c r="J54" s="17">
        <f>(J47+J50)*OQC_200</f>
        <v>16</v>
      </c>
      <c r="K54" s="17">
        <f>(K47+K50)*OQC_200</f>
        <v>16</v>
      </c>
      <c r="L54" s="17">
        <f>(L47+L50)*OQC_200</f>
        <v>16</v>
      </c>
      <c r="M54" s="17">
        <f>(M47+M50)*OQC_200</f>
        <v>16</v>
      </c>
      <c r="N54" s="17">
        <f>(N47+N50)*OQC_200</f>
        <v>16</v>
      </c>
      <c r="O54" s="13">
        <f>SUM(C54:N54)</f>
        <v>192</v>
      </c>
    </row>
    <row r="55">
      <c r="B55" s="10" t="inlineStr">
        <is>
          <t>필요 Batch (출하 ÷ 190)</t>
        </is>
      </c>
      <c r="C55" s="32">
        <f>(N('01_입력'!$C$101)+N('01_입력'!$C$102)+N('01_입력'!$C$103)+N('01_입력'!$C$104))/KG_B</f>
        <v>20.0701754385965</v>
      </c>
      <c r="D55" s="32">
        <f>(N('01_입력'!$D$101)+N('01_입력'!$D$102)+N('01_입력'!$D$103)+N('01_입력'!$D$104))/KG_B</f>
        <v>20.0701754385965</v>
      </c>
      <c r="E55" s="32">
        <f>(N('01_입력'!$E$101)+N('01_입력'!$E$102)+N('01_입력'!$E$103)+N('01_입력'!$E$104))/KG_B</f>
        <v>20.0701754385965</v>
      </c>
      <c r="F55" s="32">
        <f>(N('01_입력'!$F$101)+N('01_입력'!$F$102)+N('01_입력'!$F$103)+N('01_입력'!$F$104))/KG_B</f>
        <v>20.0701754385965</v>
      </c>
      <c r="G55" s="32">
        <f>(N('01_입력'!$G$101)+N('01_입력'!$G$102)+N('01_입력'!$G$103)+N('01_입력'!$G$104))/KG_B</f>
        <v>20.0701754385965</v>
      </c>
      <c r="H55" s="32">
        <f>(N('01_입력'!$H$101)+N('01_입력'!$H$102)+N('01_입력'!$H$103)+N('01_입력'!$H$104))/KG_B</f>
        <v>20.0701754385965</v>
      </c>
      <c r="I55" s="32">
        <f>(N('01_입력'!$I$101)+N('01_입력'!$I$102)+N('01_입력'!$I$103)+N('01_입력'!$I$104))/KG_B</f>
        <v>20.0701754385965</v>
      </c>
      <c r="J55" s="32">
        <f>(N('01_입력'!$J$101)+N('01_입력'!$J$102)+N('01_입력'!$J$103)+N('01_입력'!$J$104))/KG_B</f>
        <v>20.0701754385965</v>
      </c>
      <c r="K55" s="32">
        <f>(N('01_입력'!$K$101)+N('01_입력'!$K$102)+N('01_입력'!$K$103)+N('01_입력'!$K$104))/KG_B</f>
        <v>20.0701754385965</v>
      </c>
      <c r="L55" s="32">
        <f>(N('01_입력'!$L$101)+N('01_입력'!$L$102)+N('01_입력'!$L$103)+N('01_입력'!$L$104))/KG_B</f>
        <v>20.0701754385965</v>
      </c>
      <c r="M55" s="32">
        <f>(N('01_입력'!$M$101)+N('01_입력'!$M$102)+N('01_입력'!$M$103)+N('01_입력'!$M$104))/KG_B</f>
        <v>20.0701754385965</v>
      </c>
      <c r="N55" s="32">
        <f>(N('01_입력'!$N$101)+N('01_입력'!$N$102)+N('01_입력'!$N$103)+N('01_입력'!$N$104))/KG_B</f>
        <v>20.0701754385965</v>
      </c>
      <c r="O55" s="35">
        <f>SUM(C55:N55)</f>
        <v>240.842105263158</v>
      </c>
    </row>
    <row r="56">
      <c r="B56" s="10" t="inlineStr">
        <is>
          <t>PQC~이송·FQC h (필요 Batch 기준)</t>
        </is>
      </c>
      <c r="C56" s="17">
        <f>C55*(T_PQC+T_FQC)</f>
        <v>160.561403508772</v>
      </c>
      <c r="D56" s="17">
        <f>D55*(T_PQC+T_FQC)</f>
        <v>160.561403508772</v>
      </c>
      <c r="E56" s="17">
        <f>E55*(T_PQC+T_FQC)</f>
        <v>160.561403508772</v>
      </c>
      <c r="F56" s="17">
        <f>F55*(T_PQC+T_FQC)</f>
        <v>160.561403508772</v>
      </c>
      <c r="G56" s="17">
        <f>G55*(T_PQC+T_FQC)</f>
        <v>160.561403508772</v>
      </c>
      <c r="H56" s="17">
        <f>H55*(T_PQC+T_FQC)</f>
        <v>160.561403508772</v>
      </c>
      <c r="I56" s="17">
        <f>I55*(T_PQC+T_FQC)</f>
        <v>160.561403508772</v>
      </c>
      <c r="J56" s="17">
        <f>J55*(T_PQC+T_FQC)</f>
        <v>160.561403508772</v>
      </c>
      <c r="K56" s="17">
        <f>K55*(T_PQC+T_FQC)</f>
        <v>160.561403508772</v>
      </c>
      <c r="L56" s="17">
        <f>L55*(T_PQC+T_FQC)</f>
        <v>160.561403508772</v>
      </c>
      <c r="M56" s="17">
        <f>M55*(T_PQC+T_FQC)</f>
        <v>160.561403508772</v>
      </c>
      <c r="N56" s="17">
        <f>N55*(T_PQC+T_FQC)</f>
        <v>160.561403508772</v>
      </c>
      <c r="O56" s="13">
        <f>SUM(C56:N56)</f>
        <v>1926.73684210526</v>
      </c>
    </row>
    <row r="58">
      <c r="B58" s="18" t="inlineStr">
        <is>
          <t>연간 열의 부하율은 월 최대</t>
        </is>
      </c>
    </row>
  </sheetData>
  <conditionalFormatting sqref="C10:N10">
    <cfRule type="cellIs" priority="1" operator="greaterThan" dxfId="2">
      <formula>1</formula>
    </cfRule>
  </conditionalFormatting>
  <conditionalFormatting sqref="C28:N28">
    <cfRule type="cellIs" priority="2" operator="greaterThan" dxfId="2">
      <formula>1</formula>
    </cfRule>
  </conditionalFormatting>
  <conditionalFormatting sqref="C46:N46">
    <cfRule type="cellIs" priority="3" operator="greaterThan" dxfId="2">
      <formula>1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7F7F7F"/>
    <outlinePr summaryBelow="1" summaryRight="1"/>
    <pageSetUpPr/>
  </sheetPr>
  <dimension ref="B1:J28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52" customWidth="1" min="3" max="3"/>
    <col width="40" customWidth="1" min="4" max="4"/>
    <col width="34" customWidth="1" min="5" max="5"/>
    <col width="12" customWidth="1" min="6" max="6"/>
    <col width="12" customWidth="1" min="7" max="7"/>
    <col width="12" customWidth="1" min="8" max="8"/>
    <col width="12" customWidth="1" min="9" max="9"/>
    <col width="16" customWidth="1" min="10" max="10"/>
  </cols>
  <sheetData>
    <row r="1">
      <c r="B1" s="1" t="inlineStr">
        <is>
          <t>09_확인사항 | 생산팀 확인 내용 · 조건별 생산량 입력</t>
        </is>
      </c>
    </row>
    <row r="2">
      <c r="B2" s="2" t="inlineStr">
        <is>
          <t>생산·품질·설비·충진 관련 내용만 정리.</t>
        </is>
      </c>
    </row>
    <row r="4" ht="20" customHeight="1">
      <c r="B4" s="7" t="inlineStr">
        <is>
          <t>① 생산팀 확인 내용</t>
        </is>
      </c>
    </row>
    <row r="5">
      <c r="B5" s="8" t="inlineStr">
        <is>
          <t>구분</t>
        </is>
      </c>
      <c r="C5" s="8" t="inlineStr">
        <is>
          <t>생산팀 설명</t>
        </is>
      </c>
      <c r="D5" s="8" t="inlineStr">
        <is>
          <t>자료 반영</t>
        </is>
      </c>
      <c r="E5" s="8" t="inlineStr">
        <is>
          <t>확인 필요</t>
        </is>
      </c>
    </row>
    <row r="6" ht="32" customHeight="1">
      <c r="B6" s="46" t="inlineStr">
        <is>
          <t>공정시간</t>
        </is>
      </c>
      <c r="C6" s="47" t="inlineStr">
        <is>
          <t>57 h에서 IQC·준비·PQC~이송·FQC를 빼면 순수 정제 45 h · 대화 중 57 − 2 − 6 = 49 h 계산도 있음</t>
        </is>
      </c>
      <c r="D6" s="47" t="inlineStr">
        <is>
          <t>IQC~FQC 57 h, 순수 정제 45 h (차감 계산)</t>
        </is>
      </c>
      <c r="E6" s="47" t="inlineStr">
        <is>
          <t>원자료 시간 측정의 시작점·종료점</t>
        </is>
      </c>
    </row>
    <row r="7" ht="32" customHeight="1">
      <c r="B7" s="46" t="inlineStr">
        <is>
          <t>과거 시간</t>
        </is>
      </c>
      <c r="C7" s="47" t="inlineStr">
        <is>
          <t>과거 약 72 h, 최근 약 53 h 언급</t>
        </is>
      </c>
      <c r="D7" s="47" t="inlineStr">
        <is>
          <t>원자료 설명으로 보존 (57 h 기준 유지)</t>
        </is>
      </c>
      <c r="E7" s="47" t="inlineStr">
        <is>
          <t>두 값의 측정 범위가 같은지</t>
        </is>
      </c>
    </row>
    <row r="8" ht="32" customHeight="1">
      <c r="B8" s="46" t="inlineStr">
        <is>
          <t>정제기 2대</t>
        </is>
      </c>
      <c r="C8" s="47" t="inlineStr">
        <is>
          <t>정제기 1 투입 후 초류 진행에 맞춰 정제기 2 투입 (다음 날 / 초류 중간 / 초류 종료 무렵 언급)</t>
        </is>
      </c>
      <c r="D8" s="47" t="inlineStr">
        <is>
          <t>투입 시점을 엇갈려 병행 운전 · 운전 예시 시차 30 h는 가정</t>
        </is>
      </c>
      <c r="E8" s="47" t="inlineStr">
        <is>
          <t>정제기 2 투입 시점 · 설비 번호(2070·2060) 도면 대조 · 개조/신규 여부</t>
        </is>
      </c>
    </row>
    <row r="9" ht="32" customHeight="1">
      <c r="B9" s="46" t="inlineStr">
        <is>
          <t>생산물 도착 간격</t>
        </is>
      </c>
      <c r="C9" s="47" t="inlineStr">
        <is>
          <t>57 ÷ 2 = 28.5 h는 이상적인 경우의 도착 간격 설명</t>
        </is>
      </c>
      <c r="D9" s="47" t="inlineStr">
        <is>
          <t>정제기별 Batch 시간으로 사용하지 않음</t>
        </is>
      </c>
      <c r="E9" s="47" t="inlineStr">
        <is>
          <t>-</t>
        </is>
      </c>
    </row>
    <row r="10" ht="32" customHeight="1">
      <c r="B10" s="46" t="inlineStr">
        <is>
          <t>Capa. 2배 아님</t>
        </is>
      </c>
      <c r="C10" s="47" t="inlineStr">
        <is>
          <t>추가 투입용 Mix·Premix 준비 등에 설비 시간이 필요</t>
        </is>
      </c>
      <c r="D10" s="47" t="inlineStr">
        <is>
          <t>47.2톤 (현재 26.2톤의 2배 52.4톤 아님)</t>
        </is>
      </c>
      <c r="E10" s="47" t="inlineStr">
        <is>
          <t>Mix·Premix 준비시간 · 사용 설비</t>
        </is>
      </c>
    </row>
    <row r="11" ht="32" customHeight="1">
      <c r="B11" s="46" t="inlineStr">
        <is>
          <t>리플럭스 목적</t>
        </is>
      </c>
      <c r="C11" s="47" t="inlineStr">
        <is>
          <t>하이닉스 요구 품질 대응을 위한 정제 기능 개선 · 환류 운전은 회수 속도와 Batch 시간에 영향</t>
        </is>
      </c>
      <c r="D11" s="47" t="inlineStr">
        <is>
          <t>품질 대응 + 생산능력 확대 · 온도 상승 효과와 2대 효과 구분</t>
        </is>
      </c>
      <c r="E11" s="47" t="inlineStr">
        <is>
          <t>환류 운전 시 Batch 시간</t>
        </is>
      </c>
    </row>
    <row r="12" ht="32" customHeight="1">
      <c r="B12" s="46" t="inlineStr">
        <is>
          <t>회수량</t>
        </is>
      </c>
      <c r="C12" s="47" t="inlineStr">
        <is>
          <t>조건별 약 160~170 kg / 추가 투입 시 약 220 kg / 전체 약 195~200 kg (197 kg) / Crude 200 kg × 75~80% ≈ 150~160 kg</t>
        </is>
      </c>
      <c r="D12" s="47" t="inlineStr">
        <is>
          <t>환산 기준 190 kg/Batch 유지 · 조건별 실측 입력란</t>
        </is>
      </c>
      <c r="E12" s="47" t="inlineStr">
        <is>
          <t>조건별 투입·회수·양품·잔량 실측</t>
        </is>
      </c>
    </row>
    <row r="13" ht="32" customHeight="1">
      <c r="B13" s="46" t="inlineStr">
        <is>
          <t>수율 표현</t>
        </is>
      </c>
      <c r="C13" s="47" t="inlineStr">
        <is>
          <t>"65%에서 5% 올렸다"</t>
        </is>
      </c>
      <c r="D13" s="47" t="inlineStr">
        <is>
          <t>65→70% 개선으로 단정하지 않음</t>
        </is>
      </c>
      <c r="E13" s="47" t="inlineStr">
        <is>
          <t>수치 정의</t>
        </is>
      </c>
    </row>
    <row r="14" ht="32" customHeight="1">
      <c r="B14" s="46" t="inlineStr">
        <is>
          <t>135 · 120</t>
        </is>
      </c>
      <c r="C14" s="47" t="inlineStr">
        <is>
          <t>Mix 유무에 따라 언급</t>
        </is>
      </c>
      <c r="D14" s="47" t="inlineStr">
        <is>
          <t>kg 생산량으로 입력하지 않음</t>
        </is>
      </c>
      <c r="E14" s="47" t="inlineStr">
        <is>
          <t>단위 · 색도 등 품질 지표인지</t>
        </is>
      </c>
    </row>
    <row r="15" ht="32" customHeight="1">
      <c r="B15" s="46" t="inlineStr">
        <is>
          <t>이지켐 색도</t>
        </is>
      </c>
      <c r="C15" s="47" t="inlineStr">
        <is>
          <t>색도 조건 때문에 추가 투입 제한</t>
        </is>
      </c>
      <c r="D15" s="47" t="inlineStr">
        <is>
          <t>고객별 품질 조건 별도</t>
        </is>
      </c>
      <c r="E15" s="47" t="inlineStr">
        <is>
          <t>고객별 품질·색도 규격 · 합격률</t>
        </is>
      </c>
    </row>
    <row r="16" ht="32" customHeight="1">
      <c r="B16" s="46" t="inlineStr">
        <is>
          <t>5 Gal 충진</t>
        </is>
      </c>
      <c r="C16" s="47" t="inlineStr">
        <is>
          <t>9병 18 h 작업, 근무시간 반영 시 약 2일 · 개선 방향 1~1.5일 · 18 h → 9 h 방안 검토</t>
        </is>
      </c>
      <c r="D16" s="47" t="inlineStr">
        <is>
          <t>2 h/병 · 18 h 유지 (개선은 미반영)</t>
        </is>
      </c>
      <c r="E16" s="47" t="inlineStr">
        <is>
          <t>교대·연장근무 · 충진 인원</t>
        </is>
      </c>
    </row>
    <row r="17" ht="32" customHeight="1">
      <c r="B17" s="46" t="inlineStr">
        <is>
          <t>ARS</t>
        </is>
      </c>
      <c r="C17" s="47" t="inlineStr">
        <is>
          <t>ARS 자체 충진은 더 길 수 있으나 용기 투입·반출·퍼지 포함 시 전체 시간은 비슷할 수 있음</t>
        </is>
      </c>
      <c r="D17" s="47" t="inlineStr">
        <is>
          <t>ARS 시간 미입력 시 수동 8 h 적용 · Capa. 가산 없음</t>
        </is>
      </c>
      <c r="E17" s="47" t="inlineStr">
        <is>
          <t>ARS 작업 단계별 시간 (용기 준비~설비 전환)</t>
        </is>
      </c>
    </row>
    <row r="18" ht="32" customHeight="1">
      <c r="B18" s="46" t="inlineStr">
        <is>
          <t>한솔 충진</t>
        </is>
      </c>
      <c r="C18" s="47" t="inlineStr">
        <is>
          <t>200 L 수동 충진</t>
        </is>
      </c>
      <c r="D18" s="47" t="inlineStr">
        <is>
          <t>8 h/용기 반영</t>
        </is>
      </c>
      <c r="E18" s="47" t="inlineStr">
        <is>
          <t>ARS 전환 후 시간</t>
        </is>
      </c>
    </row>
    <row r="19" ht="32" customHeight="1">
      <c r="B19" s="46" t="inlineStr">
        <is>
          <t>출하 물량</t>
        </is>
      </c>
      <c r="C19" s="47" t="inlineStr">
        <is>
          <t>대화 중 '약 40톤' 언급</t>
        </is>
      </c>
      <c r="D19" s="47" t="inlineStr">
        <is>
          <t>고객별 출하계획 (2027 41.72 / 2028 45.76톤) 유지</t>
        </is>
      </c>
      <c r="E19" s="47" t="inlineStr">
        <is>
          <t>-</t>
        </is>
      </c>
    </row>
    <row r="21" ht="20" customHeight="1">
      <c r="B21" s="7" t="inlineStr">
        <is>
          <t>② 조건별 생산량 (실측 입력 — 구두 언급치는 참고)</t>
        </is>
      </c>
    </row>
    <row r="22">
      <c r="B22" s="8" t="inlineStr">
        <is>
          <t>조건</t>
        </is>
      </c>
      <c r="C22" s="8" t="inlineStr">
        <is>
          <t>구두 언급</t>
        </is>
      </c>
      <c r="D22" s="9" t="inlineStr">
        <is>
          <t>신규 Crude (kg)</t>
        </is>
      </c>
      <c r="E22" s="9" t="inlineStr">
        <is>
          <t>재투입·Mix (kg)</t>
        </is>
      </c>
      <c r="F22" s="9" t="inlineStr">
        <is>
          <t>총 투입 (kg)</t>
        </is>
      </c>
      <c r="G22" s="9" t="inlineStr">
        <is>
          <t>회수량 (kg)</t>
        </is>
      </c>
      <c r="H22" s="9" t="inlineStr">
        <is>
          <t>양품량 (kg)</t>
        </is>
      </c>
      <c r="I22" s="9" t="inlineStr">
        <is>
          <t>잔량·이월 (kg)</t>
        </is>
      </c>
      <c r="J22" s="9" t="inlineStr">
        <is>
          <t>회수율 (회수÷총투입)</t>
        </is>
      </c>
    </row>
    <row r="23">
      <c r="B23" s="10" t="inlineStr">
        <is>
          <t>일부 운전 조건</t>
        </is>
      </c>
      <c r="C23" s="48" t="inlineStr">
        <is>
          <t>약 160~170 kg</t>
        </is>
      </c>
      <c r="D23" s="28" t="n"/>
      <c r="E23" s="28" t="n"/>
      <c r="F23" s="21">
        <f>IF(COUNT(D23:E23)=0,"",N(D23)+N(E23))</f>
      </c>
      <c r="G23" s="28" t="n"/>
      <c r="H23" s="28" t="n"/>
      <c r="I23" s="28" t="n"/>
      <c r="J23" s="44">
        <f>IF(AND(ISNUMBER(F23),ISNUMBER(G23)),G23/F23,"")</f>
      </c>
    </row>
    <row r="24">
      <c r="B24" s="10" t="inlineStr">
        <is>
          <t>추가 투입 · Make-up</t>
        </is>
      </c>
      <c r="C24" s="48" t="inlineStr">
        <is>
          <t>약 220 kg</t>
        </is>
      </c>
      <c r="D24" s="28" t="n"/>
      <c r="E24" s="28" t="n"/>
      <c r="F24" s="21">
        <f>IF(COUNT(D24:E24)=0,"",N(D24)+N(E24))</f>
      </c>
      <c r="G24" s="28" t="n"/>
      <c r="H24" s="28" t="n"/>
      <c r="I24" s="28" t="n"/>
      <c r="J24" s="44">
        <f>IF(AND(ISNUMBER(F24),ISNUMBER(G24)),G24/F24,"")</f>
      </c>
    </row>
    <row r="25">
      <c r="B25" s="10" t="inlineStr">
        <is>
          <t>전체 평균</t>
        </is>
      </c>
      <c r="C25" s="48" t="inlineStr">
        <is>
          <t>약 195~200 kg (197 kg)</t>
        </is>
      </c>
      <c r="D25" s="28" t="n"/>
      <c r="E25" s="28" t="n"/>
      <c r="F25" s="21">
        <f>IF(COUNT(D25:E25)=0,"",N(D25)+N(E25))</f>
      </c>
      <c r="G25" s="28" t="n"/>
      <c r="H25" s="28" t="n"/>
      <c r="I25" s="28" t="n"/>
      <c r="J25" s="44">
        <f>IF(AND(ISNUMBER(F25),ISNUMBER(G25)),G25/F25,"")</f>
      </c>
    </row>
    <row r="26">
      <c r="B26" s="10" t="inlineStr">
        <is>
          <t>Crude만 (참고)</t>
        </is>
      </c>
      <c r="C26" s="48" t="inlineStr">
        <is>
          <t>200 kg × 75~80% ≈ 150~160 kg</t>
        </is>
      </c>
      <c r="D26" s="28" t="n"/>
      <c r="E26" s="28" t="n"/>
      <c r="F26" s="21">
        <f>IF(COUNT(D26:E26)=0,"",N(D26)+N(E26))</f>
      </c>
      <c r="G26" s="28" t="n"/>
      <c r="H26" s="28" t="n"/>
      <c r="I26" s="28" t="n"/>
      <c r="J26" s="44">
        <f>IF(AND(ISNUMBER(F26),ISNUMBER(G26)),G26/F26,"")</f>
      </c>
    </row>
    <row r="27">
      <c r="B27" s="10" t="inlineStr">
        <is>
          <t>이지켐 (색도 제한)</t>
        </is>
      </c>
      <c r="C27" s="48" t="inlineStr">
        <is>
          <t>추가 투입 제한</t>
        </is>
      </c>
      <c r="D27" s="28" t="n"/>
      <c r="E27" s="28" t="n"/>
      <c r="F27" s="21">
        <f>IF(COUNT(D27:E27)=0,"",N(D27)+N(E27))</f>
      </c>
      <c r="G27" s="28" t="n"/>
      <c r="H27" s="28" t="n"/>
      <c r="I27" s="28" t="n"/>
      <c r="J27" s="44">
        <f>IF(AND(ISNUMBER(F27),ISNUMBER(G27)),G27/F27,"")</f>
      </c>
    </row>
    <row r="28">
      <c r="B28" s="18" t="inlineStr">
        <is>
          <t>수율은 총 투입(신규 + 재투입) 기준 · 신규 Crude만 분모로 쓰지 않음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BFBFBF"/>
    <outlinePr summaryBelow="1" summaryRight="1"/>
    <pageSetUpPr/>
  </sheetPr>
  <dimension ref="B1:H60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8" customWidth="1" min="2" max="2"/>
    <col width="12" customWidth="1" min="3" max="3"/>
    <col width="8" customWidth="1" min="4" max="4"/>
    <col width="10" customWidth="1" min="6" max="6"/>
    <col width="12" customWidth="1" min="7" max="7"/>
    <col width="12" customWidth="1" min="8" max="8"/>
  </cols>
  <sheetData>
    <row r="1">
      <c r="B1" s="1" t="inlineStr">
        <is>
          <t>10_과거Batch_참고 | 2026 생산계획 표시일자 (원자료 보존 · 참고용)</t>
        </is>
      </c>
    </row>
    <row r="2">
      <c r="B2" s="2" t="inlineStr">
        <is>
          <t>생산계획 표시일자 — 실적 아님 · 투입일/완료일 여부 확인 필요.</t>
        </is>
      </c>
    </row>
    <row r="4">
      <c r="B4" s="9" t="inlineStr">
        <is>
          <t>Batch</t>
        </is>
      </c>
      <c r="C4" s="9" t="inlineStr">
        <is>
          <t>표시일자</t>
        </is>
      </c>
      <c r="D4" s="9" t="inlineStr">
        <is>
          <t>월</t>
        </is>
      </c>
      <c r="F4" s="9" t="inlineStr">
        <is>
          <t>월</t>
        </is>
      </c>
      <c r="G4" s="9" t="inlineStr">
        <is>
          <t>번호 개수</t>
        </is>
      </c>
      <c r="H4" s="9" t="inlineStr">
        <is>
          <t>원자료 Total</t>
        </is>
      </c>
    </row>
    <row r="5">
      <c r="B5" s="14" t="n">
        <v>37</v>
      </c>
      <c r="C5" s="16" t="n">
        <v>46165</v>
      </c>
      <c r="D5" s="33">
        <f>MONTH(C5)</f>
        <v>5</v>
      </c>
      <c r="F5" s="10" t="inlineStr">
        <is>
          <t>5월</t>
        </is>
      </c>
      <c r="G5" s="33">
        <f>COUNTIF($D$5:$D$60,5)</f>
        <v>2</v>
      </c>
      <c r="H5" s="49" t="n"/>
    </row>
    <row r="6">
      <c r="B6" s="14" t="n">
        <v>38</v>
      </c>
      <c r="C6" s="16" t="n">
        <v>46168</v>
      </c>
      <c r="D6" s="33">
        <f>MONTH(C6)</f>
        <v>5</v>
      </c>
      <c r="F6" s="10" t="inlineStr">
        <is>
          <t>6월</t>
        </is>
      </c>
      <c r="G6" s="33">
        <f>COUNTIF($D$5:$D$60,6)</f>
        <v>11</v>
      </c>
      <c r="H6" s="14" t="n">
        <v>8</v>
      </c>
    </row>
    <row r="7">
      <c r="B7" s="14" t="n">
        <v>39</v>
      </c>
      <c r="C7" s="16" t="n">
        <v>46175</v>
      </c>
      <c r="D7" s="33">
        <f>MONTH(C7)</f>
        <v>6</v>
      </c>
      <c r="F7" s="10" t="inlineStr">
        <is>
          <t>7월</t>
        </is>
      </c>
      <c r="G7" s="33">
        <f>COUNTIF($D$5:$D$60,7)</f>
        <v>11</v>
      </c>
      <c r="H7" s="14" t="n">
        <v>11</v>
      </c>
    </row>
    <row r="8">
      <c r="B8" s="14" t="n">
        <v>40</v>
      </c>
      <c r="C8" s="16" t="n">
        <v>46178</v>
      </c>
      <c r="D8" s="33">
        <f>MONTH(C8)</f>
        <v>6</v>
      </c>
      <c r="F8" s="10" t="inlineStr">
        <is>
          <t>8월</t>
        </is>
      </c>
      <c r="G8" s="33">
        <f>COUNTIF($D$5:$D$60,8)</f>
        <v>11</v>
      </c>
      <c r="H8" s="14" t="n">
        <v>8</v>
      </c>
    </row>
    <row r="9">
      <c r="B9" s="14" t="n">
        <v>41</v>
      </c>
      <c r="C9" s="16" t="n">
        <v>46181</v>
      </c>
      <c r="D9" s="33">
        <f>MONTH(C9)</f>
        <v>6</v>
      </c>
      <c r="F9" s="10" t="inlineStr">
        <is>
          <t>9월</t>
        </is>
      </c>
      <c r="G9" s="33">
        <f>COUNTIF($D$5:$D$60,9)</f>
        <v>10</v>
      </c>
      <c r="H9" s="14" t="n">
        <v>8</v>
      </c>
    </row>
    <row r="10">
      <c r="B10" s="14" t="n">
        <v>42</v>
      </c>
      <c r="C10" s="16" t="n">
        <v>46184</v>
      </c>
      <c r="D10" s="33">
        <f>MONTH(C10)</f>
        <v>6</v>
      </c>
      <c r="F10" s="10" t="inlineStr">
        <is>
          <t>10월</t>
        </is>
      </c>
      <c r="G10" s="33">
        <f>COUNTIF($D$5:$D$60,10)</f>
        <v>11</v>
      </c>
      <c r="H10" s="14" t="n">
        <v>11</v>
      </c>
    </row>
    <row r="11">
      <c r="B11" s="14" t="n">
        <v>43</v>
      </c>
      <c r="C11" s="16" t="n">
        <v>46187</v>
      </c>
      <c r="D11" s="33">
        <f>MONTH(C11)</f>
        <v>6</v>
      </c>
    </row>
    <row r="12">
      <c r="B12" s="14" t="n">
        <v>44</v>
      </c>
      <c r="C12" s="16" t="n">
        <v>46190</v>
      </c>
      <c r="D12" s="33">
        <f>MONTH(C12)</f>
        <v>6</v>
      </c>
      <c r="F12" s="18" t="inlineStr">
        <is>
          <t>5월은 #37·#38 일부만 제공</t>
        </is>
      </c>
    </row>
    <row r="13">
      <c r="B13" s="14" t="n">
        <v>45</v>
      </c>
      <c r="C13" s="16" t="n">
        <v>46193</v>
      </c>
      <c r="D13" s="33">
        <f>MONTH(C13)</f>
        <v>6</v>
      </c>
    </row>
    <row r="14">
      <c r="B14" s="14" t="n">
        <v>46</v>
      </c>
      <c r="C14" s="16" t="n">
        <v>46196</v>
      </c>
      <c r="D14" s="33">
        <f>MONTH(C14)</f>
        <v>6</v>
      </c>
    </row>
    <row r="15">
      <c r="B15" s="14" t="n">
        <v>47</v>
      </c>
      <c r="C15" s="16" t="n">
        <v>46198</v>
      </c>
      <c r="D15" s="33">
        <f>MONTH(C15)</f>
        <v>6</v>
      </c>
    </row>
    <row r="16">
      <c r="B16" s="14" t="n">
        <v>48</v>
      </c>
      <c r="C16" s="16" t="n">
        <v>46200</v>
      </c>
      <c r="D16" s="33">
        <f>MONTH(C16)</f>
        <v>6</v>
      </c>
    </row>
    <row r="17">
      <c r="B17" s="14" t="n">
        <v>49</v>
      </c>
      <c r="C17" s="16" t="n">
        <v>46201</v>
      </c>
      <c r="D17" s="33">
        <f>MONTH(C17)</f>
        <v>6</v>
      </c>
    </row>
    <row r="18">
      <c r="B18" s="14" t="n">
        <v>50</v>
      </c>
      <c r="C18" s="16" t="n">
        <v>46204</v>
      </c>
      <c r="D18" s="33">
        <f>MONTH(C18)</f>
        <v>7</v>
      </c>
    </row>
    <row r="19">
      <c r="B19" s="14" t="n">
        <v>51</v>
      </c>
      <c r="C19" s="16" t="n">
        <v>46206</v>
      </c>
      <c r="D19" s="33">
        <f>MONTH(C19)</f>
        <v>7</v>
      </c>
    </row>
    <row r="20">
      <c r="B20" s="14" t="n">
        <v>52</v>
      </c>
      <c r="C20" s="16" t="n">
        <v>46209</v>
      </c>
      <c r="D20" s="33">
        <f>MONTH(C20)</f>
        <v>7</v>
      </c>
    </row>
    <row r="21">
      <c r="B21" s="14" t="n">
        <v>53</v>
      </c>
      <c r="C21" s="16" t="n">
        <v>46211</v>
      </c>
      <c r="D21" s="33">
        <f>MONTH(C21)</f>
        <v>7</v>
      </c>
    </row>
    <row r="22">
      <c r="B22" s="14" t="n">
        <v>54</v>
      </c>
      <c r="C22" s="16" t="n">
        <v>46214</v>
      </c>
      <c r="D22" s="33">
        <f>MONTH(C22)</f>
        <v>7</v>
      </c>
    </row>
    <row r="23">
      <c r="B23" s="14" t="n">
        <v>55</v>
      </c>
      <c r="C23" s="16" t="n">
        <v>46217</v>
      </c>
      <c r="D23" s="33">
        <f>MONTH(C23)</f>
        <v>7</v>
      </c>
    </row>
    <row r="24">
      <c r="B24" s="14" t="n">
        <v>56</v>
      </c>
      <c r="C24" s="16" t="n">
        <v>46220</v>
      </c>
      <c r="D24" s="33">
        <f>MONTH(C24)</f>
        <v>7</v>
      </c>
    </row>
    <row r="25">
      <c r="B25" s="14" t="n">
        <v>57</v>
      </c>
      <c r="C25" s="16" t="n">
        <v>46223</v>
      </c>
      <c r="D25" s="33">
        <f>MONTH(C25)</f>
        <v>7</v>
      </c>
    </row>
    <row r="26">
      <c r="B26" s="14" t="n">
        <v>58</v>
      </c>
      <c r="C26" s="16" t="n">
        <v>46226</v>
      </c>
      <c r="D26" s="33">
        <f>MONTH(C26)</f>
        <v>7</v>
      </c>
    </row>
    <row r="27">
      <c r="B27" s="14" t="n">
        <v>59</v>
      </c>
      <c r="C27" s="16" t="n">
        <v>46229</v>
      </c>
      <c r="D27" s="33">
        <f>MONTH(C27)</f>
        <v>7</v>
      </c>
    </row>
    <row r="28">
      <c r="B28" s="14" t="n">
        <v>60</v>
      </c>
      <c r="C28" s="16" t="n">
        <v>46232</v>
      </c>
      <c r="D28" s="33">
        <f>MONTH(C28)</f>
        <v>7</v>
      </c>
    </row>
    <row r="29">
      <c r="B29" s="14" t="n">
        <v>61</v>
      </c>
      <c r="C29" s="16" t="n">
        <v>46235</v>
      </c>
      <c r="D29" s="33">
        <f>MONTH(C29)</f>
        <v>8</v>
      </c>
    </row>
    <row r="30">
      <c r="B30" s="14" t="n">
        <v>62</v>
      </c>
      <c r="C30" s="16" t="n">
        <v>46238</v>
      </c>
      <c r="D30" s="33">
        <f>MONTH(C30)</f>
        <v>8</v>
      </c>
    </row>
    <row r="31">
      <c r="B31" s="14" t="n">
        <v>63</v>
      </c>
      <c r="C31" s="16" t="n">
        <v>46241</v>
      </c>
      <c r="D31" s="33">
        <f>MONTH(C31)</f>
        <v>8</v>
      </c>
    </row>
    <row r="32">
      <c r="B32" s="14" t="n">
        <v>64</v>
      </c>
      <c r="C32" s="16" t="n">
        <v>46244</v>
      </c>
      <c r="D32" s="33">
        <f>MONTH(C32)</f>
        <v>8</v>
      </c>
    </row>
    <row r="33">
      <c r="B33" s="14" t="n">
        <v>65</v>
      </c>
      <c r="C33" s="16" t="n">
        <v>46247</v>
      </c>
      <c r="D33" s="33">
        <f>MONTH(C33)</f>
        <v>8</v>
      </c>
    </row>
    <row r="34">
      <c r="B34" s="14" t="n">
        <v>66</v>
      </c>
      <c r="C34" s="16" t="n">
        <v>46250</v>
      </c>
      <c r="D34" s="33">
        <f>MONTH(C34)</f>
        <v>8</v>
      </c>
    </row>
    <row r="35">
      <c r="B35" s="14" t="n">
        <v>67</v>
      </c>
      <c r="C35" s="16" t="n">
        <v>46253</v>
      </c>
      <c r="D35" s="33">
        <f>MONTH(C35)</f>
        <v>8</v>
      </c>
    </row>
    <row r="36">
      <c r="B36" s="14" t="n">
        <v>68</v>
      </c>
      <c r="C36" s="16" t="n">
        <v>46256</v>
      </c>
      <c r="D36" s="33">
        <f>MONTH(C36)</f>
        <v>8</v>
      </c>
    </row>
    <row r="37">
      <c r="B37" s="14" t="n">
        <v>69</v>
      </c>
      <c r="C37" s="16" t="n">
        <v>46259</v>
      </c>
      <c r="D37" s="33">
        <f>MONTH(C37)</f>
        <v>8</v>
      </c>
    </row>
    <row r="38">
      <c r="B38" s="14" t="n">
        <v>70</v>
      </c>
      <c r="C38" s="16" t="n">
        <v>46262</v>
      </c>
      <c r="D38" s="33">
        <f>MONTH(C38)</f>
        <v>8</v>
      </c>
    </row>
    <row r="39">
      <c r="B39" s="14" t="n">
        <v>71</v>
      </c>
      <c r="C39" s="16" t="n">
        <v>46265</v>
      </c>
      <c r="D39" s="33">
        <f>MONTH(C39)</f>
        <v>8</v>
      </c>
    </row>
    <row r="40">
      <c r="B40" s="14" t="n">
        <v>72</v>
      </c>
      <c r="C40" s="16" t="n">
        <v>46268</v>
      </c>
      <c r="D40" s="33">
        <f>MONTH(C40)</f>
        <v>9</v>
      </c>
    </row>
    <row r="41">
      <c r="B41" s="14" t="n">
        <v>73</v>
      </c>
      <c r="C41" s="16" t="n">
        <v>46270</v>
      </c>
      <c r="D41" s="33">
        <f>MONTH(C41)</f>
        <v>9</v>
      </c>
    </row>
    <row r="42">
      <c r="B42" s="14" t="n">
        <v>74</v>
      </c>
      <c r="C42" s="16" t="n">
        <v>46272</v>
      </c>
      <c r="D42" s="33">
        <f>MONTH(C42)</f>
        <v>9</v>
      </c>
    </row>
    <row r="43">
      <c r="B43" s="14" t="n">
        <v>75</v>
      </c>
      <c r="C43" s="16" t="n">
        <v>46274</v>
      </c>
      <c r="D43" s="33">
        <f>MONTH(C43)</f>
        <v>9</v>
      </c>
    </row>
    <row r="44">
      <c r="B44" s="14" t="n">
        <v>76</v>
      </c>
      <c r="C44" s="16" t="n">
        <v>46276</v>
      </c>
      <c r="D44" s="33">
        <f>MONTH(C44)</f>
        <v>9</v>
      </c>
    </row>
    <row r="45">
      <c r="B45" s="14" t="n">
        <v>77</v>
      </c>
      <c r="C45" s="16" t="n">
        <v>46279</v>
      </c>
      <c r="D45" s="33">
        <f>MONTH(C45)</f>
        <v>9</v>
      </c>
    </row>
    <row r="46">
      <c r="B46" s="14" t="n">
        <v>78</v>
      </c>
      <c r="C46" s="16" t="n">
        <v>46284</v>
      </c>
      <c r="D46" s="33">
        <f>MONTH(C46)</f>
        <v>9</v>
      </c>
    </row>
    <row r="47">
      <c r="B47" s="14" t="n">
        <v>79</v>
      </c>
      <c r="C47" s="16" t="n">
        <v>46288</v>
      </c>
      <c r="D47" s="33">
        <f>MONTH(C47)</f>
        <v>9</v>
      </c>
    </row>
    <row r="48">
      <c r="B48" s="14" t="n">
        <v>80</v>
      </c>
      <c r="C48" s="16" t="n">
        <v>46291</v>
      </c>
      <c r="D48" s="33">
        <f>MONTH(C48)</f>
        <v>9</v>
      </c>
    </row>
    <row r="49">
      <c r="B49" s="14" t="n">
        <v>81</v>
      </c>
      <c r="C49" s="16" t="n">
        <v>46293</v>
      </c>
      <c r="D49" s="33">
        <f>MONTH(C49)</f>
        <v>9</v>
      </c>
    </row>
    <row r="50">
      <c r="B50" s="14" t="n">
        <v>82</v>
      </c>
      <c r="C50" s="16" t="n">
        <v>46296</v>
      </c>
      <c r="D50" s="33">
        <f>MONTH(C50)</f>
        <v>10</v>
      </c>
    </row>
    <row r="51">
      <c r="B51" s="14" t="n">
        <v>83</v>
      </c>
      <c r="C51" s="16" t="n">
        <v>46299</v>
      </c>
      <c r="D51" s="33">
        <f>MONTH(C51)</f>
        <v>10</v>
      </c>
    </row>
    <row r="52">
      <c r="B52" s="14" t="n">
        <v>84</v>
      </c>
      <c r="C52" s="16" t="n">
        <v>46302</v>
      </c>
      <c r="D52" s="33">
        <f>MONTH(C52)</f>
        <v>10</v>
      </c>
    </row>
    <row r="53">
      <c r="B53" s="14" t="n">
        <v>85</v>
      </c>
      <c r="C53" s="16" t="n">
        <v>46305</v>
      </c>
      <c r="D53" s="33">
        <f>MONTH(C53)</f>
        <v>10</v>
      </c>
    </row>
    <row r="54">
      <c r="B54" s="14" t="n">
        <v>86</v>
      </c>
      <c r="C54" s="16" t="n">
        <v>46307</v>
      </c>
      <c r="D54" s="33">
        <f>MONTH(C54)</f>
        <v>10</v>
      </c>
    </row>
    <row r="55">
      <c r="B55" s="14" t="n">
        <v>87</v>
      </c>
      <c r="C55" s="16" t="n">
        <v>46310</v>
      </c>
      <c r="D55" s="33">
        <f>MONTH(C55)</f>
        <v>10</v>
      </c>
    </row>
    <row r="56">
      <c r="B56" s="14" t="n">
        <v>88</v>
      </c>
      <c r="C56" s="16" t="n">
        <v>46313</v>
      </c>
      <c r="D56" s="33">
        <f>MONTH(C56)</f>
        <v>10</v>
      </c>
    </row>
    <row r="57">
      <c r="B57" s="14" t="n">
        <v>89</v>
      </c>
      <c r="C57" s="16" t="n">
        <v>46315</v>
      </c>
      <c r="D57" s="33">
        <f>MONTH(C57)</f>
        <v>10</v>
      </c>
    </row>
    <row r="58">
      <c r="B58" s="14" t="n">
        <v>90</v>
      </c>
      <c r="C58" s="16" t="n">
        <v>46318</v>
      </c>
      <c r="D58" s="33">
        <f>MONTH(C58)</f>
        <v>10</v>
      </c>
    </row>
    <row r="59">
      <c r="B59" s="14" t="n">
        <v>91</v>
      </c>
      <c r="C59" s="16" t="n">
        <v>46321</v>
      </c>
      <c r="D59" s="33">
        <f>MONTH(C59)</f>
        <v>10</v>
      </c>
    </row>
    <row r="60">
      <c r="B60" s="14" t="n">
        <v>92</v>
      </c>
      <c r="C60" s="16" t="n">
        <v>46324</v>
      </c>
      <c r="D60" s="33">
        <f>MONTH(C60)</f>
        <v>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2026-10-02T01:34:56Z</dcterms:created>
  <dcterms:modified xmlns:dcterms="http://purl.org/dc/terms/" xmlns:xsi="http://www.w3.org/2001/XMLSchema-instance" xsi:type="dcterms:W3CDTF">2026-10-02T01:34:57Z</dcterms:modified>
</cp:coreProperties>
</file>