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Inputs" sheetId="1" state="visible" r:id="rId3"/>
    <sheet name="02_Batch_Raw" sheetId="2" state="visible" r:id="rId4"/>
    <sheet name="03_Capacity_Model" sheetId="3" state="visible" r:id="rId5"/>
    <sheet name="04_Monthly_2026_2028" sheetId="4" state="visible" r:id="rId6"/>
    <sheet name="05_Reflux_Scenarios" sheetId="5" state="visible" r:id="rId7"/>
    <sheet name="06_Report_Summary" sheetId="6" state="visible" r:id="rId8"/>
  </sheets>
  <definedNames>
    <definedName function="false" hidden="true" localSheetId="0" name="_xlnm._FilterDatabase" vbProcedure="false">01_Inputs!$A$5:$G$122</definedName>
    <definedName function="false" hidden="true" localSheetId="1" name="_xlnm._FilterDatabase" vbProcedure="false">02_Batch_Raw!$A$5:$Z$61</definedName>
    <definedName function="false" hidden="true" localSheetId="3" name="_xlnm._FilterDatabase" vbProcedure="false">04_Monthly_2026_2028!$A$5:$BE$41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<sst xmlns="http://schemas.openxmlformats.org/spreadsheetml/2006/main" count="2030" uniqueCount="1053">
  <si>
    <r>
      <rPr>
        <b val="true"/>
        <sz val="14"/>
        <color rgb="FFEB002C"/>
        <rFont val="Arial"/>
        <family val="0"/>
        <charset val="1"/>
      </rPr>
      <t xml:space="preserve">01_Inputs | CpZr </t>
    </r>
    <r>
      <rPr>
        <b val="true"/>
        <sz val="14"/>
        <color rgb="FFEB002C"/>
        <rFont val="Noto Sans CJK SC"/>
        <family val="2"/>
      </rPr>
      <t xml:space="preserve">생산능력 계산 입력값 </t>
    </r>
    <r>
      <rPr>
        <b val="true"/>
        <sz val="14"/>
        <color rgb="FFEB002C"/>
        <rFont val="Arial"/>
        <family val="0"/>
        <charset val="1"/>
      </rPr>
      <t xml:space="preserve">(v2)</t>
    </r>
  </si>
  <si>
    <r>
      <rPr>
        <i val="true"/>
        <sz val="9"/>
        <color rgb="FF7F7F7F"/>
        <rFont val="Noto Sans CJK SC"/>
        <family val="2"/>
      </rPr>
      <t xml:space="preserve">정제 </t>
    </r>
    <r>
      <rPr>
        <i val="true"/>
        <sz val="9"/>
        <color rgb="FF7F7F7F"/>
        <rFont val="Arial"/>
        <family val="0"/>
        <charset val="1"/>
      </rPr>
      <t xml:space="preserve">45 h / </t>
    </r>
    <r>
      <rPr>
        <i val="true"/>
        <sz val="9"/>
        <color rgb="FF7F7F7F"/>
        <rFont val="Noto Sans CJK SC"/>
        <family val="2"/>
      </rPr>
      <t xml:space="preserve">충진 전까지 </t>
    </r>
    <r>
      <rPr>
        <i val="true"/>
        <sz val="9"/>
        <color rgb="FF7F7F7F"/>
        <rFont val="Arial"/>
        <family val="0"/>
        <charset val="1"/>
      </rPr>
      <t xml:space="preserve">57 h · </t>
    </r>
    <r>
      <rPr>
        <i val="true"/>
        <sz val="9"/>
        <color rgb="FF7F7F7F"/>
        <rFont val="Noto Sans CJK SC"/>
        <family val="2"/>
      </rPr>
      <t xml:space="preserve">현재 정제기 </t>
    </r>
    <r>
      <rPr>
        <i val="true"/>
        <sz val="9"/>
        <color rgb="FF7F7F7F"/>
        <rFont val="Arial"/>
        <family val="0"/>
        <charset val="1"/>
      </rPr>
      <t xml:space="preserve">1</t>
    </r>
    <r>
      <rPr>
        <i val="true"/>
        <sz val="9"/>
        <color rgb="FF7F7F7F"/>
        <rFont val="Noto Sans CJK SC"/>
        <family val="2"/>
      </rPr>
      <t xml:space="preserve">대 → 개선 후 </t>
    </r>
    <r>
      <rPr>
        <i val="true"/>
        <sz val="9"/>
        <color rgb="FF7F7F7F"/>
        <rFont val="Arial"/>
        <family val="0"/>
        <charset val="1"/>
      </rPr>
      <t xml:space="preserve">2</t>
    </r>
    <r>
      <rPr>
        <i val="true"/>
        <sz val="9"/>
        <color rgb="FF7F7F7F"/>
        <rFont val="Noto Sans CJK SC"/>
        <family val="2"/>
      </rPr>
      <t xml:space="preserve">대 시차 운전 </t>
    </r>
    <r>
      <rPr>
        <i val="true"/>
        <sz val="9"/>
        <color rgb="FF7F7F7F"/>
        <rFont val="Arial"/>
        <family val="0"/>
        <charset val="1"/>
      </rPr>
      <t xml:space="preserve">· 4</t>
    </r>
    <r>
      <rPr>
        <i val="true"/>
        <sz val="9"/>
        <color rgb="FF7F7F7F"/>
        <rFont val="Noto Sans CJK SC"/>
        <family val="2"/>
      </rPr>
      <t xml:space="preserve">개 고객 </t>
    </r>
    <r>
      <rPr>
        <i val="true"/>
        <sz val="9"/>
        <color rgb="FF7F7F7F"/>
        <rFont val="Arial"/>
        <family val="0"/>
        <charset val="1"/>
      </rPr>
      <t xml:space="preserve">· 2026~2028. </t>
    </r>
    <r>
      <rPr>
        <i val="true"/>
        <sz val="9"/>
        <color rgb="FF7F7F7F"/>
        <rFont val="Noto Sans CJK SC"/>
        <family val="2"/>
      </rPr>
      <t xml:space="preserve">미확인은 노란 공란 — 확인 후 입력</t>
    </r>
    <r>
      <rPr>
        <i val="true"/>
        <sz val="9"/>
        <color rgb="FF7F7F7F"/>
        <rFont val="Arial"/>
        <family val="0"/>
        <charset val="1"/>
      </rPr>
      <t xml:space="preserve">.</t>
    </r>
  </si>
  <si>
    <t xml:space="preserve">  </t>
  </si>
  <si>
    <r>
      <rPr>
        <sz val="8"/>
        <color rgb="FF7F7F7F"/>
        <rFont val="Noto Sans CJK SC"/>
        <family val="2"/>
      </rPr>
      <t xml:space="preserve">입력 </t>
    </r>
    <r>
      <rPr>
        <sz val="8"/>
        <color rgb="FF7F7F7F"/>
        <rFont val="Arial"/>
        <family val="0"/>
        <charset val="1"/>
      </rPr>
      <t xml:space="preserve">(</t>
    </r>
    <r>
      <rPr>
        <sz val="8"/>
        <color rgb="FF7F7F7F"/>
        <rFont val="Noto Sans CJK SC"/>
        <family val="2"/>
      </rPr>
      <t xml:space="preserve">제공</t>
    </r>
    <r>
      <rPr>
        <sz val="8"/>
        <color rgb="FF7F7F7F"/>
        <rFont val="Arial"/>
        <family val="0"/>
        <charset val="1"/>
      </rPr>
      <t xml:space="preserve">·</t>
    </r>
    <r>
      <rPr>
        <sz val="8"/>
        <color rgb="FF7F7F7F"/>
        <rFont val="Noto Sans CJK SC"/>
        <family val="2"/>
      </rPr>
      <t xml:space="preserve">확정</t>
    </r>
    <r>
      <rPr>
        <sz val="8"/>
        <color rgb="FF7F7F7F"/>
        <rFont val="Arial"/>
        <family val="0"/>
        <charset val="1"/>
      </rPr>
      <t xml:space="preserve">·</t>
    </r>
    <r>
      <rPr>
        <sz val="8"/>
        <color rgb="FF7F7F7F"/>
        <rFont val="Noto Sans CJK SC"/>
        <family val="2"/>
      </rPr>
      <t xml:space="preserve">계획</t>
    </r>
    <r>
      <rPr>
        <sz val="8"/>
        <color rgb="FF7F7F7F"/>
        <rFont val="Arial"/>
        <family val="0"/>
        <charset val="1"/>
      </rPr>
      <t xml:space="preserve">)</t>
    </r>
  </si>
  <si>
    <r>
      <rPr>
        <sz val="8"/>
        <color rgb="FF7F7F7F"/>
        <rFont val="Noto Sans CJK SC"/>
        <family val="2"/>
      </rPr>
      <t xml:space="preserve">미확인 입력란 </t>
    </r>
    <r>
      <rPr>
        <sz val="8"/>
        <color rgb="FF7F7F7F"/>
        <rFont val="Arial"/>
        <family val="0"/>
        <charset val="1"/>
      </rPr>
      <t xml:space="preserve">(</t>
    </r>
    <r>
      <rPr>
        <sz val="8"/>
        <color rgb="FF7F7F7F"/>
        <rFont val="Noto Sans CJK SC"/>
        <family val="2"/>
      </rPr>
      <t xml:space="preserve">공란 유지</t>
    </r>
    <r>
      <rPr>
        <sz val="8"/>
        <color rgb="FF7F7F7F"/>
        <rFont val="Arial"/>
        <family val="0"/>
        <charset val="1"/>
      </rPr>
      <t xml:space="preserve">)</t>
    </r>
  </si>
  <si>
    <r>
      <rPr>
        <sz val="8"/>
        <color rgb="FF7F7F7F"/>
        <rFont val="Noto Sans CJK SC"/>
        <family val="2"/>
      </rPr>
      <t xml:space="preserve">추정</t>
    </r>
    <r>
      <rPr>
        <sz val="8"/>
        <color rgb="FF7F7F7F"/>
        <rFont val="Arial"/>
        <family val="0"/>
        <charset val="1"/>
      </rPr>
      <t xml:space="preserve">·</t>
    </r>
    <r>
      <rPr>
        <sz val="8"/>
        <color rgb="FF7F7F7F"/>
        <rFont val="Noto Sans CJK SC"/>
        <family val="2"/>
      </rPr>
      <t xml:space="preserve">가정 입력</t>
    </r>
  </si>
  <si>
    <r>
      <rPr>
        <sz val="8"/>
        <color rgb="FF7F7F7F"/>
        <rFont val="Noto Sans CJK SC"/>
        <family val="2"/>
      </rPr>
      <t xml:space="preserve">구두 언급 </t>
    </r>
    <r>
      <rPr>
        <sz val="8"/>
        <color rgb="FF7F7F7F"/>
        <rFont val="Arial"/>
        <family val="0"/>
        <charset val="1"/>
      </rPr>
      <t xml:space="preserve">(</t>
    </r>
    <r>
      <rPr>
        <sz val="8"/>
        <color rgb="FF7F7F7F"/>
        <rFont val="Noto Sans CJK SC"/>
        <family val="2"/>
      </rPr>
      <t xml:space="preserve">미검증</t>
    </r>
    <r>
      <rPr>
        <sz val="8"/>
        <color rgb="FF7F7F7F"/>
        <rFont val="Arial"/>
        <family val="0"/>
        <charset val="1"/>
      </rPr>
      <t xml:space="preserve">)</t>
    </r>
  </si>
  <si>
    <r>
      <rPr>
        <sz val="8"/>
        <color rgb="FF7F7F7F"/>
        <rFont val="Noto Sans CJK SC"/>
        <family val="2"/>
      </rPr>
      <t xml:space="preserve">검토안 </t>
    </r>
    <r>
      <rPr>
        <sz val="8"/>
        <color rgb="FF7F7F7F"/>
        <rFont val="Arial"/>
        <family val="0"/>
        <charset val="1"/>
      </rPr>
      <t xml:space="preserve">(</t>
    </r>
    <r>
      <rPr>
        <sz val="8"/>
        <color rgb="FF7F7F7F"/>
        <rFont val="Noto Sans CJK SC"/>
        <family val="2"/>
      </rPr>
      <t xml:space="preserve">미확정</t>
    </r>
    <r>
      <rPr>
        <sz val="8"/>
        <color rgb="FF7F7F7F"/>
        <rFont val="Arial"/>
        <family val="0"/>
        <charset val="1"/>
      </rPr>
      <t xml:space="preserve">)</t>
    </r>
  </si>
  <si>
    <r>
      <rPr>
        <sz val="8"/>
        <color rgb="FF7F7F7F"/>
        <rFont val="Noto Sans CJK SC"/>
        <family val="2"/>
      </rPr>
      <t xml:space="preserve">수식 </t>
    </r>
    <r>
      <rPr>
        <sz val="8"/>
        <color rgb="FF7F7F7F"/>
        <rFont val="Arial"/>
        <family val="0"/>
        <charset val="1"/>
      </rPr>
      <t xml:space="preserve">/ </t>
    </r>
    <r>
      <rPr>
        <sz val="8"/>
        <color rgb="FF7F7F7F"/>
        <rFont val="Noto Sans CJK SC"/>
        <family val="2"/>
      </rPr>
      <t xml:space="preserve">시트 참조</t>
    </r>
    <r>
      <rPr>
        <sz val="8"/>
        <color rgb="FF7F7F7F"/>
        <rFont val="Arial"/>
        <family val="0"/>
        <charset val="1"/>
      </rPr>
      <t xml:space="preserve">(</t>
    </r>
    <r>
      <rPr>
        <sz val="8"/>
        <color rgb="FF7F7F7F"/>
        <rFont val="Noto Sans CJK SC"/>
        <family val="2"/>
      </rPr>
      <t xml:space="preserve">초록</t>
    </r>
    <r>
      <rPr>
        <sz val="8"/>
        <color rgb="FF7F7F7F"/>
        <rFont val="Arial"/>
        <family val="0"/>
        <charset val="1"/>
      </rPr>
      <t xml:space="preserve">)</t>
    </r>
  </si>
  <si>
    <t xml:space="preserve">핵심 결과</t>
  </si>
  <si>
    <t xml:space="preserve">항목</t>
  </si>
  <si>
    <t xml:space="preserve">값</t>
  </si>
  <si>
    <t xml:space="preserve">단위</t>
  </si>
  <si>
    <t xml:space="preserve">적용 범위</t>
  </si>
  <si>
    <t xml:space="preserve">구분</t>
  </si>
  <si>
    <t xml:space="preserve">출처</t>
  </si>
  <si>
    <t xml:space="preserve">비고</t>
  </si>
  <si>
    <r>
      <rPr>
        <b val="true"/>
        <sz val="9"/>
        <color rgb="FF000000"/>
        <rFont val="Arial"/>
        <family val="0"/>
        <charset val="1"/>
      </rPr>
      <t xml:space="preserve">A. </t>
    </r>
    <r>
      <rPr>
        <b val="true"/>
        <sz val="9"/>
        <color rgb="FF000000"/>
        <rFont val="Noto Sans CJK SC"/>
        <family val="2"/>
      </rPr>
      <t xml:space="preserve">설비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가동시간</t>
    </r>
  </si>
  <si>
    <r>
      <rPr>
        <sz val="9"/>
        <color rgb="FF000000"/>
        <rFont val="Noto Sans CJK SC"/>
        <family val="2"/>
      </rPr>
      <t xml:space="preserve">정제기 수 </t>
    </r>
    <r>
      <rPr>
        <sz val="9"/>
        <color rgb="FF000000"/>
        <rFont val="Arial"/>
        <family val="0"/>
        <charset val="1"/>
      </rPr>
      <t xml:space="preserve">(As-is)</t>
    </r>
  </si>
  <si>
    <t xml:space="preserve">대</t>
  </si>
  <si>
    <r>
      <rPr>
        <sz val="9"/>
        <color rgb="FF000000"/>
        <rFont val="Arial"/>
        <family val="0"/>
        <charset val="1"/>
      </rPr>
      <t xml:space="preserve">~'27.6 · 4</t>
    </r>
    <r>
      <rPr>
        <sz val="9"/>
        <color rgb="FF000000"/>
        <rFont val="Noto Sans CJK SC"/>
        <family val="2"/>
      </rPr>
      <t xml:space="preserve">개 고객 공동</t>
    </r>
  </si>
  <si>
    <t xml:space="preserve">제공</t>
  </si>
  <si>
    <r>
      <rPr>
        <sz val="9"/>
        <color rgb="FF000000"/>
        <rFont val="Noto Sans CJK SC"/>
        <family val="2"/>
      </rPr>
      <t xml:space="preserve">사용자 제공 조건 </t>
    </r>
    <r>
      <rPr>
        <sz val="9"/>
        <color rgb="FF000000"/>
        <rFont val="Arial"/>
        <family val="0"/>
        <charset val="1"/>
      </rPr>
      <t xml:space="preserve">(2026-10-01 </t>
    </r>
    <r>
      <rPr>
        <sz val="9"/>
        <color rgb="FF000000"/>
        <rFont val="Noto Sans CJK SC"/>
        <family val="2"/>
      </rPr>
      <t xml:space="preserve">지시</t>
    </r>
    <r>
      <rPr>
        <sz val="9"/>
        <color rgb="FF000000"/>
        <rFont val="Arial"/>
        <family val="0"/>
        <charset val="1"/>
      </rPr>
      <t xml:space="preserve">)</t>
    </r>
  </si>
  <si>
    <t xml:space="preserve">단일 설비 순차 생산</t>
  </si>
  <si>
    <r>
      <rPr>
        <sz val="9"/>
        <color rgb="FF000000"/>
        <rFont val="Noto Sans CJK SC"/>
        <family val="2"/>
      </rPr>
      <t xml:space="preserve">정제기 수 </t>
    </r>
    <r>
      <rPr>
        <sz val="9"/>
        <color rgb="FF000000"/>
        <rFont val="Arial"/>
        <family val="0"/>
        <charset val="1"/>
      </rPr>
      <t xml:space="preserve">(To-be)</t>
    </r>
  </si>
  <si>
    <r>
      <rPr>
        <sz val="9"/>
        <color rgb="FF000000"/>
        <rFont val="Arial"/>
        <family val="0"/>
        <charset val="1"/>
      </rPr>
      <t xml:space="preserve">'27.7~ · </t>
    </r>
    <r>
      <rPr>
        <sz val="9"/>
        <color rgb="FF000000"/>
        <rFont val="Noto Sans CJK SC"/>
        <family val="2"/>
      </rPr>
      <t xml:space="preserve">시간차 병행 운전</t>
    </r>
  </si>
  <si>
    <t xml:space="preserve">고객별 전용 설비 아님 — 전체 자원 안에서 배정</t>
  </si>
  <si>
    <t xml:space="preserve">현재 정제온도</t>
  </si>
  <si>
    <t xml:space="preserve">℃</t>
  </si>
  <si>
    <t xml:space="preserve">월 비교 기준 일수</t>
  </si>
  <si>
    <r>
      <rPr>
        <sz val="9"/>
        <color rgb="FF000000"/>
        <rFont val="Noto Sans CJK SC"/>
        <family val="2"/>
      </rPr>
      <t xml:space="preserve">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월</t>
    </r>
  </si>
  <si>
    <t xml:space="preserve">정제기 비교</t>
  </si>
  <si>
    <r>
      <rPr>
        <sz val="9"/>
        <color rgb="FF000000"/>
        <rFont val="Noto Sans CJK SC"/>
        <family val="2"/>
      </rPr>
      <t xml:space="preserve">월 비교 기준 시간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</si>
  <si>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</si>
  <si>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Noto Sans CJK SC"/>
        <family val="2"/>
      </rPr>
      <t xml:space="preserve">정제기 전용 — 검사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충진 인력에 자동 적용 안 함</t>
    </r>
  </si>
  <si>
    <t xml:space="preserve">수식</t>
  </si>
  <si>
    <t xml:space="preserve">연간 달력시간</t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</si>
  <si>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년</t>
    </r>
  </si>
  <si>
    <t xml:space="preserve">연간 연속 환산</t>
  </si>
  <si>
    <r>
      <rPr>
        <sz val="9"/>
        <color rgb="FF000000"/>
        <rFont val="Noto Sans CJK SC"/>
        <family val="2"/>
      </rPr>
      <t xml:space="preserve">정지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보수 미반영 상한</t>
    </r>
  </si>
  <si>
    <r>
      <rPr>
        <b val="true"/>
        <sz val="9"/>
        <color rgb="FF000000"/>
        <rFont val="Arial"/>
        <family val="0"/>
        <charset val="1"/>
      </rPr>
      <t xml:space="preserve">B. </t>
    </r>
    <r>
      <rPr>
        <b val="true"/>
        <sz val="9"/>
        <color rgb="FF000000"/>
        <rFont val="Noto Sans CJK SC"/>
        <family val="2"/>
      </rPr>
      <t xml:space="preserve">공정시간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충진 전까지 </t>
    </r>
    <r>
      <rPr>
        <b val="true"/>
        <sz val="9"/>
        <color rgb="FF000000"/>
        <rFont val="Arial"/>
        <family val="0"/>
        <charset val="1"/>
      </rPr>
      <t xml:space="preserve">57 h </t>
    </r>
    <r>
      <rPr>
        <b val="true"/>
        <sz val="9"/>
        <color rgb="FF000000"/>
        <rFont val="Noto Sans CJK SC"/>
        <family val="2"/>
      </rPr>
      <t xml:space="preserve">구성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</si>
  <si>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수입검사 </t>
    </r>
    <r>
      <rPr>
        <sz val="9"/>
        <color rgb="FF000000"/>
        <rFont val="Arial"/>
        <family val="0"/>
        <charset val="1"/>
      </rPr>
      <t xml:space="preserve">IQC</t>
    </r>
  </si>
  <si>
    <t xml:space="preserve">h</t>
  </si>
  <si>
    <r>
      <rPr>
        <sz val="9"/>
        <color rgb="FF000000"/>
        <rFont val="Arial"/>
        <family val="0"/>
        <charset val="1"/>
      </rPr>
      <t xml:space="preserve">57 h</t>
    </r>
    <r>
      <rPr>
        <sz val="9"/>
        <color rgb="FF000000"/>
        <rFont val="Noto Sans CJK SC"/>
        <family val="2"/>
      </rPr>
      <t xml:space="preserve">에 포함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원료 </t>
    </r>
    <r>
      <rPr>
        <sz val="9"/>
        <color rgb="FF000000"/>
        <rFont val="Arial"/>
        <family val="0"/>
        <charset val="1"/>
      </rPr>
      <t xml:space="preserve">Lot </t>
    </r>
    <r>
      <rPr>
        <sz val="9"/>
        <color rgb="FF000000"/>
        <rFont val="Noto Sans CJK SC"/>
        <family val="2"/>
      </rPr>
      <t xml:space="preserve">단위 </t>
    </r>
    <r>
      <rPr>
        <sz val="9"/>
        <color rgb="FF000000"/>
        <rFont val="Arial"/>
        <family val="0"/>
        <charset val="1"/>
      </rPr>
      <t xml:space="preserve">(Batch </t>
    </r>
    <r>
      <rPr>
        <sz val="9"/>
        <color rgb="FF000000"/>
        <rFont val="Noto Sans CJK SC"/>
        <family val="2"/>
      </rPr>
      <t xml:space="preserve">공통 시 중복 배정 금지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</si>
  <si>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사용자가 정한 자료 작성 기준 </t>
    </r>
    <r>
      <rPr>
        <sz val="9"/>
        <color rgb="FF000000"/>
        <rFont val="Arial"/>
        <family val="0"/>
        <charset val="1"/>
      </rPr>
      <t xml:space="preserve">/ 57</t>
    </r>
    <r>
      <rPr>
        <sz val="9"/>
        <color rgb="FF000000"/>
        <rFont val="Noto Sans CJK SC"/>
        <family val="2"/>
      </rPr>
      <t xml:space="preserve">시간에서 기타 공정시간 차감</t>
    </r>
  </si>
  <si>
    <t xml:space="preserve">NMR·ICP·IC</t>
  </si>
  <si>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</t>
    </r>
  </si>
  <si>
    <t xml:space="preserve">h/Batch</t>
  </si>
  <si>
    <r>
      <rPr>
        <sz val="9"/>
        <color rgb="FF000000"/>
        <rFont val="Arial"/>
        <family val="0"/>
        <charset val="1"/>
      </rPr>
      <t xml:space="preserve">57 h</t>
    </r>
    <r>
      <rPr>
        <sz val="9"/>
        <color rgb="FF000000"/>
        <rFont val="Noto Sans CJK SC"/>
        <family val="2"/>
      </rPr>
      <t xml:space="preserve">에 포함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정제기 점유</t>
    </r>
  </si>
  <si>
    <t xml:space="preserve">정제</t>
  </si>
  <si>
    <r>
      <rPr>
        <sz val="9"/>
        <color rgb="FF000000"/>
        <rFont val="Arial"/>
        <family val="0"/>
        <charset val="1"/>
      </rPr>
      <t xml:space="preserve">57 h</t>
    </r>
    <r>
      <rPr>
        <sz val="9"/>
        <color rgb="FF000000"/>
        <rFont val="Noto Sans CJK SC"/>
        <family val="2"/>
      </rPr>
      <t xml:space="preserve">에 포함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이번 자료 정제시간 기준</t>
    </r>
  </si>
  <si>
    <t xml:space="preserve">57 − 2 − 2 − 6 − 2 = 45</t>
  </si>
  <si>
    <r>
      <rPr>
        <sz val="9"/>
        <color rgb="FF000000"/>
        <rFont val="Noto Sans CJK SC"/>
        <family val="2"/>
      </rPr>
      <t xml:space="preserve">공정검사 </t>
    </r>
    <r>
      <rPr>
        <sz val="9"/>
        <color rgb="FF000000"/>
        <rFont val="Arial"/>
        <family val="0"/>
        <charset val="1"/>
      </rPr>
      <t xml:space="preserve">PQC + </t>
    </r>
    <r>
      <rPr>
        <sz val="9"/>
        <color rgb="FF000000"/>
        <rFont val="Noto Sans CJK SC"/>
        <family val="2"/>
      </rPr>
      <t xml:space="preserve">제품 이송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</si>
  <si>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두 공정 합계 — 각각 </t>
    </r>
    <r>
      <rPr>
        <sz val="9"/>
        <color rgb="FF000000"/>
        <rFont val="Arial"/>
        <family val="0"/>
        <charset val="1"/>
      </rPr>
      <t xml:space="preserve">6 h </t>
    </r>
    <r>
      <rPr>
        <sz val="9"/>
        <color rgb="FF000000"/>
        <rFont val="Noto Sans CJK SC"/>
        <family val="2"/>
      </rPr>
      <t xml:space="preserve">적용 금지</t>
    </r>
  </si>
  <si>
    <t xml:space="preserve">그림에서는 구분</t>
  </si>
  <si>
    <r>
      <rPr>
        <sz val="9"/>
        <color rgb="FF000000"/>
        <rFont val="Noto Sans CJK SC"/>
        <family val="2"/>
      </rPr>
      <t xml:space="preserve">제품검사 </t>
    </r>
    <r>
      <rPr>
        <sz val="9"/>
        <color rgb="FF000000"/>
        <rFont val="Arial"/>
        <family val="0"/>
        <charset val="1"/>
      </rPr>
      <t xml:space="preserve">FQC</t>
    </r>
  </si>
  <si>
    <r>
      <rPr>
        <sz val="9"/>
        <color rgb="FF000000"/>
        <rFont val="Arial"/>
        <family val="0"/>
        <charset val="1"/>
      </rPr>
      <t xml:space="preserve">57 h</t>
    </r>
    <r>
      <rPr>
        <sz val="9"/>
        <color rgb="FF000000"/>
        <rFont val="Noto Sans CJK SC"/>
        <family val="2"/>
      </rPr>
      <t xml:space="preserve">에 포함</t>
    </r>
  </si>
  <si>
    <r>
      <rPr>
        <sz val="9"/>
        <color rgb="FF000000"/>
        <rFont val="Noto Sans CJK SC"/>
        <family val="2"/>
      </rPr>
      <t xml:space="preserve">충진 전까지 합계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제공</t>
    </r>
    <r>
      <rPr>
        <sz val="9"/>
        <color rgb="FF000000"/>
        <rFont val="Arial"/>
        <family val="0"/>
        <charset val="1"/>
      </rPr>
      <t xml:space="preserve">)</t>
    </r>
  </si>
  <si>
    <t xml:space="preserve">2+2+45+6+2</t>
  </si>
  <si>
    <r>
      <rPr>
        <sz val="9"/>
        <color rgb="FF000000"/>
        <rFont val="Noto Sans CJK SC"/>
        <family val="2"/>
      </rPr>
      <t xml:space="preserve">충진 전까지 합계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검증 수식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</si>
  <si>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제공값 </t>
    </r>
    <r>
      <rPr>
        <sz val="9"/>
        <color rgb="FF000000"/>
        <rFont val="Arial"/>
        <family val="0"/>
        <charset val="1"/>
      </rPr>
      <t xml:space="preserve">57</t>
    </r>
    <r>
      <rPr>
        <sz val="9"/>
        <color rgb="FF000000"/>
        <rFont val="Noto Sans CJK SC"/>
        <family val="2"/>
      </rPr>
      <t xml:space="preserve">과 일치해야 함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</si>
  <si>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생산팀 대화 중 정제 </t>
    </r>
    <r>
      <rPr>
        <sz val="9"/>
        <color rgb="FF000000"/>
        <rFont val="Arial"/>
        <family val="0"/>
        <charset val="1"/>
      </rPr>
      <t xml:space="preserve">49 h </t>
    </r>
    <r>
      <rPr>
        <sz val="9"/>
        <color rgb="FF000000"/>
        <rFont val="Noto Sans CJK SC"/>
        <family val="2"/>
      </rPr>
      <t xml:space="preserve">언급</t>
    </r>
  </si>
  <si>
    <t xml:space="preserve">이번 자료 미적용</t>
  </si>
  <si>
    <t xml:space="preserve">구두 언급</t>
  </si>
  <si>
    <r>
      <rPr>
        <sz val="9"/>
        <color rgb="FF000000"/>
        <rFont val="Noto Sans CJK SC"/>
        <family val="2"/>
      </rPr>
      <t xml:space="preserve">생산팀 면담 구두 언급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미검증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</si>
  <si>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45 h </t>
    </r>
    <r>
      <rPr>
        <sz val="9"/>
        <color rgb="FF000000"/>
        <rFont val="Noto Sans CJK SC"/>
        <family val="2"/>
      </rPr>
      <t xml:space="preserve">기준 적용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사용자 결정</t>
    </r>
    <r>
      <rPr>
        <sz val="9"/>
        <color rgb="FF000000"/>
        <rFont val="Arial"/>
        <family val="0"/>
        <charset val="1"/>
      </rPr>
      <t xml:space="preserve">)</t>
    </r>
  </si>
  <si>
    <t xml:space="preserve">제품 이송 중 정제기 점유시간</t>
  </si>
  <si>
    <r>
      <rPr>
        <sz val="9"/>
        <color rgb="FF000000"/>
        <rFont val="Arial"/>
        <family val="0"/>
        <charset val="1"/>
      </rPr>
      <t xml:space="preserve">PQC·</t>
    </r>
    <r>
      <rPr>
        <sz val="9"/>
        <color rgb="FF000000"/>
        <rFont val="Noto Sans CJK SC"/>
        <family val="2"/>
      </rPr>
      <t xml:space="preserve">이송 </t>
    </r>
    <r>
      <rPr>
        <sz val="9"/>
        <color rgb="FF000000"/>
        <rFont val="Arial"/>
        <family val="0"/>
        <charset val="1"/>
      </rPr>
      <t xml:space="preserve">6 h </t>
    </r>
    <r>
      <rPr>
        <sz val="9"/>
        <color rgb="FF000000"/>
        <rFont val="Noto Sans CJK SC"/>
        <family val="2"/>
      </rPr>
      <t xml:space="preserve">중 정제기 점유분</t>
    </r>
  </si>
  <si>
    <t xml:space="preserve">미확인</t>
  </si>
  <si>
    <t xml:space="preserve">-</t>
  </si>
  <si>
    <r>
      <rPr>
        <sz val="9"/>
        <color rgb="FF000000"/>
        <rFont val="Noto Sans CJK SC"/>
        <family val="2"/>
      </rPr>
      <t xml:space="preserve">미입력 시 점유 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준비 </t>
    </r>
    <r>
      <rPr>
        <sz val="9"/>
        <color rgb="FF000000"/>
        <rFont val="Arial"/>
        <family val="0"/>
        <charset val="1"/>
      </rPr>
      <t xml:space="preserve">2 + </t>
    </r>
    <r>
      <rPr>
        <sz val="9"/>
        <color rgb="FF000000"/>
        <rFont val="Noto Sans CJK SC"/>
        <family val="2"/>
      </rPr>
      <t xml:space="preserve">정제 </t>
    </r>
    <r>
      <rPr>
        <sz val="9"/>
        <color rgb="FF000000"/>
        <rFont val="Arial"/>
        <family val="0"/>
        <charset val="1"/>
      </rPr>
      <t xml:space="preserve">45 (</t>
    </r>
    <r>
      <rPr>
        <sz val="9"/>
        <color rgb="FF000000"/>
        <rFont val="Noto Sans CJK SC"/>
        <family val="2"/>
      </rPr>
      <t xml:space="preserve">하한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</si>
  <si>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검사 대기시간 </t>
    </r>
    <r>
      <rPr>
        <sz val="9"/>
        <color rgb="FF000000"/>
        <rFont val="Arial"/>
        <family val="0"/>
        <charset val="1"/>
      </rPr>
      <t xml:space="preserve">(FQC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</t>
    </r>
  </si>
  <si>
    <t xml:space="preserve">작업시간과 구분</t>
  </si>
  <si>
    <r>
      <rPr>
        <sz val="9"/>
        <color rgb="FF000000"/>
        <rFont val="Noto Sans CJK SC"/>
        <family val="2"/>
      </rPr>
      <t xml:space="preserve">세척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전환</t>
    </r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</si>
  <si>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회</t>
    </r>
  </si>
  <si>
    <r>
      <rPr>
        <sz val="9"/>
        <color rgb="FF000000"/>
        <rFont val="Noto Sans CJK SC"/>
        <family val="2"/>
      </rPr>
      <t xml:space="preserve">보수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정지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정제기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</si>
  <si>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월별 입력은 </t>
    </r>
    <r>
      <rPr>
        <sz val="9"/>
        <color rgb="FF000000"/>
        <rFont val="Arial"/>
        <family val="0"/>
        <charset val="1"/>
      </rPr>
      <t xml:space="preserve">04 </t>
    </r>
    <r>
      <rPr>
        <sz val="9"/>
        <color rgb="FF000000"/>
        <rFont val="Noto Sans CJK SC"/>
        <family val="2"/>
      </rPr>
      <t xml:space="preserve">시트 </t>
    </r>
    <r>
      <rPr>
        <sz val="9"/>
        <color rgb="FF000000"/>
        <rFont val="Arial"/>
        <family val="0"/>
        <charset val="1"/>
      </rPr>
      <t xml:space="preserve">F</t>
    </r>
    <r>
      <rPr>
        <sz val="9"/>
        <color rgb="FF000000"/>
        <rFont val="Noto Sans CJK SC"/>
        <family val="2"/>
      </rPr>
      <t xml:space="preserve">열</t>
    </r>
  </si>
  <si>
    <r>
      <rPr>
        <sz val="9"/>
        <color rgb="FF000000"/>
        <rFont val="Arial"/>
        <family val="0"/>
        <charset val="1"/>
      </rPr>
      <t xml:space="preserve">Mix·</t>
    </r>
    <r>
      <rPr>
        <sz val="9"/>
        <color rgb="FF000000"/>
        <rFont val="Noto Sans CJK SC"/>
        <family val="2"/>
      </rPr>
      <t xml:space="preserve">리사이클 준비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설비시간 사용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</si>
  <si>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To-be 2</t>
    </r>
    <r>
      <rPr>
        <sz val="9"/>
        <color rgb="FF000000"/>
        <rFont val="Noto Sans CJK SC"/>
        <family val="2"/>
      </rPr>
      <t xml:space="preserve">대 운전 시 보조 작업</t>
    </r>
  </si>
  <si>
    <r>
      <rPr>
        <sz val="9"/>
        <color rgb="FF000000"/>
        <rFont val="Arial"/>
        <family val="0"/>
        <charset val="1"/>
      </rPr>
      <t xml:space="preserve">52.4</t>
    </r>
    <r>
      <rPr>
        <sz val="9"/>
        <color rgb="FF000000"/>
        <rFont val="Noto Sans CJK SC"/>
        <family val="2"/>
      </rPr>
      <t xml:space="preserve">톤과 </t>
    </r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 차이 요인 후보 — 확정 손실 아님</t>
    </r>
  </si>
  <si>
    <r>
      <rPr>
        <b val="true"/>
        <sz val="9"/>
        <color rgb="FF000000"/>
        <rFont val="Arial"/>
        <family val="0"/>
        <charset val="1"/>
      </rPr>
      <t xml:space="preserve">C. </t>
    </r>
    <r>
      <rPr>
        <b val="true"/>
        <sz val="9"/>
        <color rgb="FF000000"/>
        <rFont val="Noto Sans CJK SC"/>
        <family val="2"/>
      </rPr>
      <t xml:space="preserve">충진 </t>
    </r>
    <r>
      <rPr>
        <b val="true"/>
        <sz val="9"/>
        <color rgb="FF000000"/>
        <rFont val="Arial"/>
        <family val="0"/>
        <charset val="1"/>
      </rPr>
      <t xml:space="preserve">· OQC (</t>
    </r>
    <r>
      <rPr>
        <b val="true"/>
        <sz val="9"/>
        <color rgb="FF000000"/>
        <rFont val="Noto Sans CJK SC"/>
        <family val="2"/>
      </rPr>
      <t xml:space="preserve">필터는 충진에 포함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</si>
  <si>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글로브 박스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</si>
  <si>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병</t>
    </r>
  </si>
  <si>
    <r>
      <rPr>
        <sz val="9"/>
        <color rgb="FF000000"/>
        <rFont val="Noto Sans CJK SC"/>
        <family val="2"/>
      </rPr>
      <t xml:space="preserve">하이닉스</t>
    </r>
    <r>
      <rPr>
        <sz val="9"/>
        <color rgb="FF000000"/>
        <rFont val="Arial"/>
        <family val="0"/>
        <charset val="1"/>
      </rPr>
      <t xml:space="preserve">·CXMT 20 kg/</t>
    </r>
    <r>
      <rPr>
        <sz val="9"/>
        <color rgb="FF000000"/>
        <rFont val="Noto Sans CJK SC"/>
        <family val="2"/>
      </rPr>
      <t xml:space="preserve">병</t>
    </r>
  </si>
  <si>
    <r>
      <rPr>
        <sz val="9"/>
        <color rgb="FF000000"/>
        <rFont val="Noto Sans CJK SC"/>
        <family val="2"/>
      </rPr>
      <t xml:space="preserve">근거 없이 </t>
    </r>
    <r>
      <rPr>
        <sz val="9"/>
        <color rgb="FF000000"/>
        <rFont val="Arial"/>
        <family val="0"/>
        <charset val="1"/>
      </rPr>
      <t xml:space="preserve">1 h</t>
    </r>
    <r>
      <rPr>
        <sz val="9"/>
        <color rgb="FF000000"/>
        <rFont val="Noto Sans CJK SC"/>
        <family val="2"/>
      </rPr>
      <t xml:space="preserve">로 변경 금지</t>
    </r>
  </si>
  <si>
    <r>
      <rPr>
        <sz val="9"/>
        <color rgb="FF000000"/>
        <rFont val="Noto Sans CJK SC"/>
        <family val="2"/>
      </rPr>
      <t xml:space="preserve">한 </t>
    </r>
    <r>
      <rPr>
        <sz val="9"/>
        <color rgb="FF000000"/>
        <rFont val="Arial"/>
        <family val="0"/>
        <charset val="1"/>
      </rPr>
      <t xml:space="preserve">Batch 5 Gal </t>
    </r>
    <r>
      <rPr>
        <sz val="9"/>
        <color rgb="FF000000"/>
        <rFont val="Noto Sans CJK SC"/>
        <family val="2"/>
      </rPr>
      <t xml:space="preserve">충진 병수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</si>
  <si>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병</t>
    </r>
    <r>
      <rPr>
        <sz val="9"/>
        <color rgb="FF000000"/>
        <rFont val="Arial"/>
        <family val="0"/>
        <charset val="1"/>
      </rPr>
      <t xml:space="preserve">/Batch</t>
    </r>
  </si>
  <si>
    <r>
      <rPr>
        <sz val="9"/>
        <color rgb="FF000000"/>
        <rFont val="Noto Sans CJK SC"/>
        <family val="2"/>
      </rPr>
      <t xml:space="preserve">약 </t>
    </r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병</t>
    </r>
  </si>
  <si>
    <t xml:space="preserve">9 × 20 = 180 kg</t>
  </si>
  <si>
    <r>
      <rPr>
        <sz val="9"/>
        <color rgb="FF000000"/>
        <rFont val="Noto Sans CJK SC"/>
        <family val="2"/>
      </rPr>
      <t xml:space="preserve">한 </t>
    </r>
    <r>
      <rPr>
        <sz val="9"/>
        <color rgb="FF000000"/>
        <rFont val="Arial"/>
        <family val="0"/>
        <charset val="1"/>
      </rPr>
      <t xml:space="preserve">Batch 5 Gal </t>
    </r>
    <r>
      <rPr>
        <sz val="9"/>
        <color rgb="FF000000"/>
        <rFont val="Noto Sans CJK SC"/>
        <family val="2"/>
      </rPr>
      <t xml:space="preserve">충진시간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</si>
  <si>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약 </t>
    </r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병 기준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</si>
  <si>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정합 확인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병수</t>
    </r>
    <r>
      <rPr>
        <sz val="9"/>
        <color rgb="FF000000"/>
        <rFont val="Arial"/>
        <family val="0"/>
        <charset val="1"/>
      </rPr>
      <t xml:space="preserve">×</t>
    </r>
    <r>
      <rPr>
        <sz val="9"/>
        <color rgb="FF000000"/>
        <rFont val="Noto Sans CJK SC"/>
        <family val="2"/>
      </rPr>
      <t xml:space="preserve">병당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</si>
  <si>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18 h</t>
    </r>
    <r>
      <rPr>
        <sz val="9"/>
        <color rgb="FF000000"/>
        <rFont val="Noto Sans CJK SC"/>
        <family val="2"/>
      </rPr>
      <t xml:space="preserve">와 일치</t>
    </r>
  </si>
  <si>
    <r>
      <rPr>
        <sz val="9"/>
        <color rgb="FF000000"/>
        <rFont val="Arial"/>
        <family val="0"/>
        <charset val="1"/>
      </rPr>
      <t xml:space="preserve">5 Gal OQC·</t>
    </r>
    <r>
      <rPr>
        <sz val="9"/>
        <color rgb="FF000000"/>
        <rFont val="Noto Sans CJK SC"/>
        <family val="2"/>
      </rPr>
      <t xml:space="preserve">출하 작업</t>
    </r>
  </si>
  <si>
    <r>
      <rPr>
        <sz val="9"/>
        <color rgb="FF000000"/>
        <rFont val="Arial"/>
        <family val="0"/>
        <charset val="1"/>
      </rPr>
      <t xml:space="preserve">h/9</t>
    </r>
    <r>
      <rPr>
        <sz val="9"/>
        <color rgb="FF000000"/>
        <rFont val="Noto Sans CJK SC"/>
        <family val="2"/>
      </rPr>
      <t xml:space="preserve">병</t>
    </r>
  </si>
  <si>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병 합계 </t>
    </r>
    <r>
      <rPr>
        <sz val="9"/>
        <color rgb="FF000000"/>
        <rFont val="Arial"/>
        <family val="0"/>
        <charset val="1"/>
      </rPr>
      <t xml:space="preserve">2 h</t>
    </r>
  </si>
  <si>
    <t xml:space="preserve">물류 운송시간 별도</t>
  </si>
  <si>
    <r>
      <rPr>
        <sz val="9"/>
        <color rgb="FF000000"/>
        <rFont val="Arial"/>
        <family val="0"/>
        <charset val="1"/>
      </rPr>
      <t xml:space="preserve">200 L OQC·</t>
    </r>
    <r>
      <rPr>
        <sz val="9"/>
        <color rgb="FF000000"/>
        <rFont val="Noto Sans CJK SC"/>
        <family val="2"/>
      </rPr>
      <t xml:space="preserve">출하 작업</t>
    </r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</si>
  <si>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용기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</si>
  <si>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용기 </t>
    </r>
    <r>
      <rPr>
        <sz val="9"/>
        <color rgb="FF000000"/>
        <rFont val="Arial"/>
        <family val="0"/>
        <charset val="1"/>
      </rPr>
      <t xml:space="preserve">2 h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</si>
  <si>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수동 충진</t>
    </r>
  </si>
  <si>
    <t xml:space="preserve">현재 수동</t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</si>
  <si>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수동 충진</t>
    </r>
  </si>
  <si>
    <t xml:space="preserve">'27.1~6</t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</si>
  <si>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8 h</t>
    </r>
    <r>
      <rPr>
        <sz val="9"/>
        <color rgb="FF000000"/>
        <rFont val="Noto Sans CJK SC"/>
        <family val="2"/>
      </rPr>
      <t xml:space="preserve">를 확정값으로 복제하지 않음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</si>
  <si>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</si>
  <si>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전환 후</t>
    </r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</si>
  <si>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충진</t>
    </r>
  </si>
  <si>
    <t xml:space="preserve">'27.7~</t>
  </si>
  <si>
    <r>
      <rPr>
        <sz val="9"/>
        <color rgb="FF000000"/>
        <rFont val="Noto Sans CJK SC"/>
        <family val="2"/>
      </rPr>
      <t xml:space="preserve">공통 시간 적용 가정 </t>
    </r>
    <r>
      <rPr>
        <sz val="9"/>
        <color rgb="FF000000"/>
        <rFont val="Arial"/>
        <family val="0"/>
        <charset val="1"/>
      </rPr>
      <t xml:space="preserve">(200 L </t>
    </r>
    <r>
      <rPr>
        <sz val="9"/>
        <color rgb="FF000000"/>
        <rFont val="Noto Sans CJK SC"/>
        <family val="2"/>
      </rPr>
      <t xml:space="preserve">비교용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</si>
  <si>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미확인 고객에 이지켐 수동 </t>
    </r>
    <r>
      <rPr>
        <sz val="9"/>
        <color rgb="FF000000"/>
        <rFont val="Arial"/>
        <family val="0"/>
        <charset val="1"/>
      </rPr>
      <t xml:space="preserve">8 h </t>
    </r>
    <r>
      <rPr>
        <sz val="9"/>
        <color rgb="FF000000"/>
        <rFont val="Noto Sans CJK SC"/>
        <family val="2"/>
      </rPr>
      <t xml:space="preserve">공통 적용 시 비교</t>
    </r>
  </si>
  <si>
    <t xml:space="preserve">가정</t>
  </si>
  <si>
    <t xml:space="preserve">비교용 가정</t>
  </si>
  <si>
    <t xml:space="preserve">확정값 아님 — 별도 열에만 사용</t>
  </si>
  <si>
    <r>
      <rPr>
        <sz val="9"/>
        <color rgb="FF000000"/>
        <rFont val="Noto Sans CJK SC"/>
        <family val="2"/>
      </rPr>
      <t xml:space="preserve">근무일 환산 기준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일 근무시간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</si>
  <si>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h/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</si>
  <si>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18 h ÷ 8 h = 2.25 </t>
    </r>
    <r>
      <rPr>
        <sz val="9"/>
        <color rgb="FF000000"/>
        <rFont val="Noto Sans CJK SC"/>
        <family val="2"/>
      </rPr>
      <t xml:space="preserve">근무일</t>
    </r>
  </si>
  <si>
    <r>
      <rPr>
        <sz val="9"/>
        <color rgb="FF000000"/>
        <rFont val="Noto Sans CJK SC"/>
        <family val="2"/>
      </rPr>
      <t xml:space="preserve">현장</t>
    </r>
    <r>
      <rPr>
        <sz val="9"/>
        <color rgb="FF000000"/>
        <rFont val="Arial"/>
        <family val="0"/>
        <charset val="1"/>
      </rPr>
      <t xml:space="preserve">: 5 Gal </t>
    </r>
    <r>
      <rPr>
        <sz val="9"/>
        <color rgb="FF000000"/>
        <rFont val="Noto Sans CJK SC"/>
        <family val="2"/>
      </rPr>
      <t xml:space="preserve">충진 약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일 소요 설명</t>
    </r>
  </si>
  <si>
    <r>
      <rPr>
        <sz val="9"/>
        <color rgb="FF000000"/>
        <rFont val="Noto Sans CJK SC"/>
        <family val="2"/>
      </rPr>
      <t xml:space="preserve">충진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목표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개선 필요사항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</si>
  <si>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FF"/>
        <rFont val="Arial"/>
        <family val="0"/>
        <charset val="1"/>
      </rPr>
      <t xml:space="preserve">1~1.5</t>
    </r>
    <r>
      <rPr>
        <sz val="9"/>
        <color rgb="FF0000FF"/>
        <rFont val="Noto Sans CJK SC"/>
        <family val="2"/>
      </rPr>
      <t xml:space="preserve">일</t>
    </r>
  </si>
  <si>
    <t xml:space="preserve">일</t>
  </si>
  <si>
    <t xml:space="preserve">미달성 — 개선 과제</t>
  </si>
  <si>
    <t xml:space="preserve">계획</t>
  </si>
  <si>
    <r>
      <rPr>
        <sz val="9"/>
        <color rgb="FF000000"/>
        <rFont val="Noto Sans CJK SC"/>
        <family val="2"/>
      </rPr>
      <t xml:space="preserve">병당 </t>
    </r>
    <r>
      <rPr>
        <sz val="9"/>
        <color rgb="FF000000"/>
        <rFont val="Arial"/>
        <family val="0"/>
        <charset val="1"/>
      </rPr>
      <t xml:space="preserve">2 h </t>
    </r>
    <r>
      <rPr>
        <sz val="9"/>
        <color rgb="FF000000"/>
        <rFont val="Noto Sans CJK SC"/>
        <family val="2"/>
      </rPr>
      <t xml:space="preserve">변경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달성 실적으로 표시하지 않음</t>
    </r>
  </si>
  <si>
    <r>
      <rPr>
        <b val="true"/>
        <sz val="9"/>
        <color rgb="FF000000"/>
        <rFont val="Arial"/>
        <family val="0"/>
        <charset val="1"/>
      </rPr>
      <t xml:space="preserve">D. </t>
    </r>
    <r>
      <rPr>
        <b val="true"/>
        <sz val="9"/>
        <color rgb="FF000000"/>
        <rFont val="Noto Sans CJK SC"/>
        <family val="2"/>
      </rPr>
      <t xml:space="preserve">고객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용기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충진 방식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</si>
  <si>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하이닉스</t>
    </r>
    <r>
      <rPr>
        <sz val="9"/>
        <color rgb="FF000000"/>
        <rFont val="Arial"/>
        <family val="0"/>
        <charset val="1"/>
      </rPr>
      <t xml:space="preserve">·CXMT)</t>
    </r>
  </si>
  <si>
    <r>
      <rPr>
        <sz val="9"/>
        <color rgb="FF000000"/>
        <rFont val="Arial"/>
        <family val="0"/>
        <charset val="1"/>
      </rPr>
      <t xml:space="preserve">kg/</t>
    </r>
    <r>
      <rPr>
        <sz val="9"/>
        <color rgb="FF000000"/>
        <rFont val="Noto Sans CJK SC"/>
        <family val="2"/>
      </rPr>
      <t xml:space="preserve">병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</si>
  <si>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약 </t>
    </r>
    <r>
      <rPr>
        <sz val="9"/>
        <color rgb="FF000000"/>
        <rFont val="Arial"/>
        <family val="0"/>
        <charset val="1"/>
      </rPr>
      <t xml:space="preserve">19 L · </t>
    </r>
    <r>
      <rPr>
        <sz val="9"/>
        <color rgb="FF000000"/>
        <rFont val="Noto Sans CJK SC"/>
        <family val="2"/>
      </rPr>
      <t xml:space="preserve">글로브 박스 유지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</si>
  <si>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충진량</t>
    </r>
  </si>
  <si>
    <r>
      <rPr>
        <sz val="9"/>
        <color rgb="FF000000"/>
        <rFont val="Arial"/>
        <family val="0"/>
        <charset val="1"/>
      </rPr>
      <t xml:space="preserve">kg/</t>
    </r>
    <r>
      <rPr>
        <sz val="9"/>
        <color rgb="FF000000"/>
        <rFont val="Noto Sans CJK SC"/>
        <family val="2"/>
      </rPr>
      <t xml:space="preserve">용기</t>
    </r>
  </si>
  <si>
    <r>
      <rPr>
        <sz val="9"/>
        <color rgb="FF000000"/>
        <rFont val="Noto Sans CJK SC"/>
        <family val="2"/>
      </rPr>
      <t xml:space="preserve">현재 수동 → 향후 </t>
    </r>
    <r>
      <rPr>
        <sz val="9"/>
        <color rgb="FF000000"/>
        <rFont val="Arial"/>
        <family val="0"/>
        <charset val="1"/>
      </rPr>
      <t xml:space="preserve">ARS</t>
    </r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</si>
  <si>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충진량</t>
    </r>
  </si>
  <si>
    <r>
      <rPr>
        <sz val="9"/>
        <color rgb="FF000000"/>
        <rFont val="Arial"/>
        <family val="0"/>
        <charset val="1"/>
      </rPr>
      <t xml:space="preserve">'27.1~6 </t>
    </r>
    <r>
      <rPr>
        <sz val="9"/>
        <color rgb="FF000000"/>
        <rFont val="Noto Sans CJK SC"/>
        <family val="2"/>
      </rPr>
      <t xml:space="preserve">수동 </t>
    </r>
    <r>
      <rPr>
        <sz val="9"/>
        <color rgb="FF000000"/>
        <rFont val="Arial"/>
        <family val="0"/>
        <charset val="1"/>
      </rPr>
      <t xml:space="preserve">/ '27.7~ ARS</t>
    </r>
  </si>
  <si>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설치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기존 계획</t>
    </r>
    <r>
      <rPr>
        <sz val="9"/>
        <color rgb="FF000000"/>
        <rFont val="Arial"/>
        <family val="0"/>
        <charset val="1"/>
      </rPr>
      <t xml:space="preserve">)</t>
    </r>
  </si>
  <si>
    <t xml:space="preserve">날짜</t>
  </si>
  <si>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전용 </t>
    </r>
    <r>
      <rPr>
        <sz val="9"/>
        <color rgb="FF000000"/>
        <rFont val="Arial"/>
        <family val="0"/>
        <charset val="1"/>
      </rPr>
      <t xml:space="preserve">· 5 Gal </t>
    </r>
    <r>
      <rPr>
        <sz val="9"/>
        <color rgb="FF000000"/>
        <rFont val="Noto Sans CJK SC"/>
        <family val="2"/>
      </rPr>
      <t xml:space="preserve">미적용</t>
    </r>
  </si>
  <si>
    <r>
      <rPr>
        <sz val="9"/>
        <color rgb="FF000000"/>
        <rFont val="Noto Sans CJK SC"/>
        <family val="2"/>
      </rPr>
      <t xml:space="preserve">기존 자료 </t>
    </r>
    <r>
      <rPr>
        <sz val="9"/>
        <color rgb="FF000000"/>
        <rFont val="Arial"/>
        <family val="0"/>
        <charset val="1"/>
      </rPr>
      <t xml:space="preserve">('26 </t>
    </r>
    <r>
      <rPr>
        <sz val="9"/>
        <color rgb="FF000000"/>
        <rFont val="Noto Sans CJK SC"/>
        <family val="2"/>
      </rPr>
      <t xml:space="preserve">설치 → </t>
    </r>
    <r>
      <rPr>
        <sz val="9"/>
        <color rgb="FF000000"/>
        <rFont val="Arial"/>
        <family val="0"/>
        <charset val="1"/>
      </rPr>
      <t xml:space="preserve">'27 </t>
    </r>
    <r>
      <rPr>
        <sz val="9"/>
        <color rgb="FF000000"/>
        <rFont val="Noto Sans CJK SC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</si>
  <si>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설치일 미확정 — </t>
    </r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년 내</t>
    </r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</si>
  <si>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적용 시작</t>
    </r>
  </si>
  <si>
    <t xml:space="preserve">한솔</t>
  </si>
  <si>
    <r>
      <rPr>
        <sz val="9"/>
        <color rgb="FF000000"/>
        <rFont val="Arial"/>
        <family val="0"/>
        <charset val="1"/>
      </rPr>
      <t xml:space="preserve">2028</t>
    </r>
    <r>
      <rPr>
        <sz val="9"/>
        <color rgb="FF000000"/>
        <rFont val="Noto Sans CJK SC"/>
        <family val="2"/>
      </rPr>
      <t xml:space="preserve">년 전월 </t>
    </r>
    <r>
      <rPr>
        <sz val="9"/>
        <color rgb="FF000000"/>
        <rFont val="Arial"/>
        <family val="0"/>
        <charset val="1"/>
      </rPr>
      <t xml:space="preserve">ARS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</si>
  <si>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전환 월</t>
    </r>
  </si>
  <si>
    <t xml:space="preserve">이지켐</t>
  </si>
  <si>
    <r>
      <rPr>
        <sz val="9"/>
        <color rgb="FF000000"/>
        <rFont val="Noto Sans CJK SC"/>
        <family val="2"/>
      </rPr>
      <t xml:space="preserve">첨부 </t>
    </r>
    <r>
      <rPr>
        <sz val="9"/>
        <color rgb="FF000000"/>
        <rFont val="Arial"/>
        <family val="0"/>
        <charset val="1"/>
      </rPr>
      <t xml:space="preserve">PPT 2</t>
    </r>
    <r>
      <rPr>
        <sz val="9"/>
        <color rgb="FF000000"/>
        <rFont val="Noto Sans CJK SC"/>
        <family val="2"/>
      </rPr>
      <t xml:space="preserve">장 </t>
    </r>
    <r>
      <rPr>
        <sz val="9"/>
        <color rgb="FF000000"/>
        <rFont val="Arial"/>
        <family val="0"/>
        <charset val="1"/>
      </rPr>
      <t xml:space="preserve">'ARS 200 L </t>
    </r>
    <r>
      <rPr>
        <sz val="9"/>
        <color rgb="FF000000"/>
        <rFont val="Noto Sans CJK SC"/>
        <family val="2"/>
      </rPr>
      <t xml:space="preserve">운영 계획 </t>
    </r>
    <r>
      <rPr>
        <sz val="9"/>
        <color rgb="FF000000"/>
        <rFont val="Arial"/>
        <family val="0"/>
        <charset val="1"/>
      </rPr>
      <t xml:space="preserve">('26 </t>
    </r>
    <r>
      <rPr>
        <sz val="9"/>
        <color rgb="FF000000"/>
        <rFont val="Noto Sans CJK SC"/>
        <family val="2"/>
      </rPr>
      <t xml:space="preserve">설치 → </t>
    </r>
    <r>
      <rPr>
        <sz val="9"/>
        <color rgb="FF000000"/>
        <rFont val="Arial"/>
        <family val="0"/>
        <charset val="1"/>
      </rPr>
      <t xml:space="preserve">'27~)'</t>
    </r>
  </si>
  <si>
    <r>
      <rPr>
        <sz val="9"/>
        <color rgb="FF000000"/>
        <rFont val="Noto Sans CJK SC"/>
        <family val="2"/>
      </rPr>
      <t xml:space="preserve">근거는 </t>
    </r>
    <r>
      <rPr>
        <sz val="9"/>
        <color rgb="FF000000"/>
        <rFont val="Arial"/>
        <family val="0"/>
        <charset val="1"/>
      </rPr>
      <t xml:space="preserve">'27~ </t>
    </r>
    <r>
      <rPr>
        <sz val="9"/>
        <color rgb="FF000000"/>
        <rFont val="Noto Sans CJK SC"/>
        <family val="2"/>
      </rPr>
      <t xml:space="preserve">운영 계획뿐 — 전환 월 미확정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확인 필요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7</t>
    </r>
    <r>
      <rPr>
        <sz val="9"/>
        <color rgb="FF000000"/>
        <rFont val="Noto Sans CJK SC"/>
        <family val="2"/>
      </rPr>
      <t xml:space="preserve">월 전환 자동 적용 안 함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</si>
  <si>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E. </t>
    </r>
    <r>
      <rPr>
        <b val="true"/>
        <sz val="9"/>
        <color rgb="FF000000"/>
        <rFont val="Noto Sans CJK SC"/>
        <family val="2"/>
      </rPr>
      <t xml:space="preserve">생산량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수율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잔량</t>
    </r>
  </si>
  <si>
    <r>
      <rPr>
        <sz val="9"/>
        <color rgb="FF000000"/>
        <rFont val="Arial"/>
        <family val="0"/>
        <charset val="1"/>
      </rPr>
      <t xml:space="preserve">Batch</t>
    </r>
    <r>
      <rPr>
        <sz val="9"/>
        <color rgb="FF000000"/>
        <rFont val="Noto Sans CJK SC"/>
        <family val="2"/>
      </rPr>
      <t xml:space="preserve">당 생산량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환산 기준</t>
    </r>
    <r>
      <rPr>
        <sz val="9"/>
        <color rgb="FF000000"/>
        <rFont val="Arial"/>
        <family val="0"/>
        <charset val="1"/>
      </rPr>
      <t xml:space="preserve">)</t>
    </r>
  </si>
  <si>
    <t xml:space="preserve">kg/Batch</t>
  </si>
  <si>
    <t xml:space="preserve">기본 환산 기준</t>
  </si>
  <si>
    <t xml:space="preserve">구두 수치로 임의 변경 금지</t>
  </si>
  <si>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병 충진량</t>
    </r>
  </si>
  <si>
    <t xml:space="preserve">kg</t>
  </si>
  <si>
    <t xml:space="preserve">9 × 20</t>
  </si>
  <si>
    <r>
      <rPr>
        <sz val="9"/>
        <color rgb="FF000000"/>
        <rFont val="Arial"/>
        <family val="0"/>
        <charset val="1"/>
      </rPr>
      <t xml:space="preserve">190 kg − 9</t>
    </r>
    <r>
      <rPr>
        <sz val="9"/>
        <color rgb="FF000000"/>
        <rFont val="Noto Sans CJK SC"/>
        <family val="2"/>
      </rPr>
      <t xml:space="preserve">병 차이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잔량 후보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</si>
  <si>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잔량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추가 충진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재고 처리 확인</t>
    </r>
  </si>
  <si>
    <t xml:space="preserve">자동 손실 처리 금지</t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</si>
  <si>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Crude </t>
    </r>
    <r>
      <rPr>
        <sz val="9"/>
        <color rgb="FF000000"/>
        <rFont val="Noto Sans CJK SC"/>
        <family val="2"/>
      </rPr>
      <t xml:space="preserve">투입량</t>
    </r>
  </si>
  <si>
    <t xml:space="preserve">약</t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</si>
  <si>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순수 회수율 하한</t>
    </r>
  </si>
  <si>
    <t xml:space="preserve">%</t>
  </si>
  <si>
    <r>
      <rPr>
        <sz val="9"/>
        <color rgb="FF000000"/>
        <rFont val="Noto Sans CJK SC"/>
        <family val="2"/>
      </rPr>
      <t xml:space="preserve">약 </t>
    </r>
    <r>
      <rPr>
        <sz val="9"/>
        <color rgb="FF000000"/>
        <rFont val="Arial"/>
        <family val="0"/>
        <charset val="1"/>
      </rPr>
      <t xml:space="preserve">75~80%</t>
    </r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</si>
  <si>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순수 회수율 상한</t>
    </r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</si>
  <si>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조건별 </t>
    </r>
    <r>
      <rPr>
        <sz val="9"/>
        <color rgb="FF000000"/>
        <rFont val="Arial"/>
        <family val="0"/>
        <charset val="1"/>
      </rPr>
      <t xml:space="preserve">Batch</t>
    </r>
    <r>
      <rPr>
        <sz val="9"/>
        <color rgb="FF000000"/>
        <rFont val="Noto Sans CJK SC"/>
        <family val="2"/>
      </rPr>
      <t xml:space="preserve">량 언급</t>
    </r>
  </si>
  <si>
    <r>
      <rPr>
        <sz val="9"/>
        <color rgb="FF0000FF"/>
        <rFont val="Arial"/>
        <family val="0"/>
        <charset val="1"/>
      </rPr>
      <t xml:space="preserve">160~170 / </t>
    </r>
    <r>
      <rPr>
        <sz val="9"/>
        <color rgb="FF0000FF"/>
        <rFont val="Noto Sans CJK SC"/>
        <family val="2"/>
      </rPr>
      <t xml:space="preserve">약 </t>
    </r>
    <r>
      <rPr>
        <sz val="9"/>
        <color rgb="FF0000FF"/>
        <rFont val="Arial"/>
        <family val="0"/>
        <charset val="1"/>
      </rPr>
      <t xml:space="preserve">220 / </t>
    </r>
    <r>
      <rPr>
        <sz val="9"/>
        <color rgb="FF0000FF"/>
        <rFont val="Noto Sans CJK SC"/>
        <family val="2"/>
      </rPr>
      <t xml:space="preserve">평균 </t>
    </r>
    <r>
      <rPr>
        <sz val="9"/>
        <color rgb="FF0000FF"/>
        <rFont val="Arial"/>
        <family val="0"/>
        <charset val="1"/>
      </rPr>
      <t xml:space="preserve">195~200 (197)</t>
    </r>
  </si>
  <si>
    <r>
      <rPr>
        <sz val="9"/>
        <color rgb="FF000000"/>
        <rFont val="Noto Sans CJK SC"/>
        <family val="2"/>
      </rPr>
      <t xml:space="preserve">리사이클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추가 투입으로 보충</t>
    </r>
  </si>
  <si>
    <t xml:space="preserve">하나의 확정값으로 통합 안 함</t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</si>
  <si>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135 kg · 120 kg </t>
    </r>
    <r>
      <rPr>
        <sz val="9"/>
        <color rgb="FF000000"/>
        <rFont val="Noto Sans CJK SC"/>
        <family val="2"/>
      </rPr>
      <t xml:space="preserve">사례</t>
    </r>
  </si>
  <si>
    <t xml:space="preserve">135 / 120</t>
  </si>
  <si>
    <t xml:space="preserve">집계 범위 다름</t>
  </si>
  <si>
    <r>
      <rPr>
        <sz val="9"/>
        <color rgb="FF000000"/>
        <rFont val="Noto Sans CJK SC"/>
        <family val="2"/>
      </rPr>
      <t xml:space="preserve">구두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이지켐향 추가 투입 제한</t>
    </r>
  </si>
  <si>
    <t xml:space="preserve">색도 관리로 추가 투입 제한</t>
  </si>
  <si>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순도 기준 없음</t>
    </r>
    <r>
      <rPr>
        <sz val="9"/>
        <color rgb="FF000000"/>
        <rFont val="Arial"/>
        <family val="0"/>
        <charset val="1"/>
      </rPr>
      <t xml:space="preserve">'·'</t>
    </r>
    <r>
      <rPr>
        <sz val="9"/>
        <color rgb="FF000000"/>
        <rFont val="Noto Sans CJK SC"/>
        <family val="2"/>
      </rPr>
      <t xml:space="preserve">전체 적합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으로 확정 안 함</t>
    </r>
  </si>
  <si>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신규 </t>
    </r>
    <r>
      <rPr>
        <sz val="9"/>
        <color rgb="FF000000"/>
        <rFont val="Arial"/>
        <family val="0"/>
        <charset val="1"/>
      </rPr>
      <t xml:space="preserve">Crude </t>
    </r>
    <r>
      <rPr>
        <sz val="9"/>
        <color rgb="FF000000"/>
        <rFont val="Noto Sans CJK SC"/>
        <family val="2"/>
      </rPr>
      <t xml:space="preserve">투입량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실측</t>
    </r>
    <r>
      <rPr>
        <sz val="9"/>
        <color rgb="FF000000"/>
        <rFont val="Arial"/>
        <family val="0"/>
        <charset val="1"/>
      </rPr>
      <t xml:space="preserve">)</t>
    </r>
  </si>
  <si>
    <t xml:space="preserve">수율 계산</t>
  </si>
  <si>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재순환 투입량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실측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</si>
  <si>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양품량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실측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</si>
  <si>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불량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재작업 손실 중복 차감 금지</t>
    </r>
  </si>
  <si>
    <r>
      <rPr>
        <sz val="9"/>
        <color rgb="FF000000"/>
        <rFont val="Noto Sans CJK SC"/>
        <family val="2"/>
      </rPr>
      <t xml:space="preserve">개선 후 </t>
    </r>
    <r>
      <rPr>
        <sz val="9"/>
        <color rgb="FF000000"/>
        <rFont val="Arial"/>
        <family val="0"/>
        <charset val="1"/>
      </rPr>
      <t xml:space="preserve">Batch</t>
    </r>
    <r>
      <rPr>
        <sz val="9"/>
        <color rgb="FF000000"/>
        <rFont val="Noto Sans CJK SC"/>
        <family val="2"/>
      </rPr>
      <t xml:space="preserve">당 생산량</t>
    </r>
  </si>
  <si>
    <r>
      <rPr>
        <sz val="9"/>
        <color rgb="FF000000"/>
        <rFont val="Noto Sans CJK SC"/>
        <family val="2"/>
      </rPr>
      <t xml:space="preserve">미입력 시 </t>
    </r>
    <r>
      <rPr>
        <sz val="9"/>
        <color rgb="FF000000"/>
        <rFont val="Arial"/>
        <family val="0"/>
        <charset val="1"/>
      </rPr>
      <t xml:space="preserve">190 kg </t>
    </r>
    <r>
      <rPr>
        <sz val="9"/>
        <color rgb="FF000000"/>
        <rFont val="Noto Sans CJK SC"/>
        <family val="2"/>
      </rPr>
      <t xml:space="preserve">유지로 계산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표시</t>
    </r>
  </si>
  <si>
    <r>
      <rPr>
        <b val="true"/>
        <sz val="9"/>
        <color rgb="FF000000"/>
        <rFont val="Arial"/>
        <family val="0"/>
        <charset val="1"/>
      </rPr>
      <t xml:space="preserve">F. Capa. (</t>
    </r>
    <r>
      <rPr>
        <b val="true"/>
        <sz val="9"/>
        <color rgb="FF000000"/>
        <rFont val="Noto Sans CJK SC"/>
        <family val="2"/>
      </rPr>
      <t xml:space="preserve">연간 환산 기준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</si>
  <si>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현재 연간 </t>
    </r>
    <r>
      <rPr>
        <sz val="9"/>
        <color rgb="FF000000"/>
        <rFont val="Arial"/>
        <family val="0"/>
        <charset val="1"/>
      </rPr>
      <t xml:space="preserve">Capa.</t>
    </r>
  </si>
  <si>
    <r>
      <rPr>
        <sz val="9"/>
        <color rgb="FF000000"/>
        <rFont val="Arial"/>
        <family val="0"/>
        <charset val="1"/>
      </rPr>
      <t xml:space="preserve">t/</t>
    </r>
    <r>
      <rPr>
        <sz val="9"/>
        <color rgb="FF000000"/>
        <rFont val="Noto Sans CJK SC"/>
        <family val="2"/>
      </rPr>
      <t xml:space="preserve">년</t>
    </r>
  </si>
  <si>
    <t xml:space="preserve">기준값 유지</t>
  </si>
  <si>
    <r>
      <rPr>
        <sz val="9"/>
        <color rgb="FF000000"/>
        <rFont val="Noto Sans CJK SC"/>
        <family val="2"/>
      </rPr>
      <t xml:space="preserve">시간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가동률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수율 조정해 맞추지 않음</t>
    </r>
  </si>
  <si>
    <t xml:space="preserve">개선 증가분</t>
  </si>
  <si>
    <r>
      <rPr>
        <sz val="9"/>
        <color rgb="FF000000"/>
        <rFont val="Arial"/>
        <family val="0"/>
        <charset val="1"/>
      </rPr>
      <t xml:space="preserve">'27.7~'28.6 </t>
    </r>
    <r>
      <rPr>
        <sz val="9"/>
        <color rgb="FF000000"/>
        <rFont val="Noto Sans CJK SC"/>
        <family val="2"/>
      </rPr>
      <t xml:space="preserve">최초 </t>
    </r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개월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</si>
  <si>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대 활용</t>
    </r>
  </si>
  <si>
    <r>
      <rPr>
        <sz val="9"/>
        <color rgb="FF000000"/>
        <rFont val="Noto Sans CJK SC"/>
        <family val="2"/>
      </rPr>
      <t xml:space="preserve">개선 후 연간 환산 </t>
    </r>
    <r>
      <rPr>
        <sz val="9"/>
        <color rgb="FF000000"/>
        <rFont val="Arial"/>
        <family val="0"/>
        <charset val="1"/>
      </rPr>
      <t xml:space="preserve">Capa.</t>
    </r>
  </si>
  <si>
    <r>
      <rPr>
        <sz val="9"/>
        <color rgb="FF000000"/>
        <rFont val="Arial"/>
        <family val="0"/>
        <charset val="1"/>
      </rPr>
      <t xml:space="preserve">≠ 2027 </t>
    </r>
    <r>
      <rPr>
        <sz val="9"/>
        <color rgb="FF000000"/>
        <rFont val="Noto Sans CJK SC"/>
        <family val="2"/>
      </rPr>
      <t xml:space="preserve">실제 생산량</t>
    </r>
  </si>
  <si>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효과 미가산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</si>
  <si>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Capa. </t>
    </r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</t>
    </r>
  </si>
  <si>
    <r>
      <rPr>
        <sz val="9"/>
        <color rgb="FF000000"/>
        <rFont val="Noto Sans CJK SC"/>
        <family val="2"/>
      </rPr>
      <t xml:space="preserve">적용 안 함 — </t>
    </r>
    <r>
      <rPr>
        <sz val="9"/>
        <color rgb="FF000000"/>
        <rFont val="Arial"/>
        <family val="0"/>
        <charset val="1"/>
      </rPr>
      <t xml:space="preserve">Mix·</t>
    </r>
    <r>
      <rPr>
        <sz val="9"/>
        <color rgb="FF000000"/>
        <rFont val="Noto Sans CJK SC"/>
        <family val="2"/>
      </rPr>
      <t xml:space="preserve">리사이클 보조 작업 등</t>
    </r>
  </si>
  <si>
    <r>
      <rPr>
        <sz val="9"/>
        <color rgb="FF000000"/>
        <rFont val="Arial"/>
        <family val="0"/>
        <charset val="1"/>
      </rPr>
      <t xml:space="preserve">52.4 − 47.2 </t>
    </r>
    <r>
      <rPr>
        <sz val="9"/>
        <color rgb="FF000000"/>
        <rFont val="Noto Sans CJK SC"/>
        <family val="2"/>
      </rPr>
      <t xml:space="preserve">차이를 확정 손실로 표시 안 함</t>
    </r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</si>
  <si>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예상 증가분</t>
    </r>
  </si>
  <si>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검토안</t>
    </r>
  </si>
  <si>
    <t xml:space="preserve">검토안</t>
  </si>
  <si>
    <r>
      <rPr>
        <sz val="9"/>
        <color rgb="FF000000"/>
        <rFont val="Noto Sans CJK SC"/>
        <family val="2"/>
      </rPr>
      <t xml:space="preserve">미확정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필요</t>
    </r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</si>
  <si>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적용 시 산술 </t>
    </r>
    <r>
      <rPr>
        <sz val="9"/>
        <color rgb="FF000000"/>
        <rFont val="Arial"/>
        <family val="0"/>
        <charset val="1"/>
      </rPr>
      <t xml:space="preserve">Capa.</t>
    </r>
  </si>
  <si>
    <r>
      <rPr>
        <sz val="9"/>
        <color rgb="FF000000"/>
        <rFont val="Noto Sans CJK SC"/>
        <family val="2"/>
      </rPr>
      <t xml:space="preserve">목표 </t>
    </r>
    <r>
      <rPr>
        <sz val="9"/>
        <color rgb="FF000000"/>
        <rFont val="Arial"/>
        <family val="0"/>
        <charset val="1"/>
      </rPr>
      <t xml:space="preserve">Capa.</t>
    </r>
  </si>
  <si>
    <r>
      <rPr>
        <sz val="9"/>
        <color rgb="FF000000"/>
        <rFont val="Arial"/>
        <family val="0"/>
        <charset val="1"/>
      </rPr>
      <t xml:space="preserve">2028</t>
    </r>
    <r>
      <rPr>
        <sz val="9"/>
        <color rgb="FF000000"/>
        <rFont val="Noto Sans CJK SC"/>
        <family val="2"/>
      </rPr>
      <t xml:space="preserve">년 이후 </t>
    </r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톤 수준</t>
    </r>
  </si>
  <si>
    <r>
      <rPr>
        <sz val="9"/>
        <color rgb="FF000000"/>
        <rFont val="Noto Sans CJK SC"/>
        <family val="2"/>
      </rPr>
      <t xml:space="preserve">과거 월 최대 생산 </t>
    </r>
    <r>
      <rPr>
        <sz val="9"/>
        <color rgb="FF000000"/>
        <rFont val="Arial"/>
        <family val="0"/>
        <charset val="1"/>
      </rPr>
      <t xml:space="preserve">Batch</t>
    </r>
  </si>
  <si>
    <r>
      <rPr>
        <sz val="9"/>
        <color rgb="FF000000"/>
        <rFont val="Arial"/>
        <family val="0"/>
        <charset val="1"/>
      </rPr>
      <t xml:space="preserve">Batch/</t>
    </r>
    <r>
      <rPr>
        <sz val="9"/>
        <color rgb="FF000000"/>
        <rFont val="Noto Sans CJK SC"/>
        <family val="2"/>
      </rPr>
      <t xml:space="preserve">월</t>
    </r>
  </si>
  <si>
    <t xml:space="preserve">히스토리 최대</t>
  </si>
  <si>
    <t xml:space="preserve">검토 정제온도</t>
  </si>
  <si>
    <r>
      <rPr>
        <sz val="9"/>
        <color rgb="FF000000"/>
        <rFont val="Noto Sans CJK SC"/>
        <family val="2"/>
      </rPr>
      <t xml:space="preserve">열 안정성</t>
    </r>
    <r>
      <rPr>
        <sz val="9"/>
        <color rgb="FF000000"/>
        <rFont val="Arial"/>
        <family val="0"/>
        <charset val="1"/>
      </rPr>
      <t xml:space="preserve">·Dimer·Unknown impurity·Yield</t>
    </r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</si>
  <si>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적용 시작 월</t>
    </r>
  </si>
  <si>
    <r>
      <rPr>
        <sz val="9"/>
        <color rgb="FF000000"/>
        <rFont val="Arial"/>
        <family val="0"/>
        <charset val="1"/>
      </rPr>
      <t xml:space="preserve">04 </t>
    </r>
    <r>
      <rPr>
        <sz val="9"/>
        <color rgb="FF000000"/>
        <rFont val="Noto Sans CJK SC"/>
        <family val="2"/>
      </rPr>
      <t xml:space="preserve">시트 월별 반영</t>
    </r>
  </si>
  <si>
    <t xml:space="preserve">미정 — 확정 시 입력</t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</si>
  <si>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적용 시 설비별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간격</t>
    </r>
  </si>
  <si>
    <r>
      <rPr>
        <b val="true"/>
        <sz val="9"/>
        <color rgb="FF000000"/>
        <rFont val="Arial"/>
        <family val="0"/>
        <charset val="1"/>
      </rPr>
      <t xml:space="preserve">G. </t>
    </r>
    <r>
      <rPr>
        <b val="true"/>
        <sz val="9"/>
        <color rgb="FF000000"/>
        <rFont val="Noto Sans CJK SC"/>
        <family val="2"/>
      </rPr>
      <t xml:space="preserve">일정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정제기 </t>
    </r>
    <r>
      <rPr>
        <b val="true"/>
        <sz val="9"/>
        <color rgb="FF000000"/>
        <rFont val="Arial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대 시차 운전</t>
    </r>
  </si>
  <si>
    <t xml:space="preserve">공사 시작</t>
  </si>
  <si>
    <r>
      <rPr>
        <sz val="9"/>
        <color rgb="FF000000"/>
        <rFont val="Arial"/>
        <family val="0"/>
        <charset val="1"/>
      </rPr>
      <t xml:space="preserve">2027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Arial"/>
        <family val="0"/>
        <charset val="1"/>
      </rPr>
      <t xml:space="preserve">2~5</t>
    </r>
    <r>
      <rPr>
        <sz val="9"/>
        <color rgb="FF000000"/>
        <rFont val="Noto Sans CJK SC"/>
        <family val="2"/>
      </rPr>
      <t xml:space="preserve">월</t>
    </r>
  </si>
  <si>
    <t xml:space="preserve">공사 종료</t>
  </si>
  <si>
    <t xml:space="preserve">시운전</t>
  </si>
  <si>
    <r>
      <rPr>
        <sz val="9"/>
        <color rgb="FF000000"/>
        <rFont val="Arial"/>
        <family val="0"/>
        <charset val="1"/>
      </rPr>
      <t xml:space="preserve">2027</t>
    </r>
    <r>
      <rPr>
        <sz val="9"/>
        <color rgb="FF000000"/>
        <rFont val="Noto Sans CJK SC"/>
        <family val="2"/>
      </rPr>
      <t xml:space="preserve">년 </t>
    </r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월</t>
    </r>
  </si>
  <si>
    <t xml:space="preserve">개선 적용 생산 시작</t>
  </si>
  <si>
    <r>
      <rPr>
        <sz val="9"/>
        <color rgb="FF000000"/>
        <rFont val="Noto Sans CJK SC"/>
        <family val="2"/>
      </rPr>
      <t xml:space="preserve">최초 </t>
    </r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개월 종료</t>
    </r>
  </si>
  <si>
    <t xml:space="preserve">2027.7~2028.6</t>
  </si>
  <si>
    <t xml:space="preserve">공사 중 정제기 가용시간</t>
  </si>
  <si>
    <t xml:space="preserve">2027.2~5</t>
  </si>
  <si>
    <r>
      <rPr>
        <sz val="9"/>
        <color rgb="FF000000"/>
        <rFont val="Arial"/>
        <family val="0"/>
        <charset val="1"/>
      </rPr>
      <t xml:space="preserve">0 </t>
    </r>
    <r>
      <rPr>
        <sz val="9"/>
        <color rgb="FF000000"/>
        <rFont val="Noto Sans CJK SC"/>
        <family val="2"/>
      </rPr>
      <t xml:space="preserve">또는 정상값 임의 입력 안 함</t>
    </r>
  </si>
  <si>
    <r>
      <rPr>
        <sz val="9"/>
        <color rgb="FF000000"/>
        <rFont val="Noto Sans CJK SC"/>
        <family val="2"/>
      </rPr>
      <t xml:space="preserve">시운전 양품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출하 승인 </t>
    </r>
    <r>
      <rPr>
        <sz val="9"/>
        <color rgb="FF000000"/>
        <rFont val="Arial"/>
        <family val="0"/>
        <charset val="1"/>
      </rPr>
      <t xml:space="preserve">Batch</t>
    </r>
  </si>
  <si>
    <t xml:space="preserve">Batch</t>
  </si>
  <si>
    <t xml:space="preserve">2027.6</t>
  </si>
  <si>
    <t xml:space="preserve">초기 안정화 기간</t>
  </si>
  <si>
    <t xml:space="preserve">개월</t>
  </si>
  <si>
    <r>
      <rPr>
        <sz val="9"/>
        <color rgb="FF000000"/>
        <rFont val="Noto Sans CJK SC"/>
        <family val="2"/>
      </rPr>
      <t xml:space="preserve">개선 후 설비별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투입 간격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</si>
  <si>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1·2 </t>
    </r>
    <r>
      <rPr>
        <sz val="9"/>
        <color rgb="FF000000"/>
        <rFont val="Noto Sans CJK SC"/>
        <family val="2"/>
      </rPr>
      <t xml:space="preserve">각각</t>
    </r>
  </si>
  <si>
    <r>
      <rPr>
        <sz val="9"/>
        <color rgb="FF000000"/>
        <rFont val="Arial"/>
        <family val="0"/>
        <charset val="1"/>
      </rPr>
      <t xml:space="preserve">45 h → 22.5 h </t>
    </r>
    <r>
      <rPr>
        <sz val="9"/>
        <color rgb="FF000000"/>
        <rFont val="Noto Sans CJK SC"/>
        <family val="2"/>
      </rPr>
      <t xml:space="preserve">단축으로 계산하지 않음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</si>
  <si>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기동 시차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투입 시작 기준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</si>
  <si>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Gantt </t>
    </r>
    <r>
      <rPr>
        <sz val="9"/>
        <color rgb="FF000000"/>
        <rFont val="Noto Sans CJK SC"/>
        <family val="2"/>
      </rPr>
      <t xml:space="preserve">예시</t>
    </r>
  </si>
  <si>
    <t xml:space="preserve">운영 개념 설명용 가정</t>
  </si>
  <si>
    <r>
      <rPr>
        <sz val="9"/>
        <color rgb="FF000000"/>
        <rFont val="Noto Sans CJK SC"/>
        <family val="2"/>
      </rPr>
      <t xml:space="preserve">미확정 — 동시 기동</t>
    </r>
    <r>
      <rPr>
        <sz val="9"/>
        <color rgb="FF000000"/>
        <rFont val="Arial"/>
        <family val="0"/>
        <charset val="1"/>
      </rPr>
      <t xml:space="preserve">·24 h </t>
    </r>
    <r>
      <rPr>
        <sz val="9"/>
        <color rgb="FF000000"/>
        <rFont val="Noto Sans CJK SC"/>
        <family val="2"/>
      </rPr>
      <t xml:space="preserve">고정 아님</t>
    </r>
  </si>
  <si>
    <r>
      <rPr>
        <b val="true"/>
        <sz val="9"/>
        <color rgb="FF000000"/>
        <rFont val="Arial"/>
        <family val="0"/>
        <charset val="1"/>
      </rPr>
      <t xml:space="preserve">H. </t>
    </r>
    <r>
      <rPr>
        <b val="true"/>
        <sz val="9"/>
        <color rgb="FF000000"/>
        <rFont val="Noto Sans CJK SC"/>
        <family val="2"/>
      </rPr>
      <t xml:space="preserve">후공정 자원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정제기 </t>
    </r>
    <r>
      <rPr>
        <b val="true"/>
        <sz val="9"/>
        <color rgb="FF000000"/>
        <rFont val="Arial"/>
        <family val="0"/>
        <charset val="1"/>
      </rPr>
      <t xml:space="preserve">720 h</t>
    </r>
    <r>
      <rPr>
        <b val="true"/>
        <sz val="9"/>
        <color rgb="FF000000"/>
        <rFont val="Noto Sans CJK SC"/>
        <family val="2"/>
      </rPr>
      <t xml:space="preserve">와 별도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</si>
  <si>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글로브 박스 수</t>
  </si>
  <si>
    <t xml:space="preserve">5 Gal</t>
  </si>
  <si>
    <t xml:space="preserve">글로브 박스 충진 가용 근무시간</t>
  </si>
  <si>
    <r>
      <rPr>
        <sz val="9"/>
        <color rgb="FF000000"/>
        <rFont val="Noto Sans CJK SC"/>
        <family val="2"/>
      </rPr>
      <t xml:space="preserve">교대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인력</t>
    </r>
  </si>
  <si>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수동</t>
    </r>
    <r>
      <rPr>
        <sz val="9"/>
        <color rgb="FF000000"/>
        <rFont val="Arial"/>
        <family val="0"/>
        <charset val="1"/>
      </rPr>
      <t xml:space="preserve">/ARS </t>
    </r>
    <r>
      <rPr>
        <sz val="9"/>
        <color rgb="FF000000"/>
        <rFont val="Noto Sans CJK SC"/>
        <family val="2"/>
      </rPr>
      <t xml:space="preserve">가용시간</t>
    </r>
  </si>
  <si>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Arial"/>
        <family val="0"/>
        <charset val="1"/>
      </rPr>
      <t xml:space="preserve">(QC) </t>
    </r>
    <r>
      <rPr>
        <sz val="9"/>
        <color rgb="FF000000"/>
        <rFont val="Noto Sans CJK SC"/>
        <family val="2"/>
      </rPr>
      <t xml:space="preserve">가용시간</t>
    </r>
  </si>
  <si>
    <r>
      <rPr>
        <sz val="9"/>
        <color rgb="FF000000"/>
        <rFont val="Arial"/>
        <family val="0"/>
        <charset val="1"/>
      </rPr>
      <t xml:space="preserve">Product Tank </t>
    </r>
    <r>
      <rPr>
        <sz val="9"/>
        <color rgb="FF000000"/>
        <rFont val="Noto Sans CJK SC"/>
        <family val="2"/>
      </rPr>
      <t xml:space="preserve">수</t>
    </r>
  </si>
  <si>
    <t xml:space="preserve">기</t>
  </si>
  <si>
    <r>
      <rPr>
        <sz val="9"/>
        <color rgb="FF000000"/>
        <rFont val="Arial"/>
        <family val="0"/>
        <charset val="1"/>
      </rPr>
      <t xml:space="preserve">Product Tank </t>
    </r>
    <r>
      <rPr>
        <sz val="9"/>
        <color rgb="FF000000"/>
        <rFont val="Noto Sans CJK SC"/>
        <family val="2"/>
      </rPr>
      <t xml:space="preserve">용량</t>
    </r>
  </si>
  <si>
    <r>
      <rPr>
        <sz val="9"/>
        <color rgb="FF000000"/>
        <rFont val="Noto Sans CJK SC"/>
        <family val="2"/>
      </rPr>
      <t xml:space="preserve">참고 시나리오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월 근무일</t>
    </r>
  </si>
  <si>
    <r>
      <rPr>
        <sz val="9"/>
        <color rgb="FF000000"/>
        <rFont val="Arial"/>
        <family val="0"/>
        <charset val="1"/>
      </rPr>
      <t xml:space="preserve">03 </t>
    </r>
    <r>
      <rPr>
        <sz val="9"/>
        <color rgb="FF000000"/>
        <rFont val="Noto Sans CJK SC"/>
        <family val="2"/>
      </rPr>
      <t xml:space="preserve">시트 비교용</t>
    </r>
  </si>
  <si>
    <t xml:space="preserve">참고 가정</t>
  </si>
  <si>
    <t xml:space="preserve">확정값 아님</t>
  </si>
  <si>
    <r>
      <rPr>
        <sz val="9"/>
        <color rgb="FF000000"/>
        <rFont val="Noto Sans CJK SC"/>
        <family val="2"/>
      </rPr>
      <t xml:space="preserve">참고 ①</t>
    </r>
    <r>
      <rPr>
        <sz val="9"/>
        <color rgb="FF000000"/>
        <rFont val="Arial"/>
        <family val="0"/>
        <charset val="1"/>
      </rPr>
      <t xml:space="preserve">: 1</t>
    </r>
    <r>
      <rPr>
        <sz val="9"/>
        <color rgb="FF000000"/>
        <rFont val="Noto Sans CJK SC"/>
        <family val="2"/>
      </rPr>
      <t xml:space="preserve">교대 일 근무</t>
    </r>
  </si>
  <si>
    <r>
      <rPr>
        <sz val="9"/>
        <color rgb="FF000000"/>
        <rFont val="Noto Sans CJK SC"/>
        <family val="2"/>
      </rPr>
      <t xml:space="preserve">참고 ②</t>
    </r>
    <r>
      <rPr>
        <sz val="9"/>
        <color rgb="FF000000"/>
        <rFont val="Arial"/>
        <family val="0"/>
        <charset val="1"/>
      </rPr>
      <t xml:space="preserve">: 2</t>
    </r>
    <r>
      <rPr>
        <sz val="9"/>
        <color rgb="FF000000"/>
        <rFont val="Noto Sans CJK SC"/>
        <family val="2"/>
      </rPr>
      <t xml:space="preserve">교대 일 근무</t>
    </r>
  </si>
  <si>
    <r>
      <rPr>
        <sz val="9"/>
        <color rgb="FF000000"/>
        <rFont val="Noto Sans CJK SC"/>
        <family val="2"/>
      </rPr>
      <t xml:space="preserve">참고 ③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연속 근무</t>
    </r>
  </si>
  <si>
    <r>
      <rPr>
        <sz val="9"/>
        <color rgb="FF000000"/>
        <rFont val="Arial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</si>
  <si>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0"/>
        <charset val="1"/>
      </rPr>
      <t xml:space="preserve">I. </t>
    </r>
    <r>
      <rPr>
        <b val="true"/>
        <sz val="9"/>
        <color rgb="FF000000"/>
        <rFont val="Noto Sans CJK SC"/>
        <family val="2"/>
      </rPr>
      <t xml:space="preserve">과거 일정 분석 설정</t>
    </r>
  </si>
  <si>
    <r>
      <rPr>
        <sz val="9"/>
        <color rgb="FF000000"/>
        <rFont val="Noto Sans CJK SC"/>
        <family val="2"/>
      </rPr>
      <t xml:space="preserve">분석 시작 </t>
    </r>
    <r>
      <rPr>
        <sz val="9"/>
        <color rgb="FF000000"/>
        <rFont val="Arial"/>
        <family val="0"/>
        <charset val="1"/>
      </rPr>
      <t xml:space="preserve">Batch</t>
    </r>
  </si>
  <si>
    <t xml:space="preserve">#</t>
  </si>
  <si>
    <t xml:space="preserve">6/2</t>
  </si>
  <si>
    <t xml:space="preserve">분석 설정</t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</si>
  <si>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월 일부 제외</t>
    </r>
  </si>
  <si>
    <r>
      <rPr>
        <sz val="9"/>
        <color rgb="FF000000"/>
        <rFont val="Noto Sans CJK SC"/>
        <family val="2"/>
      </rPr>
      <t xml:space="preserve">분석 종료 </t>
    </r>
    <r>
      <rPr>
        <sz val="9"/>
        <color rgb="FF000000"/>
        <rFont val="Arial"/>
        <family val="0"/>
        <charset val="1"/>
      </rPr>
      <t xml:space="preserve">Batch</t>
    </r>
  </si>
  <si>
    <t xml:space="preserve">10/29</t>
  </si>
  <si>
    <t xml:space="preserve">롤링 검토 간격 수</t>
  </si>
  <si>
    <t xml:space="preserve">간격</t>
  </si>
  <si>
    <r>
      <rPr>
        <sz val="9"/>
        <color rgb="FF000000"/>
        <rFont val="Noto Sans CJK SC"/>
        <family val="2"/>
      </rPr>
      <t xml:space="preserve">현재 조건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간격 기준 </t>
    </r>
    <r>
      <rPr>
        <sz val="9"/>
        <color rgb="FF000000"/>
        <rFont val="Arial"/>
        <family val="0"/>
        <charset val="1"/>
      </rPr>
      <t xml:space="preserve">(1~4)</t>
    </r>
  </si>
  <si>
    <t xml:space="preserve">선택</t>
  </si>
  <si>
    <r>
      <rPr>
        <sz val="9"/>
        <color rgb="FF000000"/>
        <rFont val="Arial"/>
        <family val="0"/>
        <charset val="1"/>
      </rPr>
      <t xml:space="preserve">1=</t>
    </r>
    <r>
      <rPr>
        <sz val="9"/>
        <color rgb="FF000000"/>
        <rFont val="Noto Sans CJK SC"/>
        <family val="2"/>
      </rPr>
      <t xml:space="preserve">이론 </t>
    </r>
    <r>
      <rPr>
        <sz val="9"/>
        <color rgb="FF000000"/>
        <rFont val="Arial"/>
        <family val="0"/>
        <charset val="1"/>
      </rPr>
      <t xml:space="preserve">45 h, 2=</t>
    </r>
    <r>
      <rPr>
        <sz val="9"/>
        <color rgb="FF000000"/>
        <rFont val="Noto Sans CJK SC"/>
        <family val="2"/>
      </rPr>
      <t xml:space="preserve">과거 최대 </t>
    </r>
    <r>
      <rPr>
        <sz val="9"/>
        <color rgb="FF000000"/>
        <rFont val="Arial"/>
        <family val="0"/>
        <charset val="1"/>
      </rPr>
      <t xml:space="preserve">11, 3=</t>
    </r>
    <r>
      <rPr>
        <sz val="9"/>
        <color rgb="FF000000"/>
        <rFont val="Noto Sans CJK SC"/>
        <family val="2"/>
      </rPr>
      <t xml:space="preserve">관측 추정</t>
    </r>
    <r>
      <rPr>
        <sz val="9"/>
        <color rgb="FF000000"/>
        <rFont val="Arial"/>
        <family val="0"/>
        <charset val="1"/>
      </rPr>
      <t xml:space="preserve">, 4=26.2</t>
    </r>
    <r>
      <rPr>
        <sz val="9"/>
        <color rgb="FF000000"/>
        <rFont val="Noto Sans CJK SC"/>
        <family val="2"/>
      </rPr>
      <t xml:space="preserve">톤 역산</t>
    </r>
  </si>
  <si>
    <r>
      <rPr>
        <sz val="9"/>
        <color rgb="FF000000"/>
        <rFont val="Arial"/>
        <family val="0"/>
        <charset val="1"/>
      </rPr>
      <t xml:space="preserve">04·05 </t>
    </r>
    <r>
      <rPr>
        <sz val="9"/>
        <color rgb="FF000000"/>
        <rFont val="Noto Sans CJK SC"/>
        <family val="2"/>
      </rPr>
      <t xml:space="preserve">현재 조건 생산 가능량</t>
    </r>
  </si>
  <si>
    <r>
      <rPr>
        <sz val="9"/>
        <color rgb="FF000000"/>
        <rFont val="Noto Sans CJK SC"/>
        <family val="2"/>
      </rPr>
      <t xml:space="preserve">과거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일정 연도</t>
    </r>
  </si>
  <si>
    <t xml:space="preserve">년</t>
  </si>
  <si>
    <t xml:space="preserve">원자료 연도 미표기</t>
  </si>
  <si>
    <r>
      <rPr>
        <sz val="9"/>
        <color rgb="FF000000"/>
        <rFont val="Noto Sans CJK SC"/>
        <family val="2"/>
      </rPr>
      <t xml:space="preserve">첨부 </t>
    </r>
    <r>
      <rPr>
        <sz val="9"/>
        <color rgb="FF000000"/>
        <rFont val="Arial"/>
        <family val="0"/>
        <charset val="1"/>
      </rPr>
      <t xml:space="preserve">PPT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Arial"/>
        <family val="0"/>
        <charset val="1"/>
      </rPr>
      <t xml:space="preserve">2026 </t>
    </r>
    <r>
      <rPr>
        <sz val="9"/>
        <color rgb="FF000000"/>
        <rFont val="Noto Sans CJK SC"/>
        <family val="2"/>
      </rPr>
      <t xml:space="preserve">출하와 비교</t>
    </r>
  </si>
  <si>
    <r>
      <rPr>
        <b val="true"/>
        <sz val="9"/>
        <color rgb="FF000000"/>
        <rFont val="Arial"/>
        <family val="0"/>
        <charset val="1"/>
      </rPr>
      <t xml:space="preserve">J. </t>
    </r>
    <r>
      <rPr>
        <b val="true"/>
        <sz val="9"/>
        <color rgb="FF000000"/>
        <rFont val="Noto Sans CJK SC"/>
        <family val="2"/>
      </rPr>
      <t xml:space="preserve">재고 </t>
    </r>
    <r>
      <rPr>
        <b val="true"/>
        <sz val="9"/>
        <color rgb="FF000000"/>
        <rFont val="Arial"/>
        <family val="0"/>
        <charset val="1"/>
      </rPr>
      <t xml:space="preserve">· </t>
    </r>
    <r>
      <rPr>
        <b val="true"/>
        <sz val="9"/>
        <color rgb="FF000000"/>
        <rFont val="Noto Sans CJK SC"/>
        <family val="2"/>
      </rPr>
      <t xml:space="preserve">품질</t>
    </r>
  </si>
  <si>
    <r>
      <rPr>
        <sz val="9"/>
        <color rgb="FF000000"/>
        <rFont val="Noto Sans CJK SC"/>
        <family val="2"/>
      </rPr>
      <t xml:space="preserve">기초재고 </t>
    </r>
    <r>
      <rPr>
        <sz val="9"/>
        <color rgb="FF000000"/>
        <rFont val="Arial"/>
        <family val="0"/>
        <charset val="1"/>
      </rPr>
      <t xml:space="preserve">(2026-01-01)</t>
    </r>
  </si>
  <si>
    <r>
      <rPr>
        <sz val="9"/>
        <color rgb="FF000000"/>
        <rFont val="Arial"/>
        <family val="0"/>
        <charset val="1"/>
      </rPr>
      <t xml:space="preserve">36</t>
    </r>
    <r>
      <rPr>
        <sz val="9"/>
        <color rgb="FF000000"/>
        <rFont val="Noto Sans CJK SC"/>
        <family val="2"/>
      </rPr>
      <t xml:space="preserve">개월 연속 이월</t>
    </r>
  </si>
  <si>
    <r>
      <rPr>
        <sz val="9"/>
        <color rgb="FF000000"/>
        <rFont val="Noto Sans CJK SC"/>
        <family val="2"/>
      </rPr>
      <t xml:space="preserve">미입력 시 재고 계산 보류 </t>
    </r>
    <r>
      <rPr>
        <sz val="9"/>
        <color rgb="FF000000"/>
        <rFont val="Arial"/>
        <family val="0"/>
        <charset val="1"/>
      </rPr>
      <t xml:space="preserve">(0 </t>
    </r>
    <r>
      <rPr>
        <sz val="9"/>
        <color rgb="FF000000"/>
        <rFont val="Noto Sans CJK SC"/>
        <family val="2"/>
      </rPr>
      <t xml:space="preserve">초기화 안 함</t>
    </r>
    <r>
      <rPr>
        <sz val="9"/>
        <color rgb="FF000000"/>
        <rFont val="Arial"/>
        <family val="0"/>
        <charset val="1"/>
      </rPr>
      <t xml:space="preserve">)</t>
    </r>
  </si>
  <si>
    <t xml:space="preserve">하이닉스 목표재고</t>
  </si>
  <si>
    <t xml:space="preserve">우선 확보</t>
  </si>
  <si>
    <t xml:space="preserve">재고 수준 — 매년 반복 가산 안 함</t>
  </si>
  <si>
    <t xml:space="preserve">전체 목표 기말재고</t>
  </si>
  <si>
    <r>
      <rPr>
        <sz val="9"/>
        <color rgb="FF000000"/>
        <rFont val="Noto Sans CJK SC"/>
        <family val="2"/>
      </rPr>
      <t xml:space="preserve">정제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양품률</t>
    </r>
  </si>
  <si>
    <r>
      <rPr>
        <sz val="9"/>
        <color rgb="FF000000"/>
        <rFont val="Noto Sans CJK SC"/>
        <family val="2"/>
      </rPr>
      <t xml:space="preserve">미입력 시 </t>
    </r>
    <r>
      <rPr>
        <sz val="9"/>
        <color rgb="FF000000"/>
        <rFont val="Arial"/>
        <family val="0"/>
        <charset val="1"/>
      </rPr>
      <t xml:space="preserve">100% </t>
    </r>
    <r>
      <rPr>
        <sz val="9"/>
        <color rgb="FF000000"/>
        <rFont val="Noto Sans CJK SC"/>
        <family val="2"/>
      </rPr>
      <t xml:space="preserve">상한값으로 표시</t>
    </r>
  </si>
  <si>
    <t xml:space="preserve">하이닉스 합격률</t>
  </si>
  <si>
    <r>
      <rPr>
        <sz val="9"/>
        <color rgb="FF000000"/>
        <rFont val="Arial"/>
        <family val="0"/>
        <charset val="1"/>
      </rPr>
      <t xml:space="preserve">CXMT </t>
    </r>
    <r>
      <rPr>
        <sz val="9"/>
        <color rgb="FF000000"/>
        <rFont val="Noto Sans CJK SC"/>
        <family val="2"/>
      </rPr>
      <t xml:space="preserve">합격률</t>
    </r>
  </si>
  <si>
    <r>
      <rPr>
        <sz val="9"/>
        <color rgb="FF000000"/>
        <rFont val="Noto Sans CJK SC"/>
        <family val="2"/>
      </rPr>
      <t xml:space="preserve">이지켐 합격률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색도 포함</t>
    </r>
    <r>
      <rPr>
        <sz val="9"/>
        <color rgb="FF000000"/>
        <rFont val="Arial"/>
        <family val="0"/>
        <charset val="1"/>
      </rPr>
      <t xml:space="preserve">)</t>
    </r>
  </si>
  <si>
    <t xml:space="preserve">색도 관리 중요 — 전체 적합 확정 안 함</t>
  </si>
  <si>
    <t xml:space="preserve">한솔 합격률</t>
  </si>
  <si>
    <t xml:space="preserve">하이닉스 외 고객 우선순위</t>
  </si>
  <si>
    <r>
      <rPr>
        <sz val="9"/>
        <color rgb="FF000000"/>
        <rFont val="Arial"/>
        <family val="0"/>
        <charset val="1"/>
      </rPr>
      <t xml:space="preserve">CXMT·</t>
    </r>
    <r>
      <rPr>
        <sz val="9"/>
        <color rgb="FF000000"/>
        <rFont val="Noto Sans CJK SC"/>
        <family val="2"/>
      </rPr>
      <t xml:space="preserve">이지켐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한솔</t>
    </r>
  </si>
  <si>
    <r>
      <rPr>
        <sz val="9"/>
        <color rgb="FF000000"/>
        <rFont val="Noto Sans CJK SC"/>
        <family val="2"/>
      </rPr>
      <t xml:space="preserve">미입력 시 잔여량을 출하 비율로 배분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우선순위 가정 없음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</si>
  <si>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K. </t>
    </r>
    <r>
      <rPr>
        <b val="true"/>
        <sz val="9"/>
        <color rgb="FF000000"/>
        <rFont val="Noto Sans CJK SC"/>
        <family val="2"/>
      </rPr>
      <t xml:space="preserve">출하계획 기준값 </t>
    </r>
    <r>
      <rPr>
        <b val="true"/>
        <sz val="9"/>
        <color rgb="FF000000"/>
        <rFont val="Arial"/>
        <family val="0"/>
        <charset val="1"/>
      </rPr>
      <t xml:space="preserve">(2027 </t>
    </r>
    <r>
      <rPr>
        <b val="true"/>
        <sz val="9"/>
        <color rgb="FF000000"/>
        <rFont val="Noto Sans CJK SC"/>
        <family val="2"/>
      </rPr>
      <t xml:space="preserve">계획 </t>
    </r>
    <r>
      <rPr>
        <b val="true"/>
        <sz val="9"/>
        <color rgb="FF000000"/>
        <rFont val="Arial"/>
        <family val="0"/>
        <charset val="1"/>
      </rPr>
      <t xml:space="preserve">· 2028 </t>
    </r>
    <r>
      <rPr>
        <b val="true"/>
        <sz val="9"/>
        <color rgb="FF000000"/>
        <rFont val="Noto Sans CJK SC"/>
        <family val="2"/>
      </rPr>
      <t xml:space="preserve">가정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</si>
  <si>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하이닉스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연간</t>
    </r>
  </si>
  <si>
    <r>
      <rPr>
        <sz val="9"/>
        <color rgb="FF000000"/>
        <rFont val="Arial"/>
        <family val="0"/>
        <charset val="1"/>
      </rPr>
      <t xml:space="preserve">kg/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</si>
  <si>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연간 </t>
    </r>
    <r>
      <rPr>
        <sz val="9"/>
        <color rgb="FF000000"/>
        <rFont val="Arial"/>
        <family val="0"/>
        <charset val="1"/>
      </rPr>
      <t xml:space="preserve">÷ 12 (</t>
    </r>
    <r>
      <rPr>
        <sz val="9"/>
        <color rgb="FF000000"/>
        <rFont val="Noto Sans CJK SC"/>
        <family val="2"/>
      </rPr>
      <t xml:space="preserve">표시만 반올림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</si>
  <si>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CXMT 2027 3~6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</si>
  <si>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kg/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</si>
  <si>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1~2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0</t>
    </r>
  </si>
  <si>
    <r>
      <rPr>
        <sz val="9"/>
        <color rgb="FF000000"/>
        <rFont val="Arial"/>
        <family val="0"/>
        <charset val="1"/>
      </rPr>
      <t xml:space="preserve">CXMT 2027 7~12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</si>
  <si>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Noto Sans CJK SC"/>
        <family val="2"/>
      </rPr>
      <t xml:space="preserve">연 </t>
    </r>
    <r>
      <rPr>
        <sz val="9"/>
        <color rgb="FF000000"/>
        <rFont val="Arial"/>
        <family val="0"/>
        <charset val="1"/>
      </rPr>
      <t xml:space="preserve">7,000 kg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</si>
  <si>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2027 1~6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</si>
  <si>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용기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</si>
  <si>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2027 7~12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</si>
  <si>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용기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연 </t>
    </r>
    <r>
      <rPr>
        <sz val="9"/>
        <color rgb="FF000000"/>
        <rFont val="Arial"/>
        <family val="0"/>
        <charset val="1"/>
      </rPr>
      <t xml:space="preserve">10,080 kg</t>
    </r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</si>
  <si>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</si>
  <si>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1~12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</si>
  <si>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용기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연 </t>
    </r>
    <r>
      <rPr>
        <sz val="9"/>
        <color rgb="FF000000"/>
        <rFont val="Arial"/>
        <family val="0"/>
        <charset val="1"/>
      </rPr>
      <t xml:space="preserve">3,600 kg</t>
    </r>
  </si>
  <si>
    <r>
      <rPr>
        <sz val="9"/>
        <color rgb="FF000000"/>
        <rFont val="Noto Sans CJK SC"/>
        <family val="2"/>
      </rPr>
      <t xml:space="preserve">하이닉스 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연간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</si>
  <si>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하반기 수준 유지 가정</t>
    </r>
  </si>
  <si>
    <t xml:space="preserve">확정 고객 수요 아님</t>
  </si>
  <si>
    <r>
      <rPr>
        <sz val="9"/>
        <color rgb="FF000000"/>
        <rFont val="Arial"/>
        <family val="0"/>
        <charset val="1"/>
      </rPr>
      <t xml:space="preserve">CXMT 2028 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</si>
  <si>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</si>
  <si>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월</t>
    </r>
  </si>
  <si>
    <r>
      <rPr>
        <b val="true"/>
        <i val="true"/>
        <sz val="9"/>
        <color rgb="FFEB002C"/>
        <rFont val="Noto Sans CJK SC"/>
        <family val="2"/>
      </rPr>
      <t xml:space="preserve">고객별 월별 출하계획 </t>
    </r>
    <r>
      <rPr>
        <b val="true"/>
        <i val="true"/>
        <sz val="9"/>
        <color rgb="FFEB002C"/>
        <rFont val="Arial"/>
        <family val="0"/>
        <charset val="1"/>
      </rPr>
      <t xml:space="preserve">(kg) — 2026 </t>
    </r>
    <r>
      <rPr>
        <b val="true"/>
        <i val="true"/>
        <sz val="9"/>
        <color rgb="FFEB002C"/>
        <rFont val="Noto Sans CJK SC"/>
        <family val="2"/>
      </rPr>
      <t xml:space="preserve">제시분 </t>
    </r>
    <r>
      <rPr>
        <b val="true"/>
        <i val="true"/>
        <sz val="9"/>
        <color rgb="FFEB002C"/>
        <rFont val="Arial"/>
        <family val="0"/>
        <charset val="1"/>
      </rPr>
      <t xml:space="preserve">· 2027 </t>
    </r>
    <r>
      <rPr>
        <b val="true"/>
        <i val="true"/>
        <sz val="9"/>
        <color rgb="FFEB002C"/>
        <rFont val="Noto Sans CJK SC"/>
        <family val="2"/>
      </rPr>
      <t xml:space="preserve">계획 </t>
    </r>
    <r>
      <rPr>
        <b val="true"/>
        <i val="true"/>
        <sz val="9"/>
        <color rgb="FFEB002C"/>
        <rFont val="Arial"/>
        <family val="0"/>
        <charset val="1"/>
      </rPr>
      <t xml:space="preserve">· 2028 </t>
    </r>
    <r>
      <rPr>
        <b val="true"/>
        <i val="true"/>
        <sz val="9"/>
        <color rgb="FFEB002C"/>
        <rFont val="Noto Sans CJK SC"/>
        <family val="2"/>
      </rPr>
      <t xml:space="preserve">가정</t>
    </r>
  </si>
  <si>
    <t xml:space="preserve">고객</t>
  </si>
  <si>
    <t xml:space="preserve">연도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</si>
  <si>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</si>
  <si>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</si>
  <si>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</si>
  <si>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</si>
  <si>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</si>
  <si>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</si>
  <si>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</si>
  <si>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</si>
  <si>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</si>
  <si>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</si>
  <si>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11</t>
    </r>
    <r>
      <rPr>
        <b val="true"/>
        <sz val="9"/>
        <color rgb="FFFFFFFF"/>
        <rFont val="Noto Sans CJK SC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</si>
  <si>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Noto Sans CJK SC"/>
        <family val="2"/>
      </rPr>
      <t xml:space="preserve">월</t>
    </r>
  </si>
  <si>
    <t xml:space="preserve">연간</t>
  </si>
  <si>
    <r>
      <rPr>
        <b val="true"/>
        <sz val="9"/>
        <color rgb="FFFFFFFF"/>
        <rFont val="Noto Sans CJK SC"/>
        <family val="2"/>
      </rPr>
      <t xml:space="preserve">실적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계획 구분</t>
    </r>
  </si>
  <si>
    <t xml:space="preserve">하이닉스</t>
  </si>
  <si>
    <r>
      <rPr>
        <sz val="9"/>
        <color rgb="FF000000"/>
        <rFont val="Noto Sans CJK SC"/>
        <family val="2"/>
      </rPr>
      <t xml:space="preserve">원자료 실적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계획 구분 미확인</t>
    </r>
  </si>
  <si>
    <t xml:space="preserve">CXMT</t>
  </si>
  <si>
    <t xml:space="preserve">미제시</t>
  </si>
  <si>
    <r>
      <rPr>
        <sz val="9"/>
        <color rgb="FF000000"/>
        <rFont val="Noto Sans CJK SC"/>
        <family val="2"/>
      </rPr>
      <t xml:space="preserve">합계 제외 </t>
    </r>
    <r>
      <rPr>
        <sz val="9"/>
        <color rgb="FF000000"/>
        <rFont val="Arial"/>
        <family val="0"/>
        <charset val="1"/>
      </rPr>
      <t xml:space="preserve">· 0</t>
    </r>
    <r>
      <rPr>
        <sz val="9"/>
        <color rgb="FF000000"/>
        <rFont val="Noto Sans CJK SC"/>
        <family val="2"/>
      </rPr>
      <t xml:space="preserve">으로 확정 안 함</t>
    </r>
  </si>
  <si>
    <r>
      <rPr>
        <sz val="9"/>
        <color rgb="FF000000"/>
        <rFont val="Arial"/>
        <family val="0"/>
        <charset val="1"/>
      </rPr>
      <t xml:space="preserve">9~12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용기</t>
    </r>
  </si>
  <si>
    <t xml:space="preserve">22,720 ÷ 12</t>
  </si>
  <si>
    <r>
      <rPr>
        <sz val="9"/>
        <color rgb="FF000000"/>
        <rFont val="Arial"/>
        <family val="0"/>
        <charset val="1"/>
      </rPr>
      <t xml:space="preserve">1~2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0 · 3~6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580 · 7~12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780</t>
    </r>
  </si>
  <si>
    <r>
      <rPr>
        <sz val="9"/>
        <color rgb="FF000000"/>
        <rFont val="Arial"/>
        <family val="0"/>
        <charset val="1"/>
      </rPr>
      <t xml:space="preserve">1~6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560 · 7~12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1,120</t>
    </r>
  </si>
  <si>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300 kg (2</t>
    </r>
    <r>
      <rPr>
        <sz val="9"/>
        <color rgb="FF000000"/>
        <rFont val="Noto Sans CJK SC"/>
        <family val="2"/>
      </rPr>
      <t xml:space="preserve">용기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</si>
  <si>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2026 </t>
    </r>
    <r>
      <rPr>
        <b val="true"/>
        <sz val="9"/>
        <color rgb="FF000000"/>
        <rFont val="Noto Sans CJK SC"/>
        <family val="2"/>
      </rPr>
      <t xml:space="preserve">합계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제시분</t>
    </r>
    <r>
      <rPr>
        <b val="true"/>
        <sz val="9"/>
        <color rgb="FF000000"/>
        <rFont val="Arial"/>
        <family val="0"/>
        <charset val="1"/>
      </rPr>
      <t xml:space="preserve">: </t>
    </r>
    <r>
      <rPr>
        <b val="true"/>
        <sz val="9"/>
        <color rgb="FF000000"/>
        <rFont val="Noto Sans CJK SC"/>
        <family val="2"/>
      </rPr>
      <t xml:space="preserve">하이닉스</t>
    </r>
    <r>
      <rPr>
        <b val="true"/>
        <sz val="9"/>
        <color rgb="FF000000"/>
        <rFont val="Arial"/>
        <family val="0"/>
        <charset val="1"/>
      </rPr>
      <t xml:space="preserve">+</t>
    </r>
    <r>
      <rPr>
        <b val="true"/>
        <sz val="9"/>
        <color rgb="FF000000"/>
        <rFont val="Noto Sans CJK SC"/>
        <family val="2"/>
      </rPr>
      <t xml:space="preserve">이지켐</t>
    </r>
    <r>
      <rPr>
        <b val="true"/>
        <sz val="9"/>
        <color rgb="FF000000"/>
        <rFont val="Arial"/>
        <family val="0"/>
        <charset val="1"/>
      </rPr>
      <t xml:space="preserve">)</t>
    </r>
  </si>
  <si>
    <t xml:space="preserve">합계</t>
  </si>
  <si>
    <r>
      <rPr>
        <sz val="9"/>
        <color rgb="FF000000"/>
        <rFont val="Arial"/>
        <family val="0"/>
        <charset val="1"/>
      </rPr>
      <t xml:space="preserve">CXMT·</t>
    </r>
    <r>
      <rPr>
        <sz val="9"/>
        <color rgb="FF000000"/>
        <rFont val="Noto Sans CJK SC"/>
        <family val="2"/>
      </rPr>
      <t xml:space="preserve">한솔 미제시분 미포함</t>
    </r>
  </si>
  <si>
    <r>
      <rPr>
        <b val="true"/>
        <sz val="9"/>
        <color rgb="FF000000"/>
        <rFont val="Arial"/>
        <family val="0"/>
        <charset val="1"/>
      </rPr>
      <t xml:space="preserve">2027 </t>
    </r>
    <r>
      <rPr>
        <b val="true"/>
        <sz val="9"/>
        <color rgb="FF000000"/>
        <rFont val="Noto Sans CJK SC"/>
        <family val="2"/>
      </rPr>
      <t xml:space="preserve">합계</t>
    </r>
  </si>
  <si>
    <r>
      <rPr>
        <sz val="9"/>
        <color rgb="FF000000"/>
        <rFont val="Noto Sans CJK SC"/>
        <family val="2"/>
      </rPr>
      <t xml:space="preserve">검증 </t>
    </r>
    <r>
      <rPr>
        <sz val="9"/>
        <color rgb="FF000000"/>
        <rFont val="Arial"/>
        <family val="0"/>
        <charset val="1"/>
      </rPr>
      <t xml:space="preserve">43,400 kg</t>
    </r>
  </si>
  <si>
    <r>
      <rPr>
        <b val="true"/>
        <sz val="9"/>
        <color rgb="FF000000"/>
        <rFont val="Arial"/>
        <family val="0"/>
        <charset val="1"/>
      </rPr>
      <t xml:space="preserve">2028 </t>
    </r>
    <r>
      <rPr>
        <b val="true"/>
        <sz val="9"/>
        <color rgb="FF000000"/>
        <rFont val="Noto Sans CJK SC"/>
        <family val="2"/>
      </rPr>
      <t xml:space="preserve">합계</t>
    </r>
  </si>
  <si>
    <r>
      <rPr>
        <sz val="9"/>
        <color rgb="FF000000"/>
        <rFont val="Noto Sans CJK SC"/>
        <family val="2"/>
      </rPr>
      <t xml:space="preserve">검증 </t>
    </r>
    <r>
      <rPr>
        <sz val="9"/>
        <color rgb="FF000000"/>
        <rFont val="Arial"/>
        <family val="0"/>
        <charset val="1"/>
      </rPr>
      <t xml:space="preserve">49,120 kg</t>
    </r>
  </si>
  <si>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: 2026 </t>
    </r>
    <r>
      <rPr>
        <sz val="9"/>
        <color rgb="FF000000"/>
        <rFont val="Noto Sans CJK SC"/>
        <family val="2"/>
      </rPr>
      <t xml:space="preserve">합계 </t>
    </r>
    <r>
      <rPr>
        <sz val="9"/>
        <color rgb="FF000000"/>
        <rFont val="Arial"/>
        <family val="0"/>
        <charset val="1"/>
      </rPr>
      <t xml:space="preserve">= 19,220 kg</t>
    </r>
  </si>
  <si>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: 2027 </t>
    </r>
    <r>
      <rPr>
        <sz val="9"/>
        <color rgb="FF000000"/>
        <rFont val="Noto Sans CJK SC"/>
        <family val="2"/>
      </rPr>
      <t xml:space="preserve">합계 </t>
    </r>
    <r>
      <rPr>
        <sz val="9"/>
        <color rgb="FF000000"/>
        <rFont val="Arial"/>
        <family val="0"/>
        <charset val="1"/>
      </rPr>
      <t xml:space="preserve">= 43,400 kg</t>
    </r>
  </si>
  <si>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: 2028 </t>
    </r>
    <r>
      <rPr>
        <sz val="9"/>
        <color rgb="FF000000"/>
        <rFont val="Noto Sans CJK SC"/>
        <family val="2"/>
      </rPr>
      <t xml:space="preserve">합계 </t>
    </r>
    <r>
      <rPr>
        <sz val="9"/>
        <color rgb="FF000000"/>
        <rFont val="Arial"/>
        <family val="0"/>
        <charset val="1"/>
      </rPr>
      <t xml:space="preserve">= 49,120 kg</t>
    </r>
  </si>
  <si>
    <r>
      <rPr>
        <b val="true"/>
        <sz val="14"/>
        <color rgb="FFEB002C"/>
        <rFont val="Arial"/>
        <family val="0"/>
        <charset val="1"/>
      </rPr>
      <t xml:space="preserve">02_Batch_Raw | </t>
    </r>
    <r>
      <rPr>
        <b val="true"/>
        <sz val="14"/>
        <color rgb="FFEB002C"/>
        <rFont val="Noto Sans CJK SC"/>
        <family val="2"/>
      </rPr>
      <t xml:space="preserve">과거 </t>
    </r>
    <r>
      <rPr>
        <b val="true"/>
        <sz val="14"/>
        <color rgb="FFEB002C"/>
        <rFont val="Arial"/>
        <family val="0"/>
        <charset val="1"/>
      </rPr>
      <t xml:space="preserve">Batch </t>
    </r>
    <r>
      <rPr>
        <b val="true"/>
        <sz val="14"/>
        <color rgb="FFEB002C"/>
        <rFont val="Noto Sans CJK SC"/>
        <family val="2"/>
      </rPr>
      <t xml:space="preserve">생산계획 원자료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대조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간격</t>
    </r>
  </si>
  <si>
    <r>
      <rPr>
        <i val="true"/>
        <sz val="9"/>
        <color rgb="FF7F7F7F"/>
        <rFont val="Arial"/>
        <family val="0"/>
        <charset val="1"/>
      </rPr>
      <t xml:space="preserve">A~N</t>
    </r>
    <r>
      <rPr>
        <i val="true"/>
        <sz val="9"/>
        <color rgb="FF7F7F7F"/>
        <rFont val="Noto Sans CJK SC"/>
        <family val="2"/>
      </rPr>
      <t xml:space="preserve">열 원자료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수정 금지</t>
    </r>
    <r>
      <rPr>
        <i val="true"/>
        <sz val="9"/>
        <color rgb="FF7F7F7F"/>
        <rFont val="Arial"/>
        <family val="0"/>
        <charset val="1"/>
      </rPr>
      <t xml:space="preserve">) · O</t>
    </r>
    <r>
      <rPr>
        <i val="true"/>
        <sz val="9"/>
        <color rgb="FF7F7F7F"/>
        <rFont val="Noto Sans CJK SC"/>
        <family val="2"/>
      </rPr>
      <t xml:space="preserve">열 이후 분석 수식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표시일자는 날짜만 있는 생산계획 — 실제 운전 시각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실적 아님</t>
    </r>
    <r>
      <rPr>
        <i val="true"/>
        <sz val="9"/>
        <color rgb="FF7F7F7F"/>
        <rFont val="Arial"/>
        <family val="0"/>
        <charset val="1"/>
      </rPr>
      <t xml:space="preserve">.</t>
    </r>
  </si>
  <si>
    <t xml:space="preserve">No</t>
  </si>
  <si>
    <t xml:space="preserve">원본 파일</t>
  </si>
  <si>
    <t xml:space="preserve">출처 위치</t>
  </si>
  <si>
    <r>
      <rPr>
        <b val="true"/>
        <sz val="9"/>
        <color rgb="FFFFFFFF"/>
        <rFont val="Arial"/>
        <family val="0"/>
        <charset val="1"/>
      </rPr>
      <t xml:space="preserve">Batch </t>
    </r>
    <r>
      <rPr>
        <b val="true"/>
        <sz val="9"/>
        <color rgb="FFFFFFFF"/>
        <rFont val="Noto Sans CJK SC"/>
        <family val="2"/>
      </rPr>
      <t xml:space="preserve">번호</t>
    </r>
  </si>
  <si>
    <t xml:space="preserve">표시일자</t>
  </si>
  <si>
    <r>
      <rPr>
        <b val="true"/>
        <sz val="9"/>
        <color rgb="FFFFFFFF"/>
        <rFont val="Noto Sans CJK SC"/>
        <family val="2"/>
      </rPr>
      <t xml:space="preserve">실제 시각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미확인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</si>
  <si>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표시일자 의미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확인란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</si>
  <si>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계획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실적</t>
    </r>
  </si>
  <si>
    <r>
      <rPr>
        <b val="true"/>
        <sz val="9"/>
        <color rgb="FFFFFFFF"/>
        <rFont val="Noto Sans CJK SC"/>
        <family val="2"/>
      </rPr>
      <t xml:space="preserve">원자료 색상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분포도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</si>
  <si>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색상 의미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확인란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</si>
  <si>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노트 표기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원본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수정본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</si>
  <si>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분포도 판독
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日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</si>
  <si>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사용자 지시
목록 일자</t>
  </si>
  <si>
    <t xml:space="preserve">대조 결과</t>
  </si>
  <si>
    <t xml:space="preserve">월</t>
  </si>
  <si>
    <t xml:space="preserve">간격 분석
포함</t>
  </si>
  <si>
    <t xml:space="preserve">번호 연속</t>
  </si>
  <si>
    <t xml:space="preserve">중복</t>
  </si>
  <si>
    <r>
      <rPr>
        <b val="true"/>
        <sz val="9"/>
        <color rgb="FFFFFFFF"/>
        <rFont val="Noto Sans CJK SC"/>
        <family val="2"/>
      </rPr>
      <t xml:space="preserve">이전과 간격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</si>
  <si>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월 경계</t>
  </si>
  <si>
    <r>
      <rPr>
        <b val="true"/>
        <sz val="9"/>
        <color rgb="FFFFFFFF"/>
        <rFont val="Noto Sans CJK SC"/>
        <family val="2"/>
      </rPr>
      <t xml:space="preserve">명목 간격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</si>
  <si>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최소 경과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</si>
  <si>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최대 경과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</si>
  <si>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롤링 </t>
    </r>
    <r>
      <rPr>
        <b val="true"/>
        <sz val="9"/>
        <color rgb="FFFFFFFF"/>
        <rFont val="Arial"/>
        <family val="0"/>
        <charset val="1"/>
      </rPr>
      <t xml:space="preserve">k</t>
    </r>
    <r>
      <rPr>
        <b val="true"/>
        <sz val="9"/>
        <color rgb="FFFFFFFF"/>
        <rFont val="Noto Sans CJK SC"/>
        <family val="2"/>
      </rPr>
      <t xml:space="preserve">간격
누적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</si>
  <si>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롤링 평균
최대 경과 </t>
    </r>
    <r>
      <rPr>
        <b val="true"/>
        <sz val="9"/>
        <color rgb="FFFFFFFF"/>
        <rFont val="Arial"/>
        <family val="0"/>
        <charset val="1"/>
      </rPr>
      <t xml:space="preserve">(h)</t>
    </r>
  </si>
  <si>
    <t xml:space="preserve">정제기 점유 정합</t>
  </si>
  <si>
    <r>
      <rPr>
        <sz val="9"/>
        <color rgb="FF000000"/>
        <rFont val="Arial"/>
        <family val="0"/>
        <charset val="1"/>
      </rPr>
      <t xml:space="preserve">SKTC_CpZr_Capacity_Reflux_Roadmap_2027_2028.pptx (</t>
    </r>
    <r>
      <rPr>
        <sz val="9"/>
        <color rgb="FF000000"/>
        <rFont val="Noto Sans CJK SC"/>
        <family val="2"/>
      </rPr>
      <t xml:space="preserve">첨부 원본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수정본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</si>
  <si>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장 발표자 노트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수정본</t>
    </r>
    <r>
      <rPr>
        <sz val="9"/>
        <color rgb="FF000000"/>
        <rFont val="Arial"/>
        <family val="0"/>
        <charset val="1"/>
      </rPr>
      <t xml:space="preserve">) · </t>
    </r>
    <r>
      <rPr>
        <sz val="9"/>
        <color rgb="FF000000"/>
        <rFont val="Noto Sans CJK SC"/>
        <family val="2"/>
      </rPr>
      <t xml:space="preserve">원본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장 분포도</t>
    </r>
  </si>
  <si>
    <r>
      <rPr>
        <sz val="9"/>
        <color rgb="FF000000"/>
        <rFont val="Noto Sans CJK SC"/>
        <family val="2"/>
      </rPr>
      <t xml:space="preserve">생산계획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원자료</t>
    </r>
    <r>
      <rPr>
        <sz val="9"/>
        <color rgb="FF000000"/>
        <rFont val="Arial"/>
        <family val="0"/>
        <charset val="1"/>
      </rPr>
      <t xml:space="preserve">) — </t>
    </r>
    <r>
      <rPr>
        <sz val="9"/>
        <color rgb="FF000000"/>
        <rFont val="Noto Sans CJK SC"/>
        <family val="2"/>
      </rPr>
      <t xml:space="preserve">실적 미검증</t>
    </r>
  </si>
  <si>
    <t xml:space="preserve">회색</t>
  </si>
  <si>
    <t xml:space="preserve">5/23</t>
  </si>
  <si>
    <t xml:space="preserve">5/26</t>
  </si>
  <si>
    <t xml:space="preserve">주황</t>
  </si>
  <si>
    <t xml:space="preserve">6/5</t>
  </si>
  <si>
    <t xml:space="preserve">6/8</t>
  </si>
  <si>
    <t xml:space="preserve">6/11</t>
  </si>
  <si>
    <t xml:space="preserve">6/14</t>
  </si>
  <si>
    <t xml:space="preserve">6/17</t>
  </si>
  <si>
    <t xml:space="preserve">6/20</t>
  </si>
  <si>
    <t xml:space="preserve">6/23</t>
  </si>
  <si>
    <t xml:space="preserve">6/25</t>
  </si>
  <si>
    <t xml:space="preserve">6/27</t>
  </si>
  <si>
    <t xml:space="preserve">6/28</t>
  </si>
  <si>
    <t xml:space="preserve">7/1</t>
  </si>
  <si>
    <t xml:space="preserve">7/3</t>
  </si>
  <si>
    <t xml:space="preserve">7/6</t>
  </si>
  <si>
    <t xml:space="preserve">7/8</t>
  </si>
  <si>
    <t xml:space="preserve">7/11</t>
  </si>
  <si>
    <t xml:space="preserve">7/14</t>
  </si>
  <si>
    <t xml:space="preserve">7/17</t>
  </si>
  <si>
    <t xml:space="preserve">7/20</t>
  </si>
  <si>
    <t xml:space="preserve">7/23</t>
  </si>
  <si>
    <t xml:space="preserve">7/26</t>
  </si>
  <si>
    <t xml:space="preserve">7/29</t>
  </si>
  <si>
    <t xml:space="preserve">8/1</t>
  </si>
  <si>
    <t xml:space="preserve">8/4</t>
  </si>
  <si>
    <t xml:space="preserve">8/7</t>
  </si>
  <si>
    <t xml:space="preserve">8/10</t>
  </si>
  <si>
    <t xml:space="preserve">8/13</t>
  </si>
  <si>
    <t xml:space="preserve">8/16</t>
  </si>
  <si>
    <t xml:space="preserve">8/19</t>
  </si>
  <si>
    <t xml:space="preserve">8/22</t>
  </si>
  <si>
    <t xml:space="preserve">8/25</t>
  </si>
  <si>
    <t xml:space="preserve">8/28</t>
  </si>
  <si>
    <t xml:space="preserve">8/31</t>
  </si>
  <si>
    <t xml:space="preserve">9/3</t>
  </si>
  <si>
    <t xml:space="preserve">9/5</t>
  </si>
  <si>
    <t xml:space="preserve">9/7</t>
  </si>
  <si>
    <t xml:space="preserve">9/9</t>
  </si>
  <si>
    <t xml:space="preserve">9/11</t>
  </si>
  <si>
    <t xml:space="preserve">9/14</t>
  </si>
  <si>
    <t xml:space="preserve">9/19</t>
  </si>
  <si>
    <t xml:space="preserve">9/23</t>
  </si>
  <si>
    <t xml:space="preserve">9/26</t>
  </si>
  <si>
    <t xml:space="preserve">9/28</t>
  </si>
  <si>
    <t xml:space="preserve">10/1</t>
  </si>
  <si>
    <t xml:space="preserve">10/4</t>
  </si>
  <si>
    <t xml:space="preserve">10/7</t>
  </si>
  <si>
    <t xml:space="preserve">10/10</t>
  </si>
  <si>
    <t xml:space="preserve">10/12</t>
  </si>
  <si>
    <t xml:space="preserve">10/15</t>
  </si>
  <si>
    <t xml:space="preserve">10/18</t>
  </si>
  <si>
    <t xml:space="preserve">10/20</t>
  </si>
  <si>
    <t xml:space="preserve">10/23</t>
  </si>
  <si>
    <t xml:space="preserve">10/26</t>
  </si>
  <si>
    <r>
      <rPr>
        <b val="true"/>
        <i val="true"/>
        <sz val="9"/>
        <color rgb="FFEB002C"/>
        <rFont val="Noto Sans CJK SC"/>
        <family val="2"/>
      </rPr>
      <t xml:space="preserve">월별 집계 </t>
    </r>
    <r>
      <rPr>
        <b val="true"/>
        <i val="true"/>
        <sz val="9"/>
        <color rgb="FFEB002C"/>
        <rFont val="Arial"/>
        <family val="0"/>
        <charset val="1"/>
      </rPr>
      <t xml:space="preserve">· </t>
    </r>
    <r>
      <rPr>
        <b val="true"/>
        <i val="true"/>
        <sz val="9"/>
        <color rgb="FFEB002C"/>
        <rFont val="Noto Sans CJK SC"/>
        <family val="2"/>
      </rPr>
      <t xml:space="preserve">간격 분포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간격은 뒤 </t>
    </r>
    <r>
      <rPr>
        <b val="true"/>
        <i val="true"/>
        <sz val="9"/>
        <color rgb="FFEB002C"/>
        <rFont val="Arial"/>
        <family val="0"/>
        <charset val="1"/>
      </rPr>
      <t xml:space="preserve">Batch</t>
    </r>
    <r>
      <rPr>
        <b val="true"/>
        <i val="true"/>
        <sz val="9"/>
        <color rgb="FFEB002C"/>
        <rFont val="Noto Sans CJK SC"/>
        <family val="2"/>
      </rPr>
      <t xml:space="preserve">의 월에 귀속</t>
    </r>
    <r>
      <rPr>
        <b val="true"/>
        <i val="true"/>
        <sz val="9"/>
        <color rgb="FFEB002C"/>
        <rFont val="Arial"/>
        <family val="0"/>
        <charset val="1"/>
      </rPr>
      <t xml:space="preserve">, </t>
    </r>
    <r>
      <rPr>
        <b val="true"/>
        <i val="true"/>
        <sz val="9"/>
        <color rgb="FFEB002C"/>
        <rFont val="Noto Sans CJK SC"/>
        <family val="2"/>
      </rPr>
      <t xml:space="preserve">분석 범위 내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</si>
  <si>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t xml:space="preserve">번호 범위</t>
  </si>
  <si>
    <t xml:space="preserve">번호 개수</t>
  </si>
  <si>
    <r>
      <rPr>
        <b val="true"/>
        <sz val="9"/>
        <color rgb="FFFFFFFF"/>
        <rFont val="Noto Sans CJK SC"/>
        <family val="2"/>
      </rPr>
      <t xml:space="preserve">원자료 </t>
    </r>
    <r>
      <rPr>
        <b val="true"/>
        <sz val="9"/>
        <color rgb="FFFFFFFF"/>
        <rFont val="Arial"/>
        <family val="0"/>
        <charset val="1"/>
      </rPr>
      <t xml:space="preserve">Total</t>
    </r>
  </si>
  <si>
    <r>
      <rPr>
        <b val="true"/>
        <sz val="9"/>
        <color rgb="FFFFFFFF"/>
        <rFont val="Noto Sans CJK SC"/>
        <family val="2"/>
      </rPr>
      <t xml:space="preserve">차이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번호−</t>
    </r>
    <r>
      <rPr>
        <b val="true"/>
        <sz val="9"/>
        <color rgb="FFFFFFFF"/>
        <rFont val="Arial"/>
        <family val="0"/>
        <charset val="1"/>
      </rPr>
      <t xml:space="preserve">Total)</t>
    </r>
  </si>
  <si>
    <r>
      <rPr>
        <b val="true"/>
        <sz val="9"/>
        <color rgb="FFFFFFFF"/>
        <rFont val="Noto Sans CJK SC"/>
        <family val="2"/>
      </rPr>
      <t xml:space="preserve">번호</t>
    </r>
    <r>
      <rPr>
        <b val="true"/>
        <sz val="9"/>
        <color rgb="FFFFFFFF"/>
        <rFont val="Arial"/>
        <family val="0"/>
        <charset val="1"/>
      </rPr>
      <t xml:space="preserve">×190
(kg)</t>
    </r>
  </si>
  <si>
    <t xml:space="preserve">Total×190
(kg)</t>
  </si>
  <si>
    <t xml:space="preserve">첫 표시일</t>
  </si>
  <si>
    <t xml:space="preserve">마지막 표시일</t>
  </si>
  <si>
    <t xml:space="preserve">간격 수</t>
  </si>
  <si>
    <r>
      <rPr>
        <b val="true"/>
        <sz val="9"/>
        <color rgb="FFFFFFFF"/>
        <rFont val="Noto Sans CJK SC"/>
        <family val="2"/>
      </rPr>
      <t xml:space="preserve">평균 간격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</si>
  <si>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중앙값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</si>
  <si>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최소</t>
  </si>
  <si>
    <t xml:space="preserve">최대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</si>
  <si>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일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</si>
  <si>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일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</si>
  <si>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일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</si>
  <si>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일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</si>
  <si>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일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</si>
  <si>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일 이상</t>
    </r>
  </si>
  <si>
    <t xml:space="preserve">월 경계
간격 수</t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</si>
  <si>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</si>
  <si>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#37·#38</t>
    </r>
    <r>
      <rPr>
        <sz val="9"/>
        <color rgb="FF000000"/>
        <rFont val="Noto Sans CJK SC"/>
        <family val="2"/>
      </rPr>
      <t xml:space="preserve">만 제공 — 주 추정 제외</t>
    </r>
  </si>
  <si>
    <r>
      <rPr>
        <sz val="9"/>
        <color rgb="FF000000"/>
        <rFont val="Arial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</si>
  <si>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7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</si>
  <si>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</si>
  <si>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월</t>
    </r>
  </si>
  <si>
    <r>
      <rPr>
        <sz val="9"/>
        <color rgb="FF000000"/>
        <rFont val="Arial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월</t>
    </r>
  </si>
  <si>
    <r>
      <rPr>
        <b val="true"/>
        <sz val="9"/>
        <color rgb="FF000000"/>
        <rFont val="Arial"/>
        <family val="0"/>
        <charset val="1"/>
      </rPr>
      <t xml:space="preserve">6~10</t>
    </r>
    <r>
      <rPr>
        <b val="true"/>
        <sz val="9"/>
        <color rgb="FF000000"/>
        <rFont val="Noto Sans CJK SC"/>
        <family val="2"/>
      </rPr>
      <t xml:space="preserve">월 합계</t>
    </r>
  </si>
  <si>
    <r>
      <rPr>
        <b val="true"/>
        <sz val="9"/>
        <color rgb="FF000000"/>
        <rFont val="Arial"/>
        <family val="0"/>
        <charset val="1"/>
      </rPr>
      <t xml:space="preserve">5→6</t>
    </r>
    <r>
      <rPr>
        <b val="true"/>
        <sz val="9"/>
        <color rgb="FF000000"/>
        <rFont val="Noto Sans CJK SC"/>
        <family val="2"/>
      </rPr>
      <t xml:space="preserve">월 경계</t>
    </r>
    <r>
      <rPr>
        <b val="true"/>
        <sz val="9"/>
        <color rgb="FF000000"/>
        <rFont val="Arial"/>
        <family val="0"/>
        <charset val="1"/>
      </rPr>
      <t xml:space="preserve">(7</t>
    </r>
    <r>
      <rPr>
        <b val="true"/>
        <sz val="9"/>
        <color rgb="FF000000"/>
        <rFont val="Noto Sans CJK SC"/>
        <family val="2"/>
      </rPr>
      <t xml:space="preserve">일</t>
    </r>
    <r>
      <rPr>
        <b val="true"/>
        <sz val="9"/>
        <color rgb="FF000000"/>
        <rFont val="Arial"/>
        <family val="0"/>
        <charset val="1"/>
      </rPr>
      <t xml:space="preserve">)</t>
    </r>
    <r>
      <rPr>
        <b val="true"/>
        <sz val="9"/>
        <color rgb="FF000000"/>
        <rFont val="Noto Sans CJK SC"/>
        <family val="2"/>
      </rPr>
      <t xml:space="preserve">는 분석 범위 밖</t>
    </r>
  </si>
  <si>
    <r>
      <rPr>
        <sz val="9"/>
        <color rgb="FF000000"/>
        <rFont val="Noto Sans CJK SC"/>
        <family val="2"/>
      </rPr>
      <t xml:space="preserve">대조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차이 확인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Noto Sans CJK SC"/>
        <family val="2"/>
      </rPr>
      <t xml:space="preserve">건수</t>
    </r>
  </si>
  <si>
    <t xml:space="preserve">번호 불연속</t>
  </si>
  <si>
    <t xml:space="preserve">중복 번호</t>
  </si>
  <si>
    <r>
      <rPr>
        <sz val="9"/>
        <color rgb="FF000000"/>
        <rFont val="Arial"/>
        <family val="0"/>
        <charset val="1"/>
      </rPr>
      <t xml:space="preserve">Total≠</t>
    </r>
    <r>
      <rPr>
        <sz val="9"/>
        <color rgb="FF000000"/>
        <rFont val="Noto Sans CJK SC"/>
        <family val="2"/>
      </rPr>
      <t xml:space="preserve">번호 월 수</t>
    </r>
  </si>
  <si>
    <t xml:space="preserve">정제기 점유 하한 미만 롤링 구간</t>
  </si>
  <si>
    <r>
      <rPr>
        <i val="true"/>
        <sz val="9"/>
        <color rgb="FF7F7F7F"/>
        <rFont val="Noto Sans CJK SC"/>
        <family val="2"/>
      </rPr>
      <t xml:space="preserve">※ 원본 이미지 </t>
    </r>
    <r>
      <rPr>
        <i val="true"/>
        <sz val="9"/>
        <color rgb="FF7F7F7F"/>
        <rFont val="Arial"/>
        <family val="0"/>
        <charset val="1"/>
      </rPr>
      <t xml:space="preserve">5</t>
    </r>
    <r>
      <rPr>
        <i val="true"/>
        <sz val="9"/>
        <color rgb="FF7F7F7F"/>
        <rFont val="Noto Sans CJK SC"/>
        <family val="2"/>
      </rPr>
      <t xml:space="preserve">개는 첨부되지 않음 → 원본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수정본 발표자 노트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원본 분포도 좌표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사용자 지시 목록 대조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</si>
  <si>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※ D</t>
    </r>
    <r>
      <rPr>
        <i val="true"/>
        <sz val="9"/>
        <color rgb="FF7F7F7F"/>
        <rFont val="Noto Sans CJK SC"/>
        <family val="2"/>
      </rPr>
      <t xml:space="preserve">일 간격 실제 경과 </t>
    </r>
    <r>
      <rPr>
        <i val="true"/>
        <sz val="9"/>
        <color rgb="FF7F7F7F"/>
        <rFont val="Arial"/>
        <family val="0"/>
        <charset val="1"/>
      </rPr>
      <t xml:space="preserve">= (D−1)×24 ~ (D+1)×24 h. 2</t>
    </r>
    <r>
      <rPr>
        <i val="true"/>
        <sz val="9"/>
        <color rgb="FF7F7F7F"/>
        <rFont val="Noto Sans CJK SC"/>
        <family val="2"/>
      </rPr>
      <t xml:space="preserve">일 </t>
    </r>
    <r>
      <rPr>
        <i val="true"/>
        <sz val="9"/>
        <color rgb="FF7F7F7F"/>
        <rFont val="Arial"/>
        <family val="0"/>
        <charset val="1"/>
      </rPr>
      <t xml:space="preserve">= 24~72 h — 48 h</t>
    </r>
    <r>
      <rPr>
        <i val="true"/>
        <sz val="9"/>
        <color rgb="FF7F7F7F"/>
        <rFont val="Noto Sans CJK SC"/>
        <family val="2"/>
      </rPr>
      <t xml:space="preserve">로 단정하지 않음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</si>
  <si>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※ 정제기 점유 정합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롤링 </t>
    </r>
    <r>
      <rPr>
        <i val="true"/>
        <sz val="9"/>
        <color rgb="FF7F7F7F"/>
        <rFont val="Arial"/>
        <family val="0"/>
        <charset val="1"/>
      </rPr>
      <t xml:space="preserve">k</t>
    </r>
    <r>
      <rPr>
        <i val="true"/>
        <sz val="9"/>
        <color rgb="FF7F7F7F"/>
        <rFont val="Noto Sans CJK SC"/>
        <family val="2"/>
      </rPr>
      <t xml:space="preserve">간격 평균 최대 경과가 점유 하한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준비 </t>
    </r>
    <r>
      <rPr>
        <i val="true"/>
        <sz val="9"/>
        <color rgb="FF7F7F7F"/>
        <rFont val="Arial"/>
        <family val="0"/>
        <charset val="1"/>
      </rPr>
      <t xml:space="preserve">2 + </t>
    </r>
    <r>
      <rPr>
        <i val="true"/>
        <sz val="9"/>
        <color rgb="FF7F7F7F"/>
        <rFont val="Noto Sans CJK SC"/>
        <family val="2"/>
      </rPr>
      <t xml:space="preserve">정제 </t>
    </r>
    <r>
      <rPr>
        <i val="true"/>
        <sz val="9"/>
        <color rgb="FF7F7F7F"/>
        <rFont val="Arial"/>
        <family val="0"/>
        <charset val="1"/>
      </rPr>
      <t xml:space="preserve">45 + </t>
    </r>
    <r>
      <rPr>
        <i val="true"/>
        <sz val="9"/>
        <color rgb="FF7F7F7F"/>
        <rFont val="Noto Sans CJK SC"/>
        <family val="2"/>
      </rPr>
      <t xml:space="preserve">이송 점유 입력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보다 짧으면 표시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</si>
  <si>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※ 번호 개수 ≠ 양품 완료 </t>
    </r>
    <r>
      <rPr>
        <i val="true"/>
        <sz val="9"/>
        <color rgb="FF7F7F7F"/>
        <rFont val="Arial"/>
        <family val="0"/>
        <charset val="1"/>
      </rPr>
      <t xml:space="preserve">Batch. </t>
    </r>
    <r>
      <rPr>
        <i val="true"/>
        <sz val="9"/>
        <color rgb="FF7F7F7F"/>
        <rFont val="Noto Sans CJK SC"/>
        <family val="2"/>
      </rPr>
      <t xml:space="preserve">원자료 </t>
    </r>
    <r>
      <rPr>
        <i val="true"/>
        <sz val="9"/>
        <color rgb="FF7F7F7F"/>
        <rFont val="Arial"/>
        <family val="0"/>
        <charset val="1"/>
      </rPr>
      <t xml:space="preserve">Total </t>
    </r>
    <r>
      <rPr>
        <i val="true"/>
        <sz val="9"/>
        <color rgb="FF7F7F7F"/>
        <rFont val="Noto Sans CJK SC"/>
        <family val="2"/>
      </rPr>
      <t xml:space="preserve">집계 대상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색상 의미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표시일자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투입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완료</t>
    </r>
    <r>
      <rPr>
        <i val="true"/>
        <sz val="9"/>
        <color rgb="FF7F7F7F"/>
        <rFont val="Arial"/>
        <family val="0"/>
        <charset val="1"/>
      </rPr>
      <t xml:space="preserve">) </t>
    </r>
    <r>
      <rPr>
        <i val="true"/>
        <sz val="9"/>
        <color rgb="FF7F7F7F"/>
        <rFont val="Noto Sans CJK SC"/>
        <family val="2"/>
      </rPr>
      <t xml:space="preserve">의미 확인 필요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</si>
  <si>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b val="true"/>
        <sz val="14"/>
        <color rgb="FFEB002C"/>
        <rFont val="Arial"/>
        <family val="0"/>
        <charset val="1"/>
      </rPr>
      <t xml:space="preserve">03_Capacity_Model | </t>
    </r>
    <r>
      <rPr>
        <b val="true"/>
        <sz val="14"/>
        <color rgb="FFEB002C"/>
        <rFont val="Noto Sans CJK SC"/>
        <family val="2"/>
      </rPr>
      <t xml:space="preserve">공정시간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정제기 점유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이론</t>
    </r>
    <r>
      <rPr>
        <b val="true"/>
        <sz val="14"/>
        <color rgb="FFEB002C"/>
        <rFont val="Arial"/>
        <family val="0"/>
        <charset val="1"/>
      </rPr>
      <t xml:space="preserve">/</t>
    </r>
    <r>
      <rPr>
        <b val="true"/>
        <sz val="14"/>
        <color rgb="FFEB002C"/>
        <rFont val="Noto Sans CJK SC"/>
        <family val="2"/>
      </rPr>
      <t xml:space="preserve">과거</t>
    </r>
    <r>
      <rPr>
        <b val="true"/>
        <sz val="14"/>
        <color rgb="FFEB002C"/>
        <rFont val="Arial"/>
        <family val="0"/>
        <charset val="1"/>
      </rPr>
      <t xml:space="preserve">/</t>
    </r>
    <r>
      <rPr>
        <b val="true"/>
        <sz val="14"/>
        <color rgb="FFEB002C"/>
        <rFont val="Noto Sans CJK SC"/>
        <family val="2"/>
      </rPr>
      <t xml:space="preserve">관측 </t>
    </r>
    <r>
      <rPr>
        <b val="true"/>
        <sz val="14"/>
        <color rgb="FFEB002C"/>
        <rFont val="Arial"/>
        <family val="0"/>
        <charset val="1"/>
      </rPr>
      <t xml:space="preserve">· 2</t>
    </r>
    <r>
      <rPr>
        <b val="true"/>
        <sz val="14"/>
        <color rgb="FFEB002C"/>
        <rFont val="Noto Sans CJK SC"/>
        <family val="2"/>
      </rPr>
      <t xml:space="preserve">대 시차 운전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후공정 자원</t>
    </r>
  </si>
  <si>
    <r>
      <rPr>
        <i val="true"/>
        <sz val="9"/>
        <color rgb="FF7F7F7F"/>
        <rFont val="Arial"/>
        <family val="0"/>
        <charset val="1"/>
      </rPr>
      <t xml:space="preserve">Lead Time(</t>
    </r>
    <r>
      <rPr>
        <i val="true"/>
        <sz val="9"/>
        <color rgb="FF7F7F7F"/>
        <rFont val="Noto Sans CJK SC"/>
        <family val="2"/>
      </rPr>
      <t xml:space="preserve">입고→출하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과 정제기 투입 간격을 구분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충진은 다음 </t>
    </r>
    <r>
      <rPr>
        <i val="true"/>
        <sz val="9"/>
        <color rgb="FF7F7F7F"/>
        <rFont val="Arial"/>
        <family val="0"/>
        <charset val="1"/>
      </rPr>
      <t xml:space="preserve">Batch </t>
    </r>
    <r>
      <rPr>
        <i val="true"/>
        <sz val="9"/>
        <color rgb="FF7F7F7F"/>
        <rFont val="Noto Sans CJK SC"/>
        <family val="2"/>
      </rPr>
      <t xml:space="preserve">정제와 병렬 — 충진시간을 정제시간에 더하지 않음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</si>
  <si>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b val="true"/>
        <sz val="11"/>
        <color rgb="FFEB002C"/>
        <rFont val="Arial"/>
        <family val="0"/>
        <charset val="1"/>
      </rPr>
      <t xml:space="preserve">1. </t>
    </r>
    <r>
      <rPr>
        <b val="true"/>
        <sz val="11"/>
        <color rgb="FFEB002C"/>
        <rFont val="Noto Sans CJK SC"/>
        <family val="2"/>
      </rPr>
      <t xml:space="preserve">경로별 한 </t>
    </r>
    <r>
      <rPr>
        <b val="true"/>
        <sz val="11"/>
        <color rgb="FFEB002C"/>
        <rFont val="Arial"/>
        <family val="0"/>
        <charset val="1"/>
      </rPr>
      <t xml:space="preserve">Batch </t>
    </r>
    <r>
      <rPr>
        <b val="true"/>
        <sz val="11"/>
        <color rgb="FFEB002C"/>
        <rFont val="Noto Sans CJK SC"/>
        <family val="2"/>
      </rPr>
      <t xml:space="preserve">확인 공정시간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단순 합계 — 달력 납기 아님</t>
    </r>
    <r>
      <rPr>
        <b val="true"/>
        <sz val="11"/>
        <color rgb="FFEB002C"/>
        <rFont val="Arial"/>
        <family val="0"/>
        <charset val="1"/>
      </rPr>
      <t xml:space="preserve">)</t>
    </r>
  </si>
  <si>
    <t xml:space="preserve">공정</t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</si>
  <si>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약 </t>
    </r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Noto Sans CJK SC"/>
        <family val="2"/>
      </rPr>
      <t xml:space="preserve">병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</si>
  <si>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이지켐 </t>
    </r>
    <r>
      <rPr>
        <b val="true"/>
        <sz val="9"/>
        <color rgb="FFFFFFFF"/>
        <rFont val="Arial"/>
        <family val="0"/>
        <charset val="1"/>
      </rPr>
      <t xml:space="preserve">200 L
1</t>
    </r>
    <r>
      <rPr>
        <b val="true"/>
        <sz val="9"/>
        <color rgb="FFFFFFFF"/>
        <rFont val="Noto Sans CJK SC"/>
        <family val="2"/>
      </rPr>
      <t xml:space="preserve">용기 수동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</si>
  <si>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한솔 </t>
    </r>
    <r>
      <rPr>
        <b val="true"/>
        <sz val="9"/>
        <color rgb="FFFFFFFF"/>
        <rFont val="Arial"/>
        <family val="0"/>
        <charset val="1"/>
      </rPr>
      <t xml:space="preserve">200 L
1</t>
    </r>
    <r>
      <rPr>
        <b val="true"/>
        <sz val="9"/>
        <color rgb="FFFFFFFF"/>
        <rFont val="Noto Sans CJK SC"/>
        <family val="2"/>
      </rPr>
      <t xml:space="preserve">용기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</si>
  <si>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i val="true"/>
        <sz val="9"/>
        <color rgb="FF7F7F7F"/>
        <rFont val="Noto Sans CJK SC"/>
        <family val="2"/>
      </rPr>
      <t xml:space="preserve">원료 </t>
    </r>
    <r>
      <rPr>
        <i val="true"/>
        <sz val="9"/>
        <color rgb="FF7F7F7F"/>
        <rFont val="Arial"/>
        <family val="0"/>
        <charset val="1"/>
      </rPr>
      <t xml:space="preserve">Lot </t>
    </r>
    <r>
      <rPr>
        <i val="true"/>
        <sz val="9"/>
        <color rgb="FF7F7F7F"/>
        <rFont val="Noto Sans CJK SC"/>
        <family val="2"/>
      </rPr>
      <t xml:space="preserve">단위</t>
    </r>
  </si>
  <si>
    <t xml:space="preserve">정제기 점유</t>
  </si>
  <si>
    <r>
      <rPr>
        <sz val="9"/>
        <color rgb="FF000000"/>
        <rFont val="Arial"/>
        <family val="0"/>
        <charset val="1"/>
      </rPr>
      <t xml:space="preserve">PQC + </t>
    </r>
    <r>
      <rPr>
        <sz val="9"/>
        <color rgb="FF000000"/>
        <rFont val="Noto Sans CJK SC"/>
        <family val="2"/>
      </rPr>
      <t xml:space="preserve">제품 이송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합계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</si>
  <si>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합계 </t>
    </r>
    <r>
      <rPr>
        <i val="true"/>
        <sz val="9"/>
        <color rgb="FF7F7F7F"/>
        <rFont val="Arial"/>
        <family val="0"/>
        <charset val="1"/>
      </rPr>
      <t xml:space="preserve">6 h</t>
    </r>
  </si>
  <si>
    <t xml:space="preserve">대기 별도</t>
  </si>
  <si>
    <r>
      <rPr>
        <sz val="9"/>
        <color rgb="FF000000"/>
        <rFont val="Noto Sans CJK SC"/>
        <family val="2"/>
      </rPr>
      <t xml:space="preserve">충진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필터 포함</t>
    </r>
    <r>
      <rPr>
        <sz val="9"/>
        <color rgb="FF000000"/>
        <rFont val="Arial"/>
        <family val="0"/>
        <charset val="1"/>
      </rPr>
      <t xml:space="preserve">)</t>
    </r>
  </si>
  <si>
    <t xml:space="preserve">한솔 수동 시간 미확인</t>
  </si>
  <si>
    <r>
      <rPr>
        <sz val="9"/>
        <color rgb="FF000000"/>
        <rFont val="Arial"/>
        <family val="0"/>
        <charset val="1"/>
      </rPr>
      <t xml:space="preserve">OQC·</t>
    </r>
    <r>
      <rPr>
        <sz val="9"/>
        <color rgb="FF000000"/>
        <rFont val="Noto Sans CJK SC"/>
        <family val="2"/>
      </rPr>
      <t xml:space="preserve">출하 작업</t>
    </r>
  </si>
  <si>
    <t xml:space="preserve">운송 별도</t>
  </si>
  <si>
    <r>
      <rPr>
        <b val="true"/>
        <sz val="9"/>
        <color rgb="FF000000"/>
        <rFont val="Noto Sans CJK SC"/>
        <family val="2"/>
      </rPr>
      <t xml:space="preserve">충진 전까지 소계 </t>
    </r>
    <r>
      <rPr>
        <b val="true"/>
        <sz val="9"/>
        <color rgb="FF000000"/>
        <rFont val="Arial"/>
        <family val="0"/>
        <charset val="1"/>
      </rPr>
      <t xml:space="preserve">(IQC~FQC)</t>
    </r>
  </si>
  <si>
    <t xml:space="preserve">확인시간 단순 합계</t>
  </si>
  <si>
    <r>
      <rPr>
        <i val="true"/>
        <sz val="9"/>
        <color rgb="FF7F7F7F"/>
        <rFont val="Arial"/>
        <family val="0"/>
        <charset val="1"/>
      </rPr>
      <t xml:space="preserve">77 h · 67 h — </t>
    </r>
    <r>
      <rPr>
        <i val="true"/>
        <sz val="9"/>
        <color rgb="FF7F7F7F"/>
        <rFont val="Noto Sans CJK SC"/>
        <family val="2"/>
      </rPr>
      <t xml:space="preserve">실제 달력 납기 아님 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근무시간 미반영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</si>
  <si>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 </t>
    </r>
    <r>
      <rPr>
        <sz val="9"/>
        <color rgb="FF000000"/>
        <rFont val="Arial"/>
        <family val="0"/>
        <charset val="1"/>
      </rPr>
      <t xml:space="preserve">18 h</t>
    </r>
    <r>
      <rPr>
        <sz val="9"/>
        <color rgb="FF000000"/>
        <rFont val="Noto Sans CJK SC"/>
        <family val="2"/>
      </rPr>
      <t xml:space="preserve">의 근무일 환산</t>
    </r>
  </si>
  <si>
    <t xml:space="preserve">근무일</t>
  </si>
  <si>
    <r>
      <rPr>
        <i val="true"/>
        <sz val="9"/>
        <color rgb="FF7F7F7F"/>
        <rFont val="Arial"/>
        <family val="0"/>
        <charset val="1"/>
      </rPr>
      <t xml:space="preserve">18 ÷ 8 = 2.25 </t>
    </r>
    <r>
      <rPr>
        <i val="true"/>
        <sz val="9"/>
        <color rgb="FF7F7F7F"/>
        <rFont val="Noto Sans CJK SC"/>
        <family val="2"/>
      </rPr>
      <t xml:space="preserve">근무일 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현장 설명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약 </t>
    </r>
    <r>
      <rPr>
        <i val="true"/>
        <sz val="9"/>
        <color rgb="FF7F7F7F"/>
        <rFont val="Arial"/>
        <family val="0"/>
        <charset val="1"/>
      </rPr>
      <t xml:space="preserve">2</t>
    </r>
    <r>
      <rPr>
        <i val="true"/>
        <sz val="9"/>
        <color rgb="FF7F7F7F"/>
        <rFont val="Noto Sans CJK SC"/>
        <family val="2"/>
      </rPr>
      <t xml:space="preserve">일</t>
    </r>
    <r>
      <rPr>
        <i val="true"/>
        <sz val="9"/>
        <color rgb="FF7F7F7F"/>
        <rFont val="Arial"/>
        <family val="0"/>
        <charset val="1"/>
      </rPr>
      <t xml:space="preserve">) — </t>
    </r>
    <r>
      <rPr>
        <i val="true"/>
        <sz val="9"/>
        <color rgb="FF7F7F7F"/>
        <rFont val="Noto Sans CJK SC"/>
        <family val="2"/>
      </rPr>
      <t xml:space="preserve">작업시간 ≠ 경과시간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</si>
  <si>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교대 기준 충진 경과시간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달력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</si>
  <si>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근무일 올림 </t>
    </r>
    <r>
      <rPr>
        <i val="true"/>
        <sz val="9"/>
        <color rgb="FF7F7F7F"/>
        <rFont val="Arial"/>
        <family val="0"/>
        <charset val="1"/>
      </rPr>
      <t xml:space="preserve">× 24 h — </t>
    </r>
    <r>
      <rPr>
        <i val="true"/>
        <sz val="9"/>
        <color rgb="FF7F7F7F"/>
        <rFont val="Noto Sans CJK SC"/>
        <family val="2"/>
      </rPr>
      <t xml:space="preserve">참고</t>
    </r>
  </si>
  <si>
    <r>
      <rPr>
        <b val="true"/>
        <sz val="11"/>
        <color rgb="FFEB002C"/>
        <rFont val="Arial"/>
        <family val="0"/>
        <charset val="1"/>
      </rPr>
      <t xml:space="preserve">2. </t>
    </r>
    <r>
      <rPr>
        <b val="true"/>
        <sz val="11"/>
        <color rgb="FFEB002C"/>
        <rFont val="Noto Sans CJK SC"/>
        <family val="2"/>
      </rPr>
      <t xml:space="preserve">정제기 점유시간 </t>
    </r>
    <r>
      <rPr>
        <b val="true"/>
        <sz val="11"/>
        <color rgb="FFEB002C"/>
        <rFont val="Arial"/>
        <family val="0"/>
        <charset val="1"/>
      </rPr>
      <t xml:space="preserve">vs </t>
    </r>
    <r>
      <rPr>
        <b val="true"/>
        <sz val="11"/>
        <color rgb="FFEB002C"/>
        <rFont val="Noto Sans CJK SC"/>
        <family val="2"/>
      </rPr>
      <t xml:space="preserve">다음 </t>
    </r>
    <r>
      <rPr>
        <b val="true"/>
        <sz val="11"/>
        <color rgb="FFEB002C"/>
        <rFont val="Arial"/>
        <family val="0"/>
        <charset val="1"/>
      </rPr>
      <t xml:space="preserve">Batch </t>
    </r>
    <r>
      <rPr>
        <b val="true"/>
        <sz val="11"/>
        <color rgb="FFEB002C"/>
        <rFont val="Noto Sans CJK SC"/>
        <family val="2"/>
      </rPr>
      <t xml:space="preserve">투입 간격</t>
    </r>
  </si>
  <si>
    <r>
      <rPr>
        <sz val="9"/>
        <color rgb="FF000000"/>
        <rFont val="Noto Sans CJK SC"/>
        <family val="2"/>
      </rPr>
      <t xml:space="preserve">정제기 점유 확인분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정제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</si>
  <si>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IQC·FQC</t>
    </r>
    <r>
      <rPr>
        <i val="true"/>
        <sz val="9"/>
        <color rgb="FF7F7F7F"/>
        <rFont val="Noto Sans CJK SC"/>
        <family val="2"/>
      </rPr>
      <t xml:space="preserve">는 정제기 점유 아님</t>
    </r>
  </si>
  <si>
    <r>
      <rPr>
        <sz val="9"/>
        <color rgb="FF000000"/>
        <rFont val="Noto Sans CJK SC"/>
        <family val="2"/>
      </rPr>
      <t xml:space="preserve">점유 상한 참고 </t>
    </r>
    <r>
      <rPr>
        <sz val="9"/>
        <color rgb="FF000000"/>
        <rFont val="Arial"/>
        <family val="0"/>
        <charset val="1"/>
      </rPr>
      <t xml:space="preserve">(+ PQC·</t>
    </r>
    <r>
      <rPr>
        <sz val="9"/>
        <color rgb="FF000000"/>
        <rFont val="Noto Sans CJK SC"/>
        <family val="2"/>
      </rPr>
      <t xml:space="preserve">이송 </t>
    </r>
    <r>
      <rPr>
        <sz val="9"/>
        <color rgb="FF000000"/>
        <rFont val="Arial"/>
        <family val="0"/>
        <charset val="1"/>
      </rPr>
      <t xml:space="preserve">6 h </t>
    </r>
    <r>
      <rPr>
        <sz val="9"/>
        <color rgb="FF000000"/>
        <rFont val="Noto Sans CJK SC"/>
        <family val="2"/>
      </rPr>
      <t xml:space="preserve">전부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</si>
  <si>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이송 중 점유분 미확인 </t>
    </r>
    <r>
      <rPr>
        <i val="true"/>
        <sz val="9"/>
        <color rgb="FF7F7F7F"/>
        <rFont val="Arial"/>
        <family val="0"/>
        <charset val="1"/>
      </rPr>
      <t xml:space="preserve">(01_Inputs B)</t>
    </r>
  </si>
  <si>
    <r>
      <rPr>
        <sz val="9"/>
        <color rgb="FF000000"/>
        <rFont val="Noto Sans CJK SC"/>
        <family val="2"/>
      </rPr>
      <t xml:space="preserve">적용 점유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확인분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이송 점유 입력</t>
    </r>
    <r>
      <rPr>
        <sz val="9"/>
        <color rgb="FF000000"/>
        <rFont val="Arial"/>
        <family val="0"/>
        <charset val="1"/>
      </rPr>
      <t xml:space="preserve">)</t>
    </r>
  </si>
  <si>
    <t xml:space="preserve">미입력 시 하한</t>
  </si>
  <si>
    <r>
      <rPr>
        <b val="true"/>
        <sz val="11"/>
        <color rgb="FFEB002C"/>
        <rFont val="Arial"/>
        <family val="0"/>
        <charset val="1"/>
      </rPr>
      <t xml:space="preserve">3. ① </t>
    </r>
    <r>
      <rPr>
        <b val="true"/>
        <sz val="11"/>
        <color rgb="FFEB002C"/>
        <rFont val="Noto Sans CJK SC"/>
        <family val="2"/>
      </rPr>
      <t xml:space="preserve">정제시간만 적용한 이론 비교값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실제 생산능력 아님</t>
    </r>
    <r>
      <rPr>
        <b val="true"/>
        <sz val="11"/>
        <color rgb="FFEB002C"/>
        <rFont val="Arial"/>
        <family val="0"/>
        <charset val="1"/>
      </rPr>
      <t xml:space="preserve">)</t>
    </r>
  </si>
  <si>
    <t xml:space="preserve">정제시간</t>
  </si>
  <si>
    <t xml:space="preserve">45 h</t>
  </si>
  <si>
    <t xml:space="preserve">720 ÷ 45</t>
  </si>
  <si>
    <r>
      <rPr>
        <i val="true"/>
        <sz val="9"/>
        <color rgb="FF7F7F7F"/>
        <rFont val="Noto Sans CJK SC"/>
        <family val="2"/>
      </rPr>
      <t xml:space="preserve">준비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전환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이송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세척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보수 제외</t>
    </r>
  </si>
  <si>
    <r>
      <rPr>
        <sz val="9"/>
        <color rgb="FF000000"/>
        <rFont val="Noto Sans CJK SC"/>
        <family val="2"/>
      </rPr>
      <t xml:space="preserve">월내 완료 정수 </t>
    </r>
    <r>
      <rPr>
        <sz val="9"/>
        <color rgb="FF000000"/>
        <rFont val="Arial"/>
        <family val="0"/>
        <charset val="1"/>
      </rPr>
      <t xml:space="preserve">Batch</t>
    </r>
  </si>
  <si>
    <r>
      <rPr>
        <sz val="9"/>
        <color rgb="FF000000"/>
        <rFont val="Noto Sans CJK SC"/>
        <family val="2"/>
      </rPr>
      <t xml:space="preserve">월말 진행 중 경과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이월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</si>
  <si>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월 생산량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정수 </t>
    </r>
    <r>
      <rPr>
        <sz val="9"/>
        <color rgb="FF000000"/>
        <rFont val="Arial"/>
        <family val="0"/>
        <charset val="1"/>
      </rPr>
      <t xml:space="preserve">× 190)</t>
    </r>
  </si>
  <si>
    <t xml:space="preserve">16 × 190 = 3,040</t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</si>
  <si>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점유 확인분 </t>
    </r>
    <r>
      <rPr>
        <sz val="9"/>
        <color rgb="FF000000"/>
        <rFont val="Arial"/>
        <family val="0"/>
        <charset val="1"/>
      </rPr>
      <t xml:space="preserve">47 h </t>
    </r>
    <r>
      <rPr>
        <sz val="9"/>
        <color rgb="FF000000"/>
        <rFont val="Noto Sans CJK SC"/>
        <family val="2"/>
      </rPr>
      <t xml:space="preserve">기준 </t>
    </r>
    <r>
      <rPr>
        <sz val="9"/>
        <color rgb="FF000000"/>
        <rFont val="Arial"/>
        <family val="0"/>
        <charset val="1"/>
      </rPr>
      <t xml:space="preserve">720 ÷ 47</t>
    </r>
  </si>
  <si>
    <r>
      <rPr>
        <i val="true"/>
        <sz val="9"/>
        <color rgb="FF7F7F7F"/>
        <rFont val="Noto Sans CJK SC"/>
        <family val="2"/>
      </rPr>
      <t xml:space="preserve">준비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투입 포함 시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</si>
  <si>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연간 달력 연속 </t>
    </r>
    <r>
      <rPr>
        <sz val="9"/>
        <color rgb="FF000000"/>
        <rFont val="Arial"/>
        <family val="0"/>
        <charset val="1"/>
      </rPr>
      <t xml:space="preserve">INT(8,760 ÷ 45)</t>
    </r>
  </si>
  <si>
    <r>
      <rPr>
        <sz val="9"/>
        <color rgb="FF000000"/>
        <rFont val="Arial"/>
        <family val="0"/>
        <charset val="1"/>
      </rPr>
      <t xml:space="preserve">Batch/</t>
    </r>
    <r>
      <rPr>
        <sz val="9"/>
        <color rgb="FF000000"/>
        <rFont val="Noto Sans CJK SC"/>
        <family val="2"/>
      </rPr>
      <t xml:space="preserve">년</t>
    </r>
  </si>
  <si>
    <r>
      <rPr>
        <i val="true"/>
        <sz val="9"/>
        <color rgb="FF7F7F7F"/>
        <rFont val="Noto Sans CJK SC"/>
        <family val="2"/>
      </rPr>
      <t xml:space="preserve">정지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보수 </t>
    </r>
    <r>
      <rPr>
        <i val="true"/>
        <sz val="9"/>
        <color rgb="FF7F7F7F"/>
        <rFont val="Arial"/>
        <family val="0"/>
        <charset val="1"/>
      </rPr>
      <t xml:space="preserve">0 </t>
    </r>
    <r>
      <rPr>
        <i val="true"/>
        <sz val="9"/>
        <color rgb="FF7F7F7F"/>
        <rFont val="Noto Sans CJK SC"/>
        <family val="2"/>
      </rPr>
      <t xml:space="preserve">가정 상한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</si>
  <si>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연간 달력 연속 생산량</t>
    </r>
  </si>
  <si>
    <r>
      <rPr>
        <b val="true"/>
        <sz val="11"/>
        <color rgb="FFEB002C"/>
        <rFont val="Arial"/>
        <family val="0"/>
        <charset val="1"/>
      </rPr>
      <t xml:space="preserve">4. ② </t>
    </r>
    <r>
      <rPr>
        <b val="true"/>
        <sz val="11"/>
        <color rgb="FFEB002C"/>
        <rFont val="Noto Sans CJK SC"/>
        <family val="2"/>
      </rPr>
      <t xml:space="preserve">과거 월 최대 </t>
    </r>
    <r>
      <rPr>
        <b val="true"/>
        <sz val="11"/>
        <color rgb="FFEB002C"/>
        <rFont val="Arial"/>
        <family val="0"/>
        <charset val="1"/>
      </rPr>
      <t xml:space="preserve">11 Batch</t>
    </r>
  </si>
  <si>
    <t xml:space="preserve">과거 월 최대</t>
  </si>
  <si>
    <r>
      <rPr>
        <sz val="9"/>
        <color rgb="FF000000"/>
        <rFont val="Noto Sans CJK SC"/>
        <family val="2"/>
      </rPr>
      <t xml:space="preserve">순수 정제시간 합계 </t>
    </r>
    <r>
      <rPr>
        <sz val="9"/>
        <color rgb="FF000000"/>
        <rFont val="Arial"/>
        <family val="0"/>
        <charset val="1"/>
      </rPr>
      <t xml:space="preserve">11 × 45</t>
    </r>
  </si>
  <si>
    <t xml:space="preserve">720 − 495</t>
  </si>
  <si>
    <r>
      <rPr>
        <i val="true"/>
        <sz val="9"/>
        <color rgb="FF7F7F7F"/>
        <rFont val="Noto Sans CJK SC"/>
        <family val="2"/>
      </rPr>
      <t xml:space="preserve">점유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전환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보수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월 경계 확인 — 전부 손실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충진으로 분류 안 함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</si>
  <si>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점유 확인분 합계 </t>
    </r>
    <r>
      <rPr>
        <sz val="9"/>
        <color rgb="FF000000"/>
        <rFont val="Arial"/>
        <family val="0"/>
        <charset val="1"/>
      </rPr>
      <t xml:space="preserve">11 × 47</t>
    </r>
  </si>
  <si>
    <r>
      <rPr>
        <sz val="9"/>
        <color rgb="FF000000"/>
        <rFont val="Arial"/>
        <family val="0"/>
        <charset val="1"/>
      </rPr>
      <t xml:space="preserve">720 ÷ 11 </t>
    </r>
    <r>
      <rPr>
        <sz val="9"/>
        <color rgb="FF000000"/>
        <rFont val="Noto Sans CJK SC"/>
        <family val="2"/>
      </rPr>
      <t xml:space="preserve">배분 간격</t>
    </r>
  </si>
  <si>
    <r>
      <rPr>
        <i val="true"/>
        <sz val="9"/>
        <color rgb="FF7F7F7F"/>
        <rFont val="Arial"/>
        <family val="0"/>
        <charset val="1"/>
      </rPr>
      <t xml:space="preserve">30</t>
    </r>
    <r>
      <rPr>
        <i val="true"/>
        <sz val="9"/>
        <color rgb="FF7F7F7F"/>
        <rFont val="Noto Sans CJK SC"/>
        <family val="2"/>
      </rPr>
      <t xml:space="preserve">일 월 기준</t>
    </r>
  </si>
  <si>
    <r>
      <rPr>
        <sz val="9"/>
        <color rgb="FF000000"/>
        <rFont val="Noto Sans CJK SC"/>
        <family val="2"/>
      </rPr>
      <t xml:space="preserve">월 생산량 </t>
    </r>
    <r>
      <rPr>
        <sz val="9"/>
        <color rgb="FF000000"/>
        <rFont val="Arial"/>
        <family val="0"/>
        <charset val="1"/>
      </rPr>
      <t xml:space="preserve">11 × 190</t>
    </r>
  </si>
  <si>
    <r>
      <rPr>
        <sz val="9"/>
        <color rgb="FF000000"/>
        <rFont val="Noto Sans CJK SC"/>
        <family val="2"/>
      </rPr>
      <t xml:space="preserve">매월 </t>
    </r>
    <r>
      <rPr>
        <sz val="9"/>
        <color rgb="FF000000"/>
        <rFont val="Arial"/>
        <family val="0"/>
        <charset val="1"/>
      </rPr>
      <t xml:space="preserve">11</t>
    </r>
    <r>
      <rPr>
        <sz val="9"/>
        <color rgb="FF000000"/>
        <rFont val="Noto Sans CJK SC"/>
        <family val="2"/>
      </rPr>
      <t xml:space="preserve">회 반복 참고 </t>
    </r>
    <r>
      <rPr>
        <sz val="9"/>
        <color rgb="FF000000"/>
        <rFont val="Arial"/>
        <family val="0"/>
        <charset val="1"/>
      </rPr>
      <t xml:space="preserve">(× 12)</t>
    </r>
  </si>
  <si>
    <r>
      <rPr>
        <i val="true"/>
        <sz val="9"/>
        <color rgb="FF7F7F7F"/>
        <rFont val="Arial"/>
        <family val="0"/>
        <charset val="1"/>
      </rPr>
      <t xml:space="preserve">25.08</t>
    </r>
    <r>
      <rPr>
        <i val="true"/>
        <sz val="9"/>
        <color rgb="FF7F7F7F"/>
        <rFont val="Noto Sans CJK SC"/>
        <family val="2"/>
      </rPr>
      <t xml:space="preserve">톤 — 참고값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</si>
  <si>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달력 연속 </t>
    </r>
    <r>
      <rPr>
        <sz val="9"/>
        <color rgb="FF000000"/>
        <rFont val="Arial"/>
        <family val="0"/>
        <charset val="1"/>
      </rPr>
      <t xml:space="preserve">INT(8,760 ÷ 65.45) × 190</t>
    </r>
  </si>
  <si>
    <r>
      <rPr>
        <b val="true"/>
        <sz val="11"/>
        <color rgb="FFEB002C"/>
        <rFont val="Arial"/>
        <family val="0"/>
        <charset val="1"/>
      </rPr>
      <t xml:space="preserve">5. ③ </t>
    </r>
    <r>
      <rPr>
        <b val="true"/>
        <sz val="11"/>
        <color rgb="FFEB002C"/>
        <rFont val="Noto Sans CJK SC"/>
        <family val="2"/>
      </rPr>
      <t xml:space="preserve">과거 일정 관측 추정 </t>
    </r>
    <r>
      <rPr>
        <b val="true"/>
        <sz val="11"/>
        <color rgb="FFEB002C"/>
        <rFont val="Arial"/>
        <family val="0"/>
        <charset val="1"/>
      </rPr>
      <t xml:space="preserve">(02_Batch_Raw)</t>
    </r>
  </si>
  <si>
    <t xml:space="preserve">주 범위 시작 표시일</t>
  </si>
  <si>
    <t xml:space="preserve">6/2 #39</t>
  </si>
  <si>
    <t xml:space="preserve">주 범위 종료 표시일</t>
  </si>
  <si>
    <t xml:space="preserve">10/29 #92</t>
  </si>
  <si>
    <t xml:space="preserve">표시일자 수</t>
  </si>
  <si>
    <t xml:space="preserve">개</t>
  </si>
  <si>
    <t xml:space="preserve">54</t>
  </si>
  <si>
    <t xml:space="preserve">경과 일수</t>
  </si>
  <si>
    <r>
      <rPr>
        <i val="true"/>
        <sz val="9"/>
        <color rgb="FF7F7F7F"/>
        <rFont val="Arial"/>
        <family val="0"/>
        <charset val="1"/>
      </rPr>
      <t xml:space="preserve">53 (02 </t>
    </r>
    <r>
      <rPr>
        <i val="true"/>
        <sz val="9"/>
        <color rgb="FF7F7F7F"/>
        <rFont val="Noto Sans CJK SC"/>
        <family val="2"/>
      </rPr>
      <t xml:space="preserve">시트 포함 표시 합</t>
    </r>
    <r>
      <rPr>
        <i val="true"/>
        <sz val="9"/>
        <color rgb="FF7F7F7F"/>
        <rFont val="Arial"/>
        <family val="0"/>
        <charset val="1"/>
      </rPr>
      <t xml:space="preserve">)</t>
    </r>
  </si>
  <si>
    <t xml:space="preserve">일자차 환산 평균 간격</t>
  </si>
  <si>
    <r>
      <rPr>
        <i val="true"/>
        <sz val="9"/>
        <color rgb="FF7F7F7F"/>
        <rFont val="Noto Sans CJK SC"/>
        <family val="2"/>
      </rPr>
      <t xml:space="preserve">경과일</t>
    </r>
    <r>
      <rPr>
        <i val="true"/>
        <sz val="9"/>
        <color rgb="FF7F7F7F"/>
        <rFont val="Arial"/>
        <family val="0"/>
        <charset val="1"/>
      </rPr>
      <t xml:space="preserve">×24 ÷ </t>
    </r>
    <r>
      <rPr>
        <i val="true"/>
        <sz val="9"/>
        <color rgb="FF7F7F7F"/>
        <rFont val="Noto Sans CJK SC"/>
        <family val="2"/>
      </rPr>
      <t xml:space="preserve">간격 수</t>
    </r>
  </si>
  <si>
    <r>
      <rPr>
        <sz val="9"/>
        <color rgb="FF000000"/>
        <rFont val="Noto Sans CJK SC"/>
        <family val="2"/>
      </rPr>
      <t xml:space="preserve">범위 하한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시각 미상</t>
    </r>
    <r>
      <rPr>
        <sz val="9"/>
        <color rgb="FF000000"/>
        <rFont val="Arial"/>
        <family val="0"/>
        <charset val="1"/>
      </rPr>
      <t xml:space="preserve">)</t>
    </r>
  </si>
  <si>
    <t xml:space="preserve">범위 상한</t>
  </si>
  <si>
    <t xml:space="preserve">개별 간격 중앙값</t>
  </si>
  <si>
    <t xml:space="preserve">72 h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</si>
  <si>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일 간격 비중</t>
    </r>
  </si>
  <si>
    <r>
      <rPr>
        <sz val="9"/>
        <color rgb="FF000000"/>
        <rFont val="Noto Sans CJK SC"/>
        <family val="2"/>
      </rPr>
      <t xml:space="preserve">평균 간격 − 정제 </t>
    </r>
    <r>
      <rPr>
        <sz val="9"/>
        <color rgb="FF000000"/>
        <rFont val="Arial"/>
        <family val="0"/>
        <charset val="1"/>
      </rPr>
      <t xml:space="preserve">45 h</t>
    </r>
  </si>
  <si>
    <r>
      <rPr>
        <i val="true"/>
        <sz val="9"/>
        <color rgb="FF7F7F7F"/>
        <rFont val="Noto Sans CJK SC"/>
        <family val="2"/>
      </rPr>
      <t xml:space="preserve">준비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이송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세척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·IQC 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계획 여유 등 — 구성 미확인</t>
    </r>
  </si>
  <si>
    <r>
      <rPr>
        <sz val="9"/>
        <color rgb="FF000000"/>
        <rFont val="Noto Sans CJK SC"/>
        <family val="2"/>
      </rPr>
      <t xml:space="preserve">평균 간격 − 점유 확인분 </t>
    </r>
    <r>
      <rPr>
        <sz val="9"/>
        <color rgb="FF000000"/>
        <rFont val="Arial"/>
        <family val="0"/>
        <charset val="1"/>
      </rPr>
      <t xml:space="preserve">47 h (</t>
    </r>
    <r>
      <rPr>
        <sz val="9"/>
        <color rgb="FF000000"/>
        <rFont val="Noto Sans CJK SC"/>
        <family val="2"/>
      </rPr>
      <t xml:space="preserve">비점유 시간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</si>
  <si>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Batch (30</t>
    </r>
    <r>
      <rPr>
        <sz val="9"/>
        <color rgb="FF000000"/>
        <rFont val="Noto Sans CJK SC"/>
        <family val="2"/>
      </rPr>
      <t xml:space="preserve">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</si>
  <si>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Batch (31</t>
    </r>
    <r>
      <rPr>
        <sz val="9"/>
        <color rgb="FF000000"/>
        <rFont val="Noto Sans CJK SC"/>
        <family val="2"/>
      </rPr>
      <t xml:space="preserve">일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</si>
  <si>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11 Batch </t>
    </r>
    <r>
      <rPr>
        <i val="true"/>
        <sz val="9"/>
        <color rgb="FF7F7F7F"/>
        <rFont val="Noto Sans CJK SC"/>
        <family val="2"/>
      </rPr>
      <t xml:space="preserve">월</t>
    </r>
    <r>
      <rPr>
        <i val="true"/>
        <sz val="9"/>
        <color rgb="FF7F7F7F"/>
        <rFont val="Arial"/>
        <family val="0"/>
        <charset val="1"/>
      </rPr>
      <t xml:space="preserve">(7·8·10</t>
    </r>
    <r>
      <rPr>
        <i val="true"/>
        <sz val="9"/>
        <color rgb="FF7F7F7F"/>
        <rFont val="Noto Sans CJK SC"/>
        <family val="2"/>
      </rPr>
      <t xml:space="preserve">월 </t>
    </r>
    <r>
      <rPr>
        <i val="true"/>
        <sz val="9"/>
        <color rgb="FF7F7F7F"/>
        <rFont val="Arial"/>
        <family val="0"/>
        <charset val="1"/>
      </rPr>
      <t xml:space="preserve">31</t>
    </r>
    <r>
      <rPr>
        <i val="true"/>
        <sz val="9"/>
        <color rgb="FF7F7F7F"/>
        <rFont val="Noto Sans CJK SC"/>
        <family val="2"/>
      </rPr>
      <t xml:space="preserve">일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과 정합</t>
    </r>
  </si>
  <si>
    <r>
      <rPr>
        <sz val="9"/>
        <color rgb="FF000000"/>
        <rFont val="Noto Sans CJK SC"/>
        <family val="2"/>
      </rPr>
      <t xml:space="preserve">월 생산량 </t>
    </r>
    <r>
      <rPr>
        <sz val="9"/>
        <color rgb="FF000000"/>
        <rFont val="Arial"/>
        <family val="0"/>
        <charset val="1"/>
      </rPr>
      <t xml:space="preserve">(30</t>
    </r>
    <r>
      <rPr>
        <sz val="9"/>
        <color rgb="FF000000"/>
        <rFont val="Noto Sans CJK SC"/>
        <family val="2"/>
      </rPr>
      <t xml:space="preserve">일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소수 </t>
    </r>
    <r>
      <rPr>
        <sz val="9"/>
        <color rgb="FF000000"/>
        <rFont val="Arial"/>
        <family val="0"/>
        <charset val="1"/>
      </rPr>
      <t xml:space="preserve">Batch)</t>
    </r>
  </si>
  <si>
    <r>
      <rPr>
        <sz val="9"/>
        <color rgb="FF000000"/>
        <rFont val="Noto Sans CJK SC"/>
        <family val="2"/>
      </rPr>
      <t xml:space="preserve">연간 </t>
    </r>
    <r>
      <rPr>
        <sz val="9"/>
        <color rgb="FF000000"/>
        <rFont val="Arial"/>
        <family val="0"/>
        <charset val="1"/>
      </rPr>
      <t xml:space="preserve">Batch (</t>
    </r>
    <r>
      <rPr>
        <sz val="9"/>
        <color rgb="FF000000"/>
        <rFont val="Noto Sans CJK SC"/>
        <family val="2"/>
      </rPr>
      <t xml:space="preserve">달력 연속 정수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</si>
  <si>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연간 생산량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달력 연속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</si>
  <si>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현재 </t>
    </r>
    <r>
      <rPr>
        <i val="true"/>
        <sz val="9"/>
        <color rgb="FF7F7F7F"/>
        <rFont val="Arial"/>
        <family val="0"/>
        <charset val="1"/>
      </rPr>
      <t xml:space="preserve">1</t>
    </r>
    <r>
      <rPr>
        <i val="true"/>
        <sz val="9"/>
        <color rgb="FF7F7F7F"/>
        <rFont val="Noto Sans CJK SC"/>
        <family val="2"/>
      </rPr>
      <t xml:space="preserve">대 </t>
    </r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정지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보수 추가 미반영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</si>
  <si>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#37 </t>
    </r>
    <r>
      <rPr>
        <sz val="9"/>
        <color rgb="FF000000"/>
        <rFont val="Noto Sans CJK SC"/>
        <family val="2"/>
      </rPr>
      <t xml:space="preserve">포함 평균</t>
    </r>
  </si>
  <si>
    <r>
      <rPr>
        <i val="true"/>
        <sz val="9"/>
        <color rgb="FF7F7F7F"/>
        <rFont val="Arial"/>
        <family val="0"/>
        <charset val="1"/>
      </rPr>
      <t xml:space="preserve">5/26→6/2 7</t>
    </r>
    <r>
      <rPr>
        <i val="true"/>
        <sz val="9"/>
        <color rgb="FF7F7F7F"/>
        <rFont val="Noto Sans CJK SC"/>
        <family val="2"/>
      </rPr>
      <t xml:space="preserve">일 포함</t>
    </r>
  </si>
  <si>
    <t xml:space="preserve">점유 하한 미만 롤링 구간 수</t>
  </si>
  <si>
    <t xml:space="preserve">구간</t>
  </si>
  <si>
    <r>
      <rPr>
        <i val="true"/>
        <sz val="9"/>
        <color rgb="FF7F7F7F"/>
        <rFont val="Arial"/>
        <family val="0"/>
        <charset val="1"/>
      </rPr>
      <t xml:space="preserve">45 h </t>
    </r>
    <r>
      <rPr>
        <i val="true"/>
        <sz val="9"/>
        <color rgb="FF7F7F7F"/>
        <rFont val="Noto Sans CJK SC"/>
        <family val="2"/>
      </rPr>
      <t xml:space="preserve">기준 — </t>
    </r>
    <r>
      <rPr>
        <i val="true"/>
        <sz val="9"/>
        <color rgb="FF7F7F7F"/>
        <rFont val="Arial"/>
        <family val="0"/>
        <charset val="1"/>
      </rPr>
      <t xml:space="preserve">57 h </t>
    </r>
    <r>
      <rPr>
        <i val="true"/>
        <sz val="9"/>
        <color rgb="FF7F7F7F"/>
        <rFont val="Noto Sans CJK SC"/>
        <family val="2"/>
      </rPr>
      <t xml:space="preserve">가정 시 확인 필요였던 구간도 재평가</t>
    </r>
  </si>
  <si>
    <r>
      <rPr>
        <b val="true"/>
        <sz val="11"/>
        <color rgb="FFEB002C"/>
        <rFont val="Arial"/>
        <family val="0"/>
        <charset val="1"/>
      </rPr>
      <t xml:space="preserve">6. </t>
    </r>
    <r>
      <rPr>
        <b val="true"/>
        <sz val="11"/>
        <color rgb="FFEB002C"/>
        <rFont val="Noto Sans CJK SC"/>
        <family val="2"/>
      </rPr>
      <t xml:space="preserve">현재 </t>
    </r>
    <r>
      <rPr>
        <b val="true"/>
        <sz val="11"/>
        <color rgb="FFEB002C"/>
        <rFont val="Arial"/>
        <family val="0"/>
        <charset val="1"/>
      </rPr>
      <t xml:space="preserve">Capa. 26.2</t>
    </r>
    <r>
      <rPr>
        <b val="true"/>
        <sz val="11"/>
        <color rgb="FFEB002C"/>
        <rFont val="Noto Sans CJK SC"/>
        <family val="2"/>
      </rPr>
      <t xml:space="preserve">톤 환산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기준값 유지</t>
    </r>
    <r>
      <rPr>
        <b val="true"/>
        <sz val="11"/>
        <color rgb="FFEB002C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</si>
  <si>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Capa.</t>
    </r>
  </si>
  <si>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상당</t>
    </r>
  </si>
  <si>
    <t xml:space="preserve">26,200 ÷ 190 = 137.895</t>
  </si>
  <si>
    <r>
      <rPr>
        <sz val="9"/>
        <color rgb="FF000000"/>
        <rFont val="Noto Sans CJK SC"/>
        <family val="2"/>
      </rPr>
      <t xml:space="preserve">정수 </t>
    </r>
    <r>
      <rPr>
        <sz val="9"/>
        <color rgb="FF000000"/>
        <rFont val="Arial"/>
        <family val="0"/>
        <charset val="1"/>
      </rPr>
      <t xml:space="preserve">Batch (</t>
    </r>
    <r>
      <rPr>
        <sz val="9"/>
        <color rgb="FF000000"/>
        <rFont val="Noto Sans CJK SC"/>
        <family val="2"/>
      </rPr>
      <t xml:space="preserve">반올림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</si>
  <si>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정수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생산량</t>
    </r>
  </si>
  <si>
    <r>
      <rPr>
        <i val="true"/>
        <sz val="9"/>
        <color rgb="FF7F7F7F"/>
        <rFont val="Arial"/>
        <family val="0"/>
        <charset val="1"/>
      </rPr>
      <t xml:space="preserve">138 × 190 = 26,220 → 26.22 → 26.2</t>
    </r>
    <r>
      <rPr>
        <i val="true"/>
        <sz val="9"/>
        <color rgb="FF7F7F7F"/>
        <rFont val="Noto Sans CJK SC"/>
        <family val="2"/>
      </rPr>
      <t xml:space="preserve">톤</t>
    </r>
  </si>
  <si>
    <r>
      <rPr>
        <sz val="9"/>
        <color rgb="FF000000"/>
        <rFont val="Noto Sans CJK SC"/>
        <family val="2"/>
      </rPr>
      <t xml:space="preserve">월 평균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상당</t>
    </r>
  </si>
  <si>
    <r>
      <rPr>
        <sz val="9"/>
        <color rgb="FF000000"/>
        <rFont val="Noto Sans CJK SC"/>
        <family val="2"/>
      </rPr>
      <t xml:space="preserve">역산 평균 간격 </t>
    </r>
    <r>
      <rPr>
        <sz val="9"/>
        <color rgb="FF000000"/>
        <rFont val="Arial"/>
        <family val="0"/>
        <charset val="1"/>
      </rPr>
      <t xml:space="preserve">(8,760 h)</t>
    </r>
  </si>
  <si>
    <t xml:space="preserve">참고</t>
  </si>
  <si>
    <r>
      <rPr>
        <b val="true"/>
        <sz val="11"/>
        <color rgb="FFEB002C"/>
        <rFont val="Arial"/>
        <family val="0"/>
        <charset val="1"/>
      </rPr>
      <t xml:space="preserve">7. </t>
    </r>
    <r>
      <rPr>
        <b val="true"/>
        <sz val="11"/>
        <color rgb="FFEB002C"/>
        <rFont val="Noto Sans CJK SC"/>
        <family val="2"/>
      </rPr>
      <t xml:space="preserve">생산능력 비교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정제기 </t>
    </r>
    <r>
      <rPr>
        <b val="true"/>
        <sz val="11"/>
        <color rgb="FFEB002C"/>
        <rFont val="Arial"/>
        <family val="0"/>
        <charset val="1"/>
      </rPr>
      <t xml:space="preserve">1</t>
    </r>
    <r>
      <rPr>
        <b val="true"/>
        <sz val="11"/>
        <color rgb="FFEB002C"/>
        <rFont val="Noto Sans CJK SC"/>
        <family val="2"/>
      </rPr>
      <t xml:space="preserve">대 </t>
    </r>
    <r>
      <rPr>
        <b val="true"/>
        <sz val="11"/>
        <color rgb="FFEB002C"/>
        <rFont val="Arial"/>
        <family val="0"/>
        <charset val="1"/>
      </rPr>
      <t xml:space="preserve">· 190 kg/Batch)</t>
    </r>
  </si>
  <si>
    <r>
      <rPr>
        <b val="true"/>
        <sz val="9"/>
        <color rgb="FFFFFFFF"/>
        <rFont val="Arial"/>
        <family val="0"/>
        <charset val="1"/>
      </rPr>
      <t xml:space="preserve">Batch </t>
    </r>
    <r>
      <rPr>
        <b val="true"/>
        <sz val="9"/>
        <color rgb="FFFFFFFF"/>
        <rFont val="Noto Sans CJK SC"/>
        <family val="2"/>
      </rPr>
      <t xml:space="preserve">간격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</si>
  <si>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월 </t>
    </r>
    <r>
      <rPr>
        <b val="true"/>
        <sz val="9"/>
        <color rgb="FFFFFFFF"/>
        <rFont val="Arial"/>
        <family val="0"/>
        <charset val="1"/>
      </rPr>
      <t xml:space="preserve">Batch
(30</t>
    </r>
    <r>
      <rPr>
        <b val="true"/>
        <sz val="9"/>
        <color rgb="FFFFFFFF"/>
        <rFont val="Noto Sans CJK SC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</si>
  <si>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 생산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</si>
  <si>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연 환산
</t>
    </r>
    <r>
      <rPr>
        <b val="true"/>
        <sz val="9"/>
        <color rgb="FFFFFFFF"/>
        <rFont val="Arial"/>
        <family val="0"/>
        <charset val="1"/>
      </rPr>
      <t xml:space="preserve">(t, </t>
    </r>
    <r>
      <rPr>
        <b val="true"/>
        <sz val="9"/>
        <color rgb="FFFFFFFF"/>
        <rFont val="Noto Sans CJK SC"/>
        <family val="2"/>
      </rPr>
      <t xml:space="preserve">참고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</si>
  <si>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26.2</t>
    </r>
    <r>
      <rPr>
        <b val="true"/>
        <sz val="9"/>
        <color rgb="FFFFFFFF"/>
        <rFont val="Noto Sans CJK SC"/>
        <family val="2"/>
      </rPr>
      <t xml:space="preserve">톤 대비
</t>
    </r>
    <r>
      <rPr>
        <b val="true"/>
        <sz val="9"/>
        <color rgb="FFFFFFFF"/>
        <rFont val="Arial"/>
        <family val="0"/>
        <charset val="1"/>
      </rPr>
      <t xml:space="preserve">(t)</t>
    </r>
  </si>
  <si>
    <t xml:space="preserve">산출 조건</t>
  </si>
  <si>
    <r>
      <rPr>
        <b val="true"/>
        <sz val="9"/>
        <color rgb="FF000000"/>
        <rFont val="Noto Sans CJK SC"/>
        <family val="2"/>
      </rPr>
      <t xml:space="preserve">① 이론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정제 </t>
    </r>
    <r>
      <rPr>
        <b val="true"/>
        <sz val="9"/>
        <color rgb="FF000000"/>
        <rFont val="Arial"/>
        <family val="0"/>
        <charset val="1"/>
      </rPr>
      <t xml:space="preserve">45 h</t>
    </r>
    <r>
      <rPr>
        <b val="true"/>
        <sz val="9"/>
        <color rgb="FF000000"/>
        <rFont val="Noto Sans CJK SC"/>
        <family val="2"/>
      </rPr>
      <t xml:space="preserve">만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</si>
  <si>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720 ÷ 45 = 16 · </t>
    </r>
    <r>
      <rPr>
        <i val="true"/>
        <sz val="9"/>
        <color rgb="FF7F7F7F"/>
        <rFont val="Noto Sans CJK SC"/>
        <family val="2"/>
      </rPr>
      <t xml:space="preserve">준비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전환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이송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세척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대기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보수 제외</t>
    </r>
  </si>
  <si>
    <r>
      <rPr>
        <b val="true"/>
        <sz val="9"/>
        <color rgb="FF000000"/>
        <rFont val="Noto Sans CJK SC"/>
        <family val="2"/>
      </rPr>
      <t xml:space="preserve">② 과거 월 최대 </t>
    </r>
    <r>
      <rPr>
        <b val="true"/>
        <sz val="9"/>
        <color rgb="FF000000"/>
        <rFont val="Arial"/>
        <family val="0"/>
        <charset val="1"/>
      </rPr>
      <t xml:space="preserve">11 Batch</t>
    </r>
  </si>
  <si>
    <r>
      <rPr>
        <i val="true"/>
        <sz val="9"/>
        <color rgb="FF7F7F7F"/>
        <rFont val="Noto Sans CJK SC"/>
        <family val="2"/>
      </rPr>
      <t xml:space="preserve">정제 </t>
    </r>
    <r>
      <rPr>
        <i val="true"/>
        <sz val="9"/>
        <color rgb="FF7F7F7F"/>
        <rFont val="Arial"/>
        <family val="0"/>
        <charset val="1"/>
      </rPr>
      <t xml:space="preserve">495 h + 225 h · </t>
    </r>
    <r>
      <rPr>
        <i val="true"/>
        <sz val="9"/>
        <color rgb="FF7F7F7F"/>
        <rFont val="Noto Sans CJK SC"/>
        <family val="2"/>
      </rPr>
      <t xml:space="preserve">매월 </t>
    </r>
    <r>
      <rPr>
        <i val="true"/>
        <sz val="9"/>
        <color rgb="FF7F7F7F"/>
        <rFont val="Arial"/>
        <family val="0"/>
        <charset val="1"/>
      </rPr>
      <t xml:space="preserve">11</t>
    </r>
    <r>
      <rPr>
        <i val="true"/>
        <sz val="9"/>
        <color rgb="FF7F7F7F"/>
        <rFont val="Noto Sans CJK SC"/>
        <family val="2"/>
      </rPr>
      <t xml:space="preserve">회 반복 참고</t>
    </r>
  </si>
  <si>
    <t xml:space="preserve">③ 과거 일정 관측 추정</t>
  </si>
  <si>
    <r>
      <rPr>
        <i val="true"/>
        <sz val="9"/>
        <color rgb="FF7F7F7F"/>
        <rFont val="Arial"/>
        <family val="0"/>
        <charset val="1"/>
      </rPr>
      <t xml:space="preserve">6/2~10/29 · 149</t>
    </r>
    <r>
      <rPr>
        <i val="true"/>
        <sz val="9"/>
        <color rgb="FF7F7F7F"/>
        <rFont val="Noto Sans CJK SC"/>
        <family val="2"/>
      </rPr>
      <t xml:space="preserve">일 </t>
    </r>
    <r>
      <rPr>
        <i val="true"/>
        <sz val="9"/>
        <color rgb="FF7F7F7F"/>
        <rFont val="Arial"/>
        <family val="0"/>
        <charset val="1"/>
      </rPr>
      <t xml:space="preserve">÷ 53</t>
    </r>
    <r>
      <rPr>
        <i val="true"/>
        <sz val="9"/>
        <color rgb="FF7F7F7F"/>
        <rFont val="Noto Sans CJK SC"/>
        <family val="2"/>
      </rPr>
      <t xml:space="preserve">간격 </t>
    </r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달력 연속</t>
    </r>
  </si>
  <si>
    <r>
      <rPr>
        <b val="true"/>
        <sz val="9"/>
        <color rgb="FF000000"/>
        <rFont val="Noto Sans CJK SC"/>
        <family val="2"/>
      </rPr>
      <t xml:space="preserve">현재 </t>
    </r>
    <r>
      <rPr>
        <b val="true"/>
        <sz val="9"/>
        <color rgb="FF000000"/>
        <rFont val="Arial"/>
        <family val="0"/>
        <charset val="1"/>
      </rPr>
      <t xml:space="preserve">Capa. 26.2</t>
    </r>
    <r>
      <rPr>
        <b val="true"/>
        <sz val="9"/>
        <color rgb="FF000000"/>
        <rFont val="Noto Sans CJK SC"/>
        <family val="2"/>
      </rPr>
      <t xml:space="preserve">톤 환산</t>
    </r>
  </si>
  <si>
    <r>
      <rPr>
        <i val="true"/>
        <sz val="9"/>
        <color rgb="FF7F7F7F"/>
        <rFont val="Arial"/>
        <family val="0"/>
        <charset val="1"/>
      </rPr>
      <t xml:space="preserve">26,200 ÷ 190 = 137.9 Batch </t>
    </r>
    <r>
      <rPr>
        <i val="true"/>
        <sz val="9"/>
        <color rgb="FF7F7F7F"/>
        <rFont val="Noto Sans CJK SC"/>
        <family val="2"/>
      </rPr>
      <t xml:space="preserve">상당</t>
    </r>
  </si>
  <si>
    <r>
      <rPr>
        <sz val="9"/>
        <color rgb="FF000000"/>
        <rFont val="Arial"/>
        <family val="0"/>
        <charset val="1"/>
      </rPr>
      <t xml:space="preserve">04·05 </t>
    </r>
    <r>
      <rPr>
        <sz val="9"/>
        <color rgb="FF000000"/>
        <rFont val="Noto Sans CJK SC"/>
        <family val="2"/>
      </rPr>
      <t xml:space="preserve">적용 현재 조건 간격 </t>
    </r>
    <r>
      <rPr>
        <sz val="9"/>
        <color rgb="FF000000"/>
        <rFont val="Arial"/>
        <family val="0"/>
        <charset val="1"/>
      </rPr>
      <t xml:space="preserve">(01_Inputs </t>
    </r>
    <r>
      <rPr>
        <sz val="9"/>
        <color rgb="FF000000"/>
        <rFont val="Noto Sans CJK SC"/>
        <family val="2"/>
      </rPr>
      <t xml:space="preserve">선택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</si>
  <si>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기본 </t>
    </r>
    <r>
      <rPr>
        <i val="true"/>
        <sz val="9"/>
        <color rgb="FF7F7F7F"/>
        <rFont val="Arial"/>
        <family val="0"/>
        <charset val="1"/>
      </rPr>
      <t xml:space="preserve">3 = </t>
    </r>
    <r>
      <rPr>
        <i val="true"/>
        <sz val="9"/>
        <color rgb="FF7F7F7F"/>
        <rFont val="Noto Sans CJK SC"/>
        <family val="2"/>
      </rPr>
      <t xml:space="preserve">관측 추정</t>
    </r>
  </si>
  <si>
    <r>
      <rPr>
        <b val="true"/>
        <sz val="11"/>
        <color rgb="FFEB002C"/>
        <rFont val="Arial"/>
        <family val="0"/>
        <charset val="1"/>
      </rPr>
      <t xml:space="preserve">8. To-be </t>
    </r>
    <r>
      <rPr>
        <b val="true"/>
        <sz val="11"/>
        <color rgb="FFEB002C"/>
        <rFont val="Noto Sans CJK SC"/>
        <family val="2"/>
      </rPr>
      <t xml:space="preserve">정제기 </t>
    </r>
    <r>
      <rPr>
        <b val="true"/>
        <sz val="11"/>
        <color rgb="FFEB002C"/>
        <rFont val="Arial"/>
        <family val="0"/>
        <charset val="1"/>
      </rPr>
      <t xml:space="preserve">2</t>
    </r>
    <r>
      <rPr>
        <b val="true"/>
        <sz val="11"/>
        <color rgb="FFEB002C"/>
        <rFont val="Noto Sans CJK SC"/>
        <family val="2"/>
      </rPr>
      <t xml:space="preserve">대 시간차 운전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정제 </t>
    </r>
    <r>
      <rPr>
        <b val="true"/>
        <sz val="11"/>
        <color rgb="FFEB002C"/>
        <rFont val="Arial"/>
        <family val="0"/>
        <charset val="1"/>
      </rPr>
      <t xml:space="preserve">45 h </t>
    </r>
    <r>
      <rPr>
        <b val="true"/>
        <sz val="11"/>
        <color rgb="FFEB002C"/>
        <rFont val="Noto Sans CJK SC"/>
        <family val="2"/>
      </rPr>
      <t xml:space="preserve">단축 아님</t>
    </r>
    <r>
      <rPr>
        <b val="true"/>
        <sz val="11"/>
        <color rgb="FFEB002C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</si>
  <si>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26.2</t>
    </r>
    <r>
      <rPr>
        <sz val="9"/>
        <color rgb="FF000000"/>
        <rFont val="Noto Sans CJK SC"/>
        <family val="2"/>
      </rPr>
      <t xml:space="preserve">톤 단순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</t>
    </r>
  </si>
  <si>
    <t xml:space="preserve">적용 안 함</t>
  </si>
  <si>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 − 개선 후 </t>
    </r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</t>
    </r>
  </si>
  <si>
    <r>
      <rPr>
        <i val="true"/>
        <sz val="9"/>
        <color rgb="FF7F7F7F"/>
        <rFont val="Arial"/>
        <family val="0"/>
        <charset val="1"/>
      </rPr>
      <t xml:space="preserve">Mix·</t>
    </r>
    <r>
      <rPr>
        <i val="true"/>
        <sz val="9"/>
        <color rgb="FF7F7F7F"/>
        <rFont val="Noto Sans CJK SC"/>
        <family val="2"/>
      </rPr>
      <t xml:space="preserve">리사이클 준비 등 보조 작업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공유 자원 가능성 — 확정 손실 아님</t>
    </r>
  </si>
  <si>
    <t xml:space="preserve">47.2 ÷ 52.4</t>
  </si>
  <si>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 </t>
    </r>
    <r>
      <rPr>
        <sz val="9"/>
        <color rgb="FF000000"/>
        <rFont val="Arial"/>
        <family val="0"/>
        <charset val="1"/>
      </rPr>
      <t xml:space="preserve">Batch </t>
    </r>
    <r>
      <rPr>
        <sz val="9"/>
        <color rgb="FF000000"/>
        <rFont val="Noto Sans CJK SC"/>
        <family val="2"/>
      </rPr>
      <t xml:space="preserve">상당 </t>
    </r>
    <r>
      <rPr>
        <sz val="9"/>
        <color rgb="FF000000"/>
        <rFont val="Arial"/>
        <family val="0"/>
        <charset val="1"/>
      </rPr>
      <t xml:space="preserve">(190 kg)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</si>
  <si>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대 합산 평균 투입 간격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역산</t>
    </r>
    <r>
      <rPr>
        <sz val="9"/>
        <color rgb="FF000000"/>
        <rFont val="Arial"/>
        <family val="0"/>
        <charset val="1"/>
      </rPr>
      <t xml:space="preserve">)</t>
    </r>
  </si>
  <si>
    <t xml:space="preserve">공장 전체 — 설비별 정제시간 아님</t>
  </si>
  <si>
    <r>
      <rPr>
        <sz val="9"/>
        <color rgb="FF000000"/>
        <rFont val="Noto Sans CJK SC"/>
        <family val="2"/>
      </rPr>
      <t xml:space="preserve">설비별 등가 투입 간격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역산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</si>
  <si>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현재 </t>
    </r>
    <r>
      <rPr>
        <i val="true"/>
        <sz val="9"/>
        <color rgb="FF7F7F7F"/>
        <rFont val="Arial"/>
        <family val="0"/>
        <charset val="1"/>
      </rPr>
      <t xml:space="preserve">1</t>
    </r>
    <r>
      <rPr>
        <i val="true"/>
        <sz val="9"/>
        <color rgb="FF7F7F7F"/>
        <rFont val="Noto Sans CJK SC"/>
        <family val="2"/>
      </rPr>
      <t xml:space="preserve">대 </t>
    </r>
    <r>
      <rPr>
        <i val="true"/>
        <sz val="9"/>
        <color rgb="FF7F7F7F"/>
        <rFont val="Arial"/>
        <family val="0"/>
        <charset val="1"/>
      </rPr>
      <t xml:space="preserve">26.2</t>
    </r>
    <r>
      <rPr>
        <i val="true"/>
        <sz val="9"/>
        <color rgb="FF7F7F7F"/>
        <rFont val="Noto Sans CJK SC"/>
        <family val="2"/>
      </rPr>
      <t xml:space="preserve">톤 등가 </t>
    </r>
    <r>
      <rPr>
        <i val="true"/>
        <sz val="9"/>
        <color rgb="FF7F7F7F"/>
        <rFont val="Arial"/>
        <family val="0"/>
        <charset val="1"/>
      </rPr>
      <t xml:space="preserve">63.5 h</t>
    </r>
    <r>
      <rPr>
        <i val="true"/>
        <sz val="9"/>
        <color rgb="FF7F7F7F"/>
        <rFont val="Noto Sans CJK SC"/>
        <family val="2"/>
      </rPr>
      <t xml:space="preserve">와 비교</t>
    </r>
  </si>
  <si>
    <r>
      <rPr>
        <sz val="9"/>
        <color rgb="FF000000"/>
        <rFont val="Noto Sans CJK SC"/>
        <family val="2"/>
      </rPr>
      <t xml:space="preserve">설비별 등가 간격 − 현재 </t>
    </r>
    <r>
      <rPr>
        <sz val="9"/>
        <color rgb="FF000000"/>
        <rFont val="Arial"/>
        <family val="0"/>
        <charset val="1"/>
      </rPr>
      <t xml:space="preserve">26.2</t>
    </r>
    <r>
      <rPr>
        <sz val="9"/>
        <color rgb="FF000000"/>
        <rFont val="Noto Sans CJK SC"/>
        <family val="2"/>
      </rPr>
      <t xml:space="preserve">톤 등가</t>
    </r>
  </si>
  <si>
    <r>
      <rPr>
        <i val="true"/>
        <sz val="9"/>
        <color rgb="FF7F7F7F"/>
        <rFont val="Noto Sans CJK SC"/>
        <family val="2"/>
      </rPr>
      <t xml:space="preserve">보조 작업 시간 가능성 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구성 미확인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</si>
  <si>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기동 시차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예시 가정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</si>
  <si>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운영 개념 설명용 가정 </t>
    </r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미확정</t>
    </r>
  </si>
  <si>
    <r>
      <rPr>
        <sz val="9"/>
        <color rgb="FF000000"/>
        <rFont val="Arial"/>
        <family val="0"/>
        <charset val="1"/>
      </rPr>
      <t xml:space="preserve">Gantt </t>
    </r>
    <r>
      <rPr>
        <sz val="9"/>
        <color rgb="FF000000"/>
        <rFont val="Noto Sans CJK SC"/>
        <family val="2"/>
      </rPr>
      <t xml:space="preserve">설비별 간격</t>
    </r>
  </si>
  <si>
    <r>
      <rPr>
        <i val="true"/>
        <sz val="9"/>
        <color rgb="FF7F7F7F"/>
        <rFont val="Noto Sans CJK SC"/>
        <family val="2"/>
      </rPr>
      <t xml:space="preserve">입력 없으면 </t>
    </r>
    <r>
      <rPr>
        <i val="true"/>
        <sz val="9"/>
        <color rgb="FF7F7F7F"/>
        <rFont val="Arial"/>
        <family val="0"/>
        <charset val="1"/>
      </rPr>
      <t xml:space="preserve">47.2</t>
    </r>
    <r>
      <rPr>
        <i val="true"/>
        <sz val="9"/>
        <color rgb="FF7F7F7F"/>
        <rFont val="Noto Sans CJK SC"/>
        <family val="2"/>
      </rPr>
      <t xml:space="preserve">톤 역산 참고값</t>
    </r>
  </si>
  <si>
    <r>
      <rPr>
        <b val="true"/>
        <sz val="9"/>
        <color rgb="FFFFFFFF"/>
        <rFont val="Arial"/>
        <family val="0"/>
        <charset val="1"/>
      </rPr>
      <t xml:space="preserve">Gantt (h, </t>
    </r>
    <r>
      <rPr>
        <b val="true"/>
        <sz val="9"/>
        <color rgb="FFFFFFFF"/>
        <rFont val="Noto Sans CJK SC"/>
        <family val="2"/>
      </rPr>
      <t xml:space="preserve">정제기 </t>
    </r>
    <r>
      <rPr>
        <b val="true"/>
        <sz val="9"/>
        <color rgb="FFFFFFFF"/>
        <rFont val="Arial"/>
        <family val="0"/>
        <charset val="1"/>
      </rPr>
      <t xml:space="preserve">1 IQC </t>
    </r>
    <r>
      <rPr>
        <b val="true"/>
        <sz val="9"/>
        <color rgb="FFFFFFFF"/>
        <rFont val="Noto Sans CJK SC"/>
        <family val="2"/>
      </rPr>
      <t xml:space="preserve">시작 </t>
    </r>
    <r>
      <rPr>
        <b val="true"/>
        <sz val="9"/>
        <color rgb="FFFFFFFF"/>
        <rFont val="Arial"/>
        <family val="0"/>
        <charset val="1"/>
      </rPr>
      <t xml:space="preserve">= 0)</t>
    </r>
  </si>
  <si>
    <t xml:space="preserve">시작</t>
  </si>
  <si>
    <t xml:space="preserve">종료</t>
  </si>
  <si>
    <t xml:space="preserve">자원</t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</si>
  <si>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B1 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</si>
  <si>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</si>
  <si>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B1 </t>
    </r>
    <r>
      <rPr>
        <sz val="9"/>
        <color rgb="FF000000"/>
        <rFont val="Noto Sans CJK SC"/>
        <family val="2"/>
      </rPr>
      <t xml:space="preserve">정제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</si>
  <si>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B1 PQC·</t>
    </r>
    <r>
      <rPr>
        <sz val="9"/>
        <color rgb="FF000000"/>
        <rFont val="Noto Sans CJK SC"/>
        <family val="2"/>
      </rPr>
      <t xml:space="preserve">이송</t>
    </r>
    <r>
      <rPr>
        <sz val="9"/>
        <color rgb="FF000000"/>
        <rFont val="Arial"/>
        <family val="0"/>
        <charset val="1"/>
      </rPr>
      <t xml:space="preserve">·FQC</t>
    </r>
  </si>
  <si>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Arial"/>
        <family val="0"/>
        <charset val="1"/>
      </rPr>
      <t xml:space="preserve">·Tank</t>
    </r>
  </si>
  <si>
    <t xml:space="preserve">6 + 2 h</t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</si>
  <si>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B1 5 Gal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</si>
  <si>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Noto Sans CJK SC"/>
        <family val="2"/>
      </rPr>
      <t xml:space="preserve">글로브 박스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공용</t>
    </r>
    <r>
      <rPr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</si>
  <si>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연속 작업 </t>
    </r>
    <r>
      <rPr>
        <i val="true"/>
        <sz val="9"/>
        <color rgb="FF7F7F7F"/>
        <rFont val="Arial"/>
        <family val="0"/>
        <charset val="1"/>
      </rPr>
      <t xml:space="preserve">18 h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</si>
  <si>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B1 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</si>
  <si>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</si>
  <si>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B1 </t>
    </r>
    <r>
      <rPr>
        <sz val="9"/>
        <color rgb="FF000000"/>
        <rFont val="Noto Sans CJK SC"/>
        <family val="2"/>
      </rPr>
      <t xml:space="preserve">정제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</si>
  <si>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B1 PQC·</t>
    </r>
    <r>
      <rPr>
        <sz val="9"/>
        <color rgb="FF000000"/>
        <rFont val="Noto Sans CJK SC"/>
        <family val="2"/>
      </rPr>
      <t xml:space="preserve">이송</t>
    </r>
    <r>
      <rPr>
        <sz val="9"/>
        <color rgb="FF000000"/>
        <rFont val="Arial"/>
        <family val="0"/>
        <charset val="1"/>
      </rPr>
      <t xml:space="preserve">·FQC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</si>
  <si>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B1 5 Gal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</si>
  <si>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B2 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</si>
  <si>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B2 </t>
    </r>
    <r>
      <rPr>
        <sz val="9"/>
        <color rgb="FF000000"/>
        <rFont val="Noto Sans CJK SC"/>
        <family val="2"/>
      </rPr>
      <t xml:space="preserve">정제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</si>
  <si>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B2 PQC·</t>
    </r>
    <r>
      <rPr>
        <sz val="9"/>
        <color rgb="FF000000"/>
        <rFont val="Noto Sans CJK SC"/>
        <family val="2"/>
      </rPr>
      <t xml:space="preserve">이송</t>
    </r>
    <r>
      <rPr>
        <sz val="9"/>
        <color rgb="FF000000"/>
        <rFont val="Arial"/>
        <family val="0"/>
        <charset val="1"/>
      </rPr>
      <t xml:space="preserve">·FQC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</si>
  <si>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1 B2 5 Gal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</si>
  <si>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B2 </t>
    </r>
    <r>
      <rPr>
        <sz val="9"/>
        <color rgb="FF000000"/>
        <rFont val="Noto Sans CJK SC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투입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</si>
  <si>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B2 </t>
    </r>
    <r>
      <rPr>
        <sz val="9"/>
        <color rgb="FF000000"/>
        <rFont val="Noto Sans CJK SC"/>
        <family val="2"/>
      </rPr>
      <t xml:space="preserve">정제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</si>
  <si>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B2 PQC·</t>
    </r>
    <r>
      <rPr>
        <sz val="9"/>
        <color rgb="FF000000"/>
        <rFont val="Noto Sans CJK SC"/>
        <family val="2"/>
      </rPr>
      <t xml:space="preserve">이송</t>
    </r>
    <r>
      <rPr>
        <sz val="9"/>
        <color rgb="FF000000"/>
        <rFont val="Arial"/>
        <family val="0"/>
        <charset val="1"/>
      </rPr>
      <t xml:space="preserve">·FQC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</si>
  <si>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B2 5 Gal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</si>
  <si>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Noto Sans CJK SC"/>
        <family val="2"/>
      </rPr>
      <t xml:space="preserve">충진 투입 최소 간격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두 설비 교차</t>
    </r>
    <r>
      <rPr>
        <sz val="9"/>
        <color rgb="FF000000"/>
        <rFont val="Arial"/>
        <family val="0"/>
        <charset val="1"/>
      </rPr>
      <t xml:space="preserve">)</t>
    </r>
  </si>
  <si>
    <t xml:space="preserve">충진이 한꺼번에 몰리지 않도록 시차 배치</t>
  </si>
  <si>
    <r>
      <rPr>
        <b val="true"/>
        <sz val="11"/>
        <color rgb="FFEB002C"/>
        <rFont val="Arial"/>
        <family val="0"/>
        <charset val="1"/>
      </rPr>
      <t xml:space="preserve">9. </t>
    </r>
    <r>
      <rPr>
        <b val="true"/>
        <sz val="11"/>
        <color rgb="FFEB002C"/>
        <rFont val="Noto Sans CJK SC"/>
        <family val="2"/>
      </rPr>
      <t xml:space="preserve">후공정 작업량 </t>
    </r>
    <r>
      <rPr>
        <b val="true"/>
        <sz val="11"/>
        <color rgb="FFEB002C"/>
        <rFont val="Arial"/>
        <family val="0"/>
        <charset val="1"/>
      </rPr>
      <t xml:space="preserve">vs </t>
    </r>
    <r>
      <rPr>
        <b val="true"/>
        <sz val="11"/>
        <color rgb="FFEB002C"/>
        <rFont val="Noto Sans CJK SC"/>
        <family val="2"/>
      </rPr>
      <t xml:space="preserve">가용시간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정제기 </t>
    </r>
    <r>
      <rPr>
        <b val="true"/>
        <sz val="11"/>
        <color rgb="FFEB002C"/>
        <rFont val="Arial"/>
        <family val="0"/>
        <charset val="1"/>
      </rPr>
      <t xml:space="preserve">720 h </t>
    </r>
    <r>
      <rPr>
        <b val="true"/>
        <sz val="11"/>
        <color rgb="FFEB002C"/>
        <rFont val="Noto Sans CJK SC"/>
        <family val="2"/>
      </rPr>
      <t xml:space="preserve">자동 적용 안 함</t>
    </r>
    <r>
      <rPr>
        <b val="true"/>
        <sz val="11"/>
        <color rgb="FFEB002C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</si>
  <si>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 작업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연간</t>
    </r>
  </si>
  <si>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하이닉스</t>
    </r>
    <r>
      <rPr>
        <i val="true"/>
        <sz val="9"/>
        <color rgb="FF7F7F7F"/>
        <rFont val="Arial"/>
        <family val="0"/>
        <charset val="1"/>
      </rPr>
      <t xml:space="preserve">+CXMT) ÷ 20 × 2 — OQC </t>
    </r>
    <r>
      <rPr>
        <i val="true"/>
        <sz val="9"/>
        <color rgb="FF7F7F7F"/>
        <rFont val="Noto Sans CJK SC"/>
        <family val="2"/>
      </rPr>
      <t xml:space="preserve">별도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</si>
  <si>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 작업 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연간</t>
    </r>
  </si>
  <si>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월 최대 </t>
    </r>
    <r>
      <rPr>
        <sz val="9"/>
        <color rgb="FF000000"/>
        <rFont val="Arial"/>
        <family val="0"/>
        <charset val="1"/>
      </rPr>
      <t xml:space="preserve">(2027~2028)</t>
    </r>
  </si>
  <si>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용기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연간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이지켐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한솔</t>
    </r>
    <r>
      <rPr>
        <sz val="9"/>
        <color rgb="FF000000"/>
        <rFont val="Arial"/>
        <family val="0"/>
        <charset val="1"/>
      </rPr>
      <t xml:space="preserve">)</t>
    </r>
  </si>
  <si>
    <t xml:space="preserve">용기</t>
  </si>
  <si>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용기 </t>
    </r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연간</t>
    </r>
  </si>
  <si>
    <r>
      <rPr>
        <b val="true"/>
        <sz val="9"/>
        <color rgb="FFFFFFFF"/>
        <rFont val="Noto Sans CJK SC"/>
        <family val="2"/>
      </rPr>
      <t xml:space="preserve">가용시간 시나리오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글로브 박스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</si>
  <si>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일 근무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</si>
  <si>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월 가용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</si>
  <si>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최대
부하율</t>
    </r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</si>
  <si>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여유
</t>
    </r>
    <r>
      <rPr>
        <b val="true"/>
        <sz val="9"/>
        <color rgb="FFFFFFFF"/>
        <rFont val="Arial"/>
        <family val="0"/>
        <charset val="1"/>
      </rPr>
      <t xml:space="preserve">(h)</t>
    </r>
  </si>
  <si>
    <t xml:space="preserve">입력값</t>
  </si>
  <si>
    <r>
      <rPr>
        <i val="true"/>
        <sz val="9"/>
        <color rgb="FF7F7F7F"/>
        <rFont val="Arial"/>
        <family val="0"/>
        <charset val="1"/>
      </rPr>
      <t xml:space="preserve">01_Inputs H — </t>
    </r>
    <r>
      <rPr>
        <i val="true"/>
        <sz val="9"/>
        <color rgb="FF7F7F7F"/>
        <rFont val="Noto Sans CJK SC"/>
        <family val="2"/>
      </rPr>
      <t xml:space="preserve">미확인</t>
    </r>
  </si>
  <si>
    <r>
      <rPr>
        <b val="true"/>
        <sz val="9"/>
        <color rgb="FF000000"/>
        <rFont val="Noto Sans CJK SC"/>
        <family val="2"/>
      </rPr>
      <t xml:space="preserve">참고 ① </t>
    </r>
    <r>
      <rPr>
        <b val="true"/>
        <sz val="9"/>
        <color rgb="FF000000"/>
        <rFont val="Arial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교대</t>
    </r>
  </si>
  <si>
    <r>
      <rPr>
        <b val="true"/>
        <sz val="9"/>
        <color rgb="FF000000"/>
        <rFont val="Noto Sans CJK SC"/>
        <family val="2"/>
      </rPr>
      <t xml:space="preserve">참고 ② </t>
    </r>
    <r>
      <rPr>
        <b val="true"/>
        <sz val="9"/>
        <color rgb="FF000000"/>
        <rFont val="Arial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교대</t>
    </r>
  </si>
  <si>
    <r>
      <rPr>
        <b val="true"/>
        <sz val="9"/>
        <color rgb="FF000000"/>
        <rFont val="Noto Sans CJK SC"/>
        <family val="2"/>
      </rPr>
      <t xml:space="preserve">참고 ③ 연속 </t>
    </r>
    <r>
      <rPr>
        <b val="true"/>
        <sz val="9"/>
        <color rgb="FF000000"/>
        <rFont val="Arial"/>
        <family val="0"/>
        <charset val="1"/>
      </rPr>
      <t xml:space="preserve">(30</t>
    </r>
    <r>
      <rPr>
        <b val="true"/>
        <sz val="9"/>
        <color rgb="FF000000"/>
        <rFont val="Noto Sans CJK SC"/>
        <family val="2"/>
      </rPr>
      <t xml:space="preserve">일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</si>
  <si>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EB002C"/>
        <rFont val="Arial"/>
        <family val="0"/>
        <charset val="1"/>
      </rPr>
      <t xml:space="preserve">10. Product Tank </t>
    </r>
    <r>
      <rPr>
        <b val="true"/>
        <sz val="11"/>
        <color rgb="FFEB002C"/>
        <rFont val="Noto Sans CJK SC"/>
        <family val="2"/>
      </rPr>
      <t xml:space="preserve">회전 </t>
    </r>
    <r>
      <rPr>
        <b val="true"/>
        <sz val="11"/>
        <color rgb="FFEB002C"/>
        <rFont val="Arial"/>
        <family val="0"/>
        <charset val="1"/>
      </rPr>
      <t xml:space="preserve">(Tank 1</t>
    </r>
    <r>
      <rPr>
        <b val="true"/>
        <sz val="11"/>
        <color rgb="FFEB002C"/>
        <rFont val="Noto Sans CJK SC"/>
        <family val="2"/>
      </rPr>
      <t xml:space="preserve">기 가정 시</t>
    </r>
    <r>
      <rPr>
        <b val="true"/>
        <sz val="11"/>
        <color rgb="FFEB002C"/>
        <rFont val="Arial"/>
        <family val="0"/>
        <charset val="1"/>
      </rPr>
      <t xml:space="preserve">: FQC·</t>
    </r>
    <r>
      <rPr>
        <b val="true"/>
        <sz val="11"/>
        <color rgb="FFEB002C"/>
        <rFont val="Noto Sans CJK SC"/>
        <family val="2"/>
      </rPr>
      <t xml:space="preserve">충진 완료 ≤ 다음 제품 도착</t>
    </r>
    <r>
      <rPr>
        <b val="true"/>
        <sz val="11"/>
        <color rgb="FFEB002C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</si>
  <si>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5 Gal Batch </t>
    </r>
    <r>
      <rPr>
        <b val="true"/>
        <sz val="9"/>
        <color rgb="FFFFFFFF"/>
        <rFont val="Noto Sans CJK SC"/>
        <family val="2"/>
      </rPr>
      <t xml:space="preserve">충진 </t>
    </r>
    <r>
      <rPr>
        <b val="true"/>
        <sz val="9"/>
        <color rgb="FFFFFFFF"/>
        <rFont val="Arial"/>
        <family val="0"/>
        <charset val="1"/>
      </rPr>
      <t xml:space="preserve">18 h </t>
    </r>
    <r>
      <rPr>
        <b val="true"/>
        <sz val="9"/>
        <color rgb="FFFFFFFF"/>
        <rFont val="Noto Sans CJK SC"/>
        <family val="2"/>
      </rPr>
      <t xml:space="preserve">경과</t>
    </r>
  </si>
  <si>
    <r>
      <rPr>
        <b val="true"/>
        <sz val="9"/>
        <color rgb="FFFFFFFF"/>
        <rFont val="Noto Sans CJK SC"/>
        <family val="2"/>
      </rPr>
      <t xml:space="preserve">일 근무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</si>
  <si>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충진 경과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</si>
  <si>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Arial"/>
        <family val="0"/>
        <charset val="1"/>
      </rPr>
      <t xml:space="preserve">Tank </t>
    </r>
    <r>
      <rPr>
        <b val="true"/>
        <sz val="9"/>
        <color rgb="FFFFFFFF"/>
        <rFont val="Noto Sans CJK SC"/>
        <family val="2"/>
      </rPr>
      <t xml:space="preserve">점유
</t>
    </r>
    <r>
      <rPr>
        <b val="true"/>
        <sz val="9"/>
        <color rgb="FFFFFFFF"/>
        <rFont val="Arial"/>
        <family val="0"/>
        <charset val="1"/>
      </rPr>
      <t xml:space="preserve">(FQC+</t>
    </r>
    <r>
      <rPr>
        <b val="true"/>
        <sz val="9"/>
        <color rgb="FFFFFFFF"/>
        <rFont val="Noto Sans CJK SC"/>
        <family val="2"/>
      </rPr>
      <t xml:space="preserve">충진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</si>
  <si>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여유 </t>
    </r>
    <r>
      <rPr>
        <b val="true"/>
        <sz val="9"/>
        <color rgb="FFFFFFFF"/>
        <rFont val="Arial"/>
        <family val="0"/>
        <charset val="1"/>
      </rPr>
      <t xml:space="preserve">vs As-is
</t>
    </r>
    <r>
      <rPr>
        <b val="true"/>
        <sz val="9"/>
        <color rgb="FFFFFFFF"/>
        <rFont val="Noto Sans CJK SC"/>
        <family val="2"/>
      </rPr>
      <t xml:space="preserve">관측 간격</t>
    </r>
  </si>
  <si>
    <r>
      <rPr>
        <b val="true"/>
        <sz val="9"/>
        <color rgb="FFFFFFFF"/>
        <rFont val="Noto Sans CJK SC"/>
        <family val="2"/>
      </rPr>
      <t xml:space="preserve">여유 </t>
    </r>
    <r>
      <rPr>
        <b val="true"/>
        <sz val="9"/>
        <color rgb="FFFFFFFF"/>
        <rFont val="Arial"/>
        <family val="0"/>
        <charset val="1"/>
      </rPr>
      <t xml:space="preserve">vs To-be
2</t>
    </r>
    <r>
      <rPr>
        <b val="true"/>
        <sz val="9"/>
        <color rgb="FFFFFFFF"/>
        <rFont val="Noto Sans CJK SC"/>
        <family val="2"/>
      </rPr>
      <t xml:space="preserve">대 합산 간격</t>
    </r>
  </si>
  <si>
    <t xml:space="preserve">판단</t>
  </si>
  <si>
    <t xml:space="preserve">참고 ③ 연속</t>
  </si>
  <si>
    <r>
      <rPr>
        <b val="true"/>
        <sz val="11"/>
        <color rgb="FFEB002C"/>
        <rFont val="Arial"/>
        <family val="0"/>
        <charset val="1"/>
      </rPr>
      <t xml:space="preserve">11. </t>
    </r>
    <r>
      <rPr>
        <b val="true"/>
        <sz val="11"/>
        <color rgb="FFEB002C"/>
        <rFont val="Noto Sans CJK SC"/>
        <family val="2"/>
      </rPr>
      <t xml:space="preserve">생산량 </t>
    </r>
    <r>
      <rPr>
        <b val="true"/>
        <sz val="11"/>
        <color rgb="FFEB002C"/>
        <rFont val="Arial"/>
        <family val="0"/>
        <charset val="1"/>
      </rPr>
      <t xml:space="preserve">· </t>
    </r>
    <r>
      <rPr>
        <b val="true"/>
        <sz val="11"/>
        <color rgb="FFEB002C"/>
        <rFont val="Noto Sans CJK SC"/>
        <family val="2"/>
      </rPr>
      <t xml:space="preserve">수율 </t>
    </r>
    <r>
      <rPr>
        <b val="true"/>
        <sz val="11"/>
        <color rgb="FFEB002C"/>
        <rFont val="Arial"/>
        <family val="0"/>
        <charset val="1"/>
      </rPr>
      <t xml:space="preserve">· </t>
    </r>
    <r>
      <rPr>
        <b val="true"/>
        <sz val="11"/>
        <color rgb="FFEB002C"/>
        <rFont val="Noto Sans CJK SC"/>
        <family val="2"/>
      </rPr>
      <t xml:space="preserve">잔량 </t>
    </r>
    <r>
      <rPr>
        <b val="true"/>
        <sz val="11"/>
        <color rgb="FFEB002C"/>
        <rFont val="Arial"/>
        <family val="0"/>
        <charset val="1"/>
      </rPr>
      <t xml:space="preserve">(</t>
    </r>
    <r>
      <rPr>
        <b val="true"/>
        <sz val="11"/>
        <color rgb="FFEB002C"/>
        <rFont val="Noto Sans CJK SC"/>
        <family val="2"/>
      </rPr>
      <t xml:space="preserve">구두 수치는 확정값으로 통합하지 않음</t>
    </r>
    <r>
      <rPr>
        <b val="true"/>
        <sz val="11"/>
        <color rgb="FFEB002C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</si>
  <si>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190 kg − 9</t>
    </r>
    <r>
      <rPr>
        <sz val="9"/>
        <color rgb="FF000000"/>
        <rFont val="Noto Sans CJK SC"/>
        <family val="2"/>
      </rPr>
      <t xml:space="preserve">병</t>
    </r>
    <r>
      <rPr>
        <sz val="9"/>
        <color rgb="FF000000"/>
        <rFont val="Arial"/>
        <family val="0"/>
        <charset val="1"/>
      </rPr>
      <t xml:space="preserve">(180 kg)</t>
    </r>
  </si>
  <si>
    <r>
      <rPr>
        <i val="true"/>
        <sz val="9"/>
        <color rgb="FF7F7F7F"/>
        <rFont val="Noto Sans CJK SC"/>
        <family val="2"/>
      </rPr>
      <t xml:space="preserve">잔량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추가 충진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재고 처리 확인 — 자동 손실 처리 안 함</t>
    </r>
  </si>
  <si>
    <r>
      <rPr>
        <sz val="9"/>
        <color rgb="FF000000"/>
        <rFont val="Noto Sans CJK SC"/>
        <family val="2"/>
      </rPr>
      <t xml:space="preserve">혼합 경로 예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용기 후 잔량</t>
    </r>
  </si>
  <si>
    <r>
      <rPr>
        <i val="true"/>
        <sz val="9"/>
        <color rgb="FF7F7F7F"/>
        <rFont val="Arial"/>
        <family val="0"/>
        <charset val="1"/>
      </rPr>
      <t xml:space="preserve">190 − 140 = 50 kg → 5 Gal 2</t>
    </r>
    <r>
      <rPr>
        <i val="true"/>
        <sz val="9"/>
        <color rgb="FF7F7F7F"/>
        <rFont val="Noto Sans CJK SC"/>
        <family val="2"/>
      </rPr>
      <t xml:space="preserve">병 </t>
    </r>
    <r>
      <rPr>
        <i val="true"/>
        <sz val="9"/>
        <color rgb="FF7F7F7F"/>
        <rFont val="Arial"/>
        <family val="0"/>
        <charset val="1"/>
      </rPr>
      <t xml:space="preserve">+ 10 kg </t>
    </r>
    <r>
      <rPr>
        <i val="true"/>
        <sz val="9"/>
        <color rgb="FF7F7F7F"/>
        <rFont val="Noto Sans CJK SC"/>
        <family val="2"/>
      </rPr>
      <t xml:space="preserve">또는 보관</t>
    </r>
  </si>
  <si>
    <r>
      <rPr>
        <sz val="9"/>
        <color rgb="FF000000"/>
        <rFont val="Noto Sans CJK SC"/>
        <family val="2"/>
      </rPr>
      <t xml:space="preserve">혼합 경로 예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용기 후 잔량</t>
    </r>
  </si>
  <si>
    <r>
      <rPr>
        <i val="true"/>
        <sz val="9"/>
        <color rgb="FF7F7F7F"/>
        <rFont val="Arial"/>
        <family val="0"/>
        <charset val="1"/>
      </rPr>
      <t xml:space="preserve">190 − 150 = 40 kg → 5 Gal 2</t>
    </r>
    <r>
      <rPr>
        <i val="true"/>
        <sz val="9"/>
        <color rgb="FF7F7F7F"/>
        <rFont val="Noto Sans CJK SC"/>
        <family val="2"/>
      </rPr>
      <t xml:space="preserve">병</t>
    </r>
  </si>
  <si>
    <r>
      <rPr>
        <sz val="9"/>
        <color rgb="FF000000"/>
        <rFont val="Noto Sans CJK SC"/>
        <family val="2"/>
      </rPr>
      <t xml:space="preserve">구두 참고</t>
    </r>
    <r>
      <rPr>
        <sz val="9"/>
        <color rgb="FF000000"/>
        <rFont val="Arial"/>
        <family val="0"/>
        <charset val="1"/>
      </rPr>
      <t xml:space="preserve">: Crude 200 kg × 75%</t>
    </r>
  </si>
  <si>
    <r>
      <rPr>
        <i val="true"/>
        <sz val="9"/>
        <color rgb="FF7F7F7F"/>
        <rFont val="Noto Sans CJK SC"/>
        <family val="2"/>
      </rPr>
      <t xml:space="preserve">순수 회수 — 리사이클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추가 투입 전</t>
    </r>
  </si>
  <si>
    <r>
      <rPr>
        <sz val="9"/>
        <color rgb="FF000000"/>
        <rFont val="Noto Sans CJK SC"/>
        <family val="2"/>
      </rPr>
      <t xml:space="preserve">구두 참고</t>
    </r>
    <r>
      <rPr>
        <sz val="9"/>
        <color rgb="FF000000"/>
        <rFont val="Arial"/>
        <family val="0"/>
        <charset val="1"/>
      </rPr>
      <t xml:space="preserve">: Crude 200 kg × 80%</t>
    </r>
  </si>
  <si>
    <r>
      <rPr>
        <sz val="9"/>
        <color rgb="FF000000"/>
        <rFont val="Noto Sans CJK SC"/>
        <family val="2"/>
      </rPr>
      <t xml:space="preserve">실측 수율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양품 </t>
    </r>
    <r>
      <rPr>
        <sz val="9"/>
        <color rgb="FF000000"/>
        <rFont val="Arial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신규 </t>
    </r>
    <r>
      <rPr>
        <sz val="9"/>
        <color rgb="FF000000"/>
        <rFont val="Arial"/>
        <family val="0"/>
        <charset val="1"/>
      </rPr>
      <t xml:space="preserve">Crude)</t>
    </r>
  </si>
  <si>
    <t xml:space="preserve">실측 입력 시 계산</t>
  </si>
  <si>
    <r>
      <rPr>
        <sz val="9"/>
        <color rgb="FF000000"/>
        <rFont val="Noto Sans CJK SC"/>
        <family val="2"/>
      </rPr>
      <t xml:space="preserve">실측 수율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양품 </t>
    </r>
    <r>
      <rPr>
        <sz val="9"/>
        <color rgb="FF000000"/>
        <rFont val="Arial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총 투입 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신규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재순환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</si>
  <si>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14"/>
        <color rgb="FFEB002C"/>
        <rFont val="Arial"/>
        <family val="0"/>
        <charset val="1"/>
      </rPr>
      <t xml:space="preserve">04_Monthly_2026_2028 | 36</t>
    </r>
    <r>
      <rPr>
        <b val="true"/>
        <sz val="14"/>
        <color rgb="FFEB002C"/>
        <rFont val="Noto Sans CJK SC"/>
        <family val="2"/>
      </rPr>
      <t xml:space="preserve">개월 생산 가능량 </t>
    </r>
    <r>
      <rPr>
        <b val="true"/>
        <sz val="14"/>
        <color rgb="FFEB002C"/>
        <rFont val="Arial"/>
        <family val="0"/>
        <charset val="1"/>
      </rPr>
      <t xml:space="preserve">· 4</t>
    </r>
    <r>
      <rPr>
        <b val="true"/>
        <sz val="14"/>
        <color rgb="FFEB002C"/>
        <rFont val="Noto Sans CJK SC"/>
        <family val="2"/>
      </rPr>
      <t xml:space="preserve">개 고객 출하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충진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재고</t>
    </r>
  </si>
  <si>
    <r>
      <rPr>
        <i val="true"/>
        <sz val="9"/>
        <color rgb="FF7F7F7F"/>
        <rFont val="Noto Sans CJK SC"/>
        <family val="2"/>
      </rPr>
      <t xml:space="preserve">생산 가능 </t>
    </r>
    <r>
      <rPr>
        <i val="true"/>
        <sz val="9"/>
        <color rgb="FF7F7F7F"/>
        <rFont val="Arial"/>
        <family val="0"/>
        <charset val="1"/>
      </rPr>
      <t xml:space="preserve">Batch = INT((</t>
    </r>
    <r>
      <rPr>
        <i val="true"/>
        <sz val="9"/>
        <color rgb="FF7F7F7F"/>
        <rFont val="Noto Sans CJK SC"/>
        <family val="2"/>
      </rPr>
      <t xml:space="preserve">설비 가용시간 합계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이월</t>
    </r>
    <r>
      <rPr>
        <i val="true"/>
        <sz val="9"/>
        <color rgb="FF7F7F7F"/>
        <rFont val="Arial"/>
        <family val="0"/>
        <charset val="1"/>
      </rPr>
      <t xml:space="preserve">) ÷ </t>
    </r>
    <r>
      <rPr>
        <i val="true"/>
        <sz val="9"/>
        <color rgb="FF7F7F7F"/>
        <rFont val="Noto Sans CJK SC"/>
        <family val="2"/>
      </rPr>
      <t xml:space="preserve">설비별 간격</t>
    </r>
    <r>
      <rPr>
        <i val="true"/>
        <sz val="9"/>
        <color rgb="FF7F7F7F"/>
        <rFont val="Arial"/>
        <family val="0"/>
        <charset val="1"/>
      </rPr>
      <t xml:space="preserve">). </t>
    </r>
    <r>
      <rPr>
        <i val="true"/>
        <sz val="9"/>
        <color rgb="FF7F7F7F"/>
        <rFont val="Noto Sans CJK SC"/>
        <family val="2"/>
      </rPr>
      <t xml:space="preserve">미확인 조건은 </t>
    </r>
    <r>
      <rPr>
        <i val="true"/>
        <sz val="9"/>
        <color rgb="FF7F7F7F"/>
        <rFont val="Arial"/>
        <family val="0"/>
        <charset val="1"/>
      </rPr>
      <t xml:space="preserve">'</t>
    </r>
    <r>
      <rPr>
        <i val="true"/>
        <sz val="9"/>
        <color rgb="FF7F7F7F"/>
        <rFont val="Noto Sans CJK SC"/>
        <family val="2"/>
      </rPr>
      <t xml:space="preserve">미확인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보류</t>
    </r>
    <r>
      <rPr>
        <i val="true"/>
        <sz val="9"/>
        <color rgb="FF7F7F7F"/>
        <rFont val="Arial"/>
        <family val="0"/>
        <charset val="1"/>
      </rPr>
      <t xml:space="preserve">' — 0</t>
    </r>
    <r>
      <rPr>
        <i val="true"/>
        <sz val="9"/>
        <color rgb="FF7F7F7F"/>
        <rFont val="Noto Sans CJK SC"/>
        <family val="2"/>
      </rPr>
      <t xml:space="preserve">으로 치환하지 않음</t>
    </r>
    <r>
      <rPr>
        <i val="true"/>
        <sz val="9"/>
        <color rgb="FF7F7F7F"/>
        <rFont val="Arial"/>
        <family val="0"/>
        <charset val="1"/>
      </rPr>
      <t xml:space="preserve">.</t>
    </r>
  </si>
  <si>
    <t xml:space="preserve">연월</t>
  </si>
  <si>
    <t xml:space="preserve">월 일수</t>
  </si>
  <si>
    <t xml:space="preserve">운전 조건</t>
  </si>
  <si>
    <t xml:space="preserve">정제기 수</t>
  </si>
  <si>
    <r>
      <rPr>
        <b val="true"/>
        <sz val="9"/>
        <color rgb="FFFFFFFF"/>
        <rFont val="Noto Sans CJK SC"/>
        <family val="2"/>
      </rPr>
      <t xml:space="preserve">정지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보수
입력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</si>
  <si>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정제기 가용
합계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</si>
  <si>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설비별 </t>
    </r>
    <r>
      <rPr>
        <b val="true"/>
        <sz val="9"/>
        <color rgb="FFFFFFFF"/>
        <rFont val="Arial"/>
        <family val="0"/>
        <charset val="1"/>
      </rPr>
      <t xml:space="preserve">Batch
</t>
    </r>
    <r>
      <rPr>
        <b val="true"/>
        <sz val="9"/>
        <color rgb="FFFFFFFF"/>
        <rFont val="Noto Sans CJK SC"/>
        <family val="2"/>
      </rPr>
      <t xml:space="preserve">간격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</si>
  <si>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이월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</si>
  <si>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생산 가능
완료 </t>
    </r>
    <r>
      <rPr>
        <b val="true"/>
        <sz val="9"/>
        <color rgb="FFFFFFFF"/>
        <rFont val="Arial"/>
        <family val="0"/>
        <charset val="1"/>
      </rPr>
      <t xml:space="preserve">Batch</t>
    </r>
  </si>
  <si>
    <r>
      <rPr>
        <b val="true"/>
        <sz val="9"/>
        <color rgb="FFFFFFFF"/>
        <rFont val="Noto Sans CJK SC"/>
        <family val="2"/>
      </rPr>
      <t xml:space="preserve">월말 진행
이월 </t>
    </r>
    <r>
      <rPr>
        <b val="true"/>
        <sz val="9"/>
        <color rgb="FFFFFFFF"/>
        <rFont val="Arial"/>
        <family val="0"/>
        <charset val="1"/>
      </rPr>
      <t xml:space="preserve">(h)</t>
    </r>
  </si>
  <si>
    <t xml:space="preserve">과거계획
번호 개수</t>
  </si>
  <si>
    <r>
      <rPr>
        <b val="true"/>
        <sz val="9"/>
        <color rgb="FFFFFFFF"/>
        <rFont val="Noto Sans CJK SC"/>
        <family val="2"/>
      </rPr>
      <t xml:space="preserve">과거계획
</t>
    </r>
    <r>
      <rPr>
        <b val="true"/>
        <sz val="9"/>
        <color rgb="FFFFFFFF"/>
        <rFont val="Arial"/>
        <family val="0"/>
        <charset val="1"/>
      </rPr>
      <t xml:space="preserve">Total</t>
    </r>
  </si>
  <si>
    <r>
      <rPr>
        <b val="true"/>
        <sz val="9"/>
        <color rgb="FFFFFFFF"/>
        <rFont val="Noto Sans CJK SC"/>
        <family val="2"/>
      </rPr>
      <t xml:space="preserve">확정 생산 </t>
    </r>
    <r>
      <rPr>
        <b val="true"/>
        <sz val="9"/>
        <color rgb="FFFFFFFF"/>
        <rFont val="Arial"/>
        <family val="0"/>
        <charset val="1"/>
      </rPr>
      <t xml:space="preserve">Batch
(</t>
    </r>
    <r>
      <rPr>
        <b val="true"/>
        <sz val="9"/>
        <color rgb="FFFFFFFF"/>
        <rFont val="Noto Sans CJK SC"/>
        <family val="2"/>
      </rPr>
      <t xml:space="preserve">실적 입력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</si>
  <si>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적용 </t>
    </r>
    <r>
      <rPr>
        <b val="true"/>
        <sz val="9"/>
        <color rgb="FFFFFFFF"/>
        <rFont val="Arial"/>
        <family val="0"/>
        <charset val="1"/>
      </rPr>
      <t xml:space="preserve">Batch</t>
    </r>
  </si>
  <si>
    <t xml:space="preserve">적용 기준</t>
  </si>
  <si>
    <r>
      <rPr>
        <b val="true"/>
        <sz val="9"/>
        <color rgb="FFFFFFFF"/>
        <rFont val="Arial"/>
        <family val="0"/>
        <charset val="1"/>
      </rPr>
      <t xml:space="preserve">Batch</t>
    </r>
    <r>
      <rPr>
        <b val="true"/>
        <sz val="9"/>
        <color rgb="FFFFFFFF"/>
        <rFont val="Noto Sans CJK SC"/>
        <family val="2"/>
      </rPr>
      <t xml:space="preserve">당
생산량 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</si>
  <si>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정제 생산량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</si>
  <si>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출하 가능 양품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</si>
  <si>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참고 </t>
    </r>
    <r>
      <rPr>
        <b val="true"/>
        <sz val="9"/>
        <color rgb="FFFFFFFF"/>
        <rFont val="Arial"/>
        <family val="0"/>
        <charset val="1"/>
      </rPr>
      <t xml:space="preserve">Capa.
</t>
    </r>
    <r>
      <rPr>
        <b val="true"/>
        <sz val="9"/>
        <color rgb="FFFFFFFF"/>
        <rFont val="Noto Sans CJK SC"/>
        <family val="2"/>
      </rPr>
      <t xml:space="preserve">월 환산 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</si>
  <si>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하이닉스
</t>
    </r>
    <r>
      <rPr>
        <b val="true"/>
        <sz val="9"/>
        <color rgb="FFFFFFFF"/>
        <rFont val="Arial"/>
        <family val="0"/>
        <charset val="1"/>
      </rPr>
      <t xml:space="preserve">(kg)</t>
    </r>
  </si>
  <si>
    <t xml:space="preserve">CXMT
(kg)</t>
  </si>
  <si>
    <r>
      <rPr>
        <b val="true"/>
        <sz val="9"/>
        <color rgb="FFFFFFFF"/>
        <rFont val="Noto Sans CJK SC"/>
        <family val="2"/>
      </rPr>
      <t xml:space="preserve">이지켐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</si>
  <si>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한솔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</si>
  <si>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출하 합계
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</si>
  <si>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필요 </t>
    </r>
    <r>
      <rPr>
        <b val="true"/>
        <sz val="9"/>
        <color rgb="FFFFFFFF"/>
        <rFont val="Arial"/>
        <family val="0"/>
        <charset val="1"/>
      </rPr>
      <t xml:space="preserve">Batch
(÷190)</t>
    </r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</si>
  <si>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병 상당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병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</si>
  <si>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충진
작업 </t>
    </r>
    <r>
      <rPr>
        <b val="true"/>
        <sz val="9"/>
        <color rgb="FFFFFFFF"/>
        <rFont val="Arial"/>
        <family val="0"/>
        <charset val="1"/>
      </rPr>
      <t xml:space="preserve">(h)</t>
    </r>
  </si>
  <si>
    <t xml:space="preserve">5 Gal OQC
(h)</t>
  </si>
  <si>
    <t xml:space="preserve">이지켐
용기</t>
  </si>
  <si>
    <t xml:space="preserve">한솔
용기</t>
  </si>
  <si>
    <t xml:space="preserve">이지켐
방식</t>
  </si>
  <si>
    <t xml:space="preserve">한솔
방식</t>
  </si>
  <si>
    <r>
      <rPr>
        <b val="true"/>
        <sz val="9"/>
        <color rgb="FFFFFFFF"/>
        <rFont val="Noto Sans CJK SC"/>
        <family val="2"/>
      </rPr>
      <t xml:space="preserve">이지켐 충진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</si>
  <si>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한솔 충진
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</si>
  <si>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Arial"/>
        <family val="0"/>
        <charset val="1"/>
      </rPr>
      <t xml:space="preserve">200 L </t>
    </r>
    <r>
      <rPr>
        <b val="true"/>
        <sz val="9"/>
        <color rgb="FFFFFFFF"/>
        <rFont val="Noto Sans CJK SC"/>
        <family val="2"/>
      </rPr>
      <t xml:space="preserve">충진
확인분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</si>
  <si>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Arial"/>
        <family val="0"/>
        <charset val="1"/>
      </rPr>
      <t xml:space="preserve">200 L </t>
    </r>
    <r>
      <rPr>
        <b val="true"/>
        <sz val="9"/>
        <color rgb="FFFFFFFF"/>
        <rFont val="Noto Sans CJK SC"/>
        <family val="2"/>
      </rPr>
      <t xml:space="preserve">공통 </t>
    </r>
    <r>
      <rPr>
        <b val="true"/>
        <sz val="9"/>
        <color rgb="FFFFFFFF"/>
        <rFont val="Arial"/>
        <family val="0"/>
        <charset val="1"/>
      </rPr>
      <t xml:space="preserve">8 h
</t>
    </r>
    <r>
      <rPr>
        <b val="true"/>
        <sz val="9"/>
        <color rgb="FFFFFFFF"/>
        <rFont val="Noto Sans CJK SC"/>
        <family val="2"/>
      </rPr>
      <t xml:space="preserve">적용 가정 </t>
    </r>
    <r>
      <rPr>
        <b val="true"/>
        <sz val="9"/>
        <color rgb="FFFFFFFF"/>
        <rFont val="Arial"/>
        <family val="0"/>
        <charset val="1"/>
      </rPr>
      <t xml:space="preserve">(h)</t>
    </r>
  </si>
  <si>
    <t xml:space="preserve">200 L OQC
(h)</t>
  </si>
  <si>
    <r>
      <rPr>
        <b val="true"/>
        <sz val="9"/>
        <color rgb="FFFFFFFF"/>
        <rFont val="Noto Sans CJK SC"/>
        <family val="2"/>
      </rPr>
      <t xml:space="preserve">글로브 박스
가용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</si>
  <si>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글로브 박스
여유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</si>
  <si>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참고 </t>
    </r>
    <r>
      <rPr>
        <b val="true"/>
        <sz val="9"/>
        <color rgb="FFFFFFFF"/>
        <rFont val="Arial"/>
        <family val="0"/>
        <charset val="1"/>
      </rPr>
      <t xml:space="preserve">Capa.
− </t>
    </r>
    <r>
      <rPr>
        <b val="true"/>
        <sz val="9"/>
        <color rgb="FFFFFFFF"/>
        <rFont val="Noto Sans CJK SC"/>
        <family val="2"/>
      </rPr>
      <t xml:space="preserve">출하 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</si>
  <si>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양품 생산
− 출하 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</si>
  <si>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FFFFFF"/>
        <rFont val="Noto Sans CJK SC"/>
        <family val="2"/>
      </rPr>
      <t xml:space="preserve">누적 증감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기초재고 제외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</si>
  <si>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기초재고</t>
  </si>
  <si>
    <t xml:space="preserve">공급 가능량</t>
  </si>
  <si>
    <t xml:space="preserve">① 하이닉스
배정</t>
  </si>
  <si>
    <t xml:space="preserve">② 하이닉스
목표재고</t>
  </si>
  <si>
    <r>
      <rPr>
        <b val="true"/>
        <sz val="9"/>
        <color rgb="FFFFFFFF"/>
        <rFont val="Arial"/>
        <family val="0"/>
        <charset val="1"/>
      </rPr>
      <t xml:space="preserve">③ CXMT
</t>
    </r>
    <r>
      <rPr>
        <b val="true"/>
        <sz val="9"/>
        <color rgb="FFFFFFFF"/>
        <rFont val="Noto Sans CJK SC"/>
        <family val="2"/>
      </rPr>
      <t xml:space="preserve">배정</t>
    </r>
  </si>
  <si>
    <t xml:space="preserve">③ 이지켐
배정</t>
  </si>
  <si>
    <t xml:space="preserve">③ 한솔
배정</t>
  </si>
  <si>
    <t xml:space="preserve">출하 부족</t>
  </si>
  <si>
    <t xml:space="preserve">기말재고</t>
  </si>
  <si>
    <t xml:space="preserve">목표
기말재고</t>
  </si>
  <si>
    <t xml:space="preserve">필요
생산량</t>
  </si>
  <si>
    <r>
      <rPr>
        <b val="true"/>
        <sz val="9"/>
        <color rgb="FFFFFFFF"/>
        <rFont val="Noto Sans CJK SC"/>
        <family val="2"/>
      </rPr>
      <t xml:space="preserve">여유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Noto Sans CJK SC"/>
        <family val="2"/>
      </rPr>
      <t xml:space="preserve">부족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기말−목표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</si>
  <si>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계산 상태</t>
  </si>
  <si>
    <t xml:space="preserve">미확인 항목</t>
  </si>
  <si>
    <r>
      <rPr>
        <b val="true"/>
        <sz val="9"/>
        <color rgb="FF000000"/>
        <rFont val="Arial"/>
        <family val="0"/>
        <charset val="1"/>
      </rPr>
      <t xml:space="preserve">2026 </t>
    </r>
    <r>
      <rPr>
        <b val="true"/>
        <sz val="9"/>
        <color rgb="FF000000"/>
        <rFont val="Noto Sans CJK SC"/>
        <family val="2"/>
      </rPr>
      <t xml:space="preserve">합계</t>
    </r>
  </si>
  <si>
    <r>
      <rPr>
        <b val="true"/>
        <sz val="9"/>
        <color rgb="FF000000"/>
        <rFont val="Arial"/>
        <family val="0"/>
        <charset val="1"/>
      </rPr>
      <t xml:space="preserve">2026 </t>
    </r>
    <r>
      <rPr>
        <b val="true"/>
        <sz val="9"/>
        <color rgb="FF000000"/>
        <rFont val="Noto Sans CJK SC"/>
        <family val="2"/>
      </rPr>
      <t xml:space="preserve">월 최대</t>
    </r>
  </si>
  <si>
    <r>
      <rPr>
        <b val="true"/>
        <sz val="9"/>
        <color rgb="FF000000"/>
        <rFont val="Arial"/>
        <family val="0"/>
        <charset val="1"/>
      </rPr>
      <t xml:space="preserve">2027 </t>
    </r>
    <r>
      <rPr>
        <b val="true"/>
        <sz val="9"/>
        <color rgb="FF000000"/>
        <rFont val="Noto Sans CJK SC"/>
        <family val="2"/>
      </rPr>
      <t xml:space="preserve">월 최대</t>
    </r>
  </si>
  <si>
    <r>
      <rPr>
        <b val="true"/>
        <sz val="9"/>
        <color rgb="FF000000"/>
        <rFont val="Arial"/>
        <family val="0"/>
        <charset val="1"/>
      </rPr>
      <t xml:space="preserve">2028 </t>
    </r>
    <r>
      <rPr>
        <b val="true"/>
        <sz val="9"/>
        <color rgb="FF000000"/>
        <rFont val="Noto Sans CJK SC"/>
        <family val="2"/>
      </rPr>
      <t xml:space="preserve">월 최대</t>
    </r>
  </si>
  <si>
    <r>
      <rPr>
        <i val="true"/>
        <sz val="9"/>
        <color rgb="FF7F7F7F"/>
        <rFont val="Noto Sans CJK SC"/>
        <family val="2"/>
      </rPr>
      <t xml:space="preserve">※ 생산 가능 </t>
    </r>
    <r>
      <rPr>
        <i val="true"/>
        <sz val="9"/>
        <color rgb="FF7F7F7F"/>
        <rFont val="Arial"/>
        <family val="0"/>
        <charset val="1"/>
      </rPr>
      <t xml:space="preserve">Batch</t>
    </r>
    <r>
      <rPr>
        <i val="true"/>
        <sz val="9"/>
        <color rgb="FF7F7F7F"/>
        <rFont val="Noto Sans CJK SC"/>
        <family val="2"/>
      </rPr>
      <t xml:space="preserve">는 정제기 능력 추정 — 실제 계획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실적 아님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실적은 </t>
    </r>
    <r>
      <rPr>
        <i val="true"/>
        <sz val="9"/>
        <color rgb="FF7F7F7F"/>
        <rFont val="Arial"/>
        <family val="0"/>
        <charset val="1"/>
      </rPr>
      <t xml:space="preserve">N</t>
    </r>
    <r>
      <rPr>
        <i val="true"/>
        <sz val="9"/>
        <color rgb="FF7F7F7F"/>
        <rFont val="Noto Sans CJK SC"/>
        <family val="2"/>
      </rPr>
      <t xml:space="preserve">열 입력 시 우선 적용</t>
    </r>
    <r>
      <rPr>
        <i val="true"/>
        <sz val="9"/>
        <color rgb="FF7F7F7F"/>
        <rFont val="Arial"/>
        <family val="0"/>
        <charset val="1"/>
      </rPr>
      <t xml:space="preserve">. 2027.12 </t>
    </r>
    <r>
      <rPr>
        <i val="true"/>
        <sz val="9"/>
        <color rgb="FF7F7F7F"/>
        <rFont val="Noto Sans CJK SC"/>
        <family val="2"/>
      </rPr>
      <t xml:space="preserve">기말재고 → </t>
    </r>
    <r>
      <rPr>
        <i val="true"/>
        <sz val="9"/>
        <color rgb="FF7F7F7F"/>
        <rFont val="Arial"/>
        <family val="0"/>
        <charset val="1"/>
      </rPr>
      <t xml:space="preserve">2028.1 </t>
    </r>
    <r>
      <rPr>
        <i val="true"/>
        <sz val="9"/>
        <color rgb="FF7F7F7F"/>
        <rFont val="Noto Sans CJK SC"/>
        <family val="2"/>
      </rPr>
      <t xml:space="preserve">기초재고로 자동 연결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</si>
  <si>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※ 배정</t>
    </r>
    <r>
      <rPr>
        <i val="true"/>
        <sz val="9"/>
        <color rgb="FF7F7F7F"/>
        <rFont val="Arial"/>
        <family val="0"/>
        <charset val="1"/>
      </rPr>
      <t xml:space="preserve">: ① </t>
    </r>
    <r>
      <rPr>
        <i val="true"/>
        <sz val="9"/>
        <color rgb="FF7F7F7F"/>
        <rFont val="Noto Sans CJK SC"/>
        <family val="2"/>
      </rPr>
      <t xml:space="preserve">하이닉스 출하 → ② 하이닉스 목표재고 → ③ </t>
    </r>
    <r>
      <rPr>
        <i val="true"/>
        <sz val="9"/>
        <color rgb="FF7F7F7F"/>
        <rFont val="Arial"/>
        <family val="0"/>
        <charset val="1"/>
      </rPr>
      <t xml:space="preserve">CXMT·</t>
    </r>
    <r>
      <rPr>
        <i val="true"/>
        <sz val="9"/>
        <color rgb="FF7F7F7F"/>
        <rFont val="Noto Sans CJK SC"/>
        <family val="2"/>
      </rPr>
      <t xml:space="preserve">이지켐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한솔은 잔여량을 출하 비율로 배분 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우선순위 미확인 — </t>
    </r>
    <r>
      <rPr>
        <i val="true"/>
        <sz val="9"/>
        <color rgb="FF7F7F7F"/>
        <rFont val="Arial"/>
        <family val="0"/>
        <charset val="1"/>
      </rPr>
      <t xml:space="preserve">01_Inputs J).</t>
    </r>
  </si>
  <si>
    <r>
      <rPr>
        <i val="true"/>
        <sz val="9"/>
        <color rgb="FF7F7F7F"/>
        <rFont val="Noto Sans CJK SC"/>
        <family val="2"/>
      </rPr>
      <t xml:space="preserve">※ 기말재고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기초재고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출하 가능 양품 생산량 − 출하량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배정분</t>
    </r>
    <r>
      <rPr>
        <i val="true"/>
        <sz val="9"/>
        <color rgb="FF7F7F7F"/>
        <rFont val="Arial"/>
        <family val="0"/>
        <charset val="1"/>
      </rPr>
      <t xml:space="preserve">) · </t>
    </r>
    <r>
      <rPr>
        <i val="true"/>
        <sz val="9"/>
        <color rgb="FF7F7F7F"/>
        <rFont val="Noto Sans CJK SC"/>
        <family val="2"/>
      </rPr>
      <t xml:space="preserve">필요 생산량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출하량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목표 기말재고 − 기초재고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</si>
  <si>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※ 5 Gal </t>
    </r>
    <r>
      <rPr>
        <i val="true"/>
        <sz val="9"/>
        <color rgb="FF7F7F7F"/>
        <rFont val="Noto Sans CJK SC"/>
        <family val="2"/>
      </rPr>
      <t xml:space="preserve">병 상당 </t>
    </r>
    <r>
      <rPr>
        <i val="true"/>
        <sz val="9"/>
        <color rgb="FF7F7F7F"/>
        <rFont val="Arial"/>
        <family val="0"/>
        <charset val="1"/>
      </rPr>
      <t xml:space="preserve">= (</t>
    </r>
    <r>
      <rPr>
        <i val="true"/>
        <sz val="9"/>
        <color rgb="FF7F7F7F"/>
        <rFont val="Noto Sans CJK SC"/>
        <family val="2"/>
      </rPr>
      <t xml:space="preserve">하이닉스</t>
    </r>
    <r>
      <rPr>
        <i val="true"/>
        <sz val="9"/>
        <color rgb="FF7F7F7F"/>
        <rFont val="Arial"/>
        <family val="0"/>
        <charset val="1"/>
      </rPr>
      <t xml:space="preserve">+CXMT) ÷ 20 — </t>
    </r>
    <r>
      <rPr>
        <i val="true"/>
        <sz val="9"/>
        <color rgb="FF7F7F7F"/>
        <rFont val="Noto Sans CJK SC"/>
        <family val="2"/>
      </rPr>
      <t xml:space="preserve">실제 출하는 </t>
    </r>
    <r>
      <rPr>
        <i val="true"/>
        <sz val="9"/>
        <color rgb="FF7F7F7F"/>
        <rFont val="Arial"/>
        <family val="0"/>
        <charset val="1"/>
      </rPr>
      <t xml:space="preserve">20 kg </t>
    </r>
    <r>
      <rPr>
        <i val="true"/>
        <sz val="9"/>
        <color rgb="FF7F7F7F"/>
        <rFont val="Noto Sans CJK SC"/>
        <family val="2"/>
      </rPr>
      <t xml:space="preserve">정수 용기로 배분하고 연간 물량 유지</t>
    </r>
    <r>
      <rPr>
        <i val="true"/>
        <sz val="9"/>
        <color rgb="FF7F7F7F"/>
        <rFont val="Arial"/>
        <family val="0"/>
        <charset val="1"/>
      </rPr>
      <t xml:space="preserve">. 200 L: </t>
    </r>
    <r>
      <rPr>
        <i val="true"/>
        <sz val="9"/>
        <color rgb="FF7F7F7F"/>
        <rFont val="Noto Sans CJK SC"/>
        <family val="2"/>
      </rPr>
      <t xml:space="preserve">이지켐 </t>
    </r>
    <r>
      <rPr>
        <i val="true"/>
        <sz val="9"/>
        <color rgb="FF7F7F7F"/>
        <rFont val="Arial"/>
        <family val="0"/>
        <charset val="1"/>
      </rPr>
      <t xml:space="preserve">140 kg / </t>
    </r>
    <r>
      <rPr>
        <i val="true"/>
        <sz val="9"/>
        <color rgb="FF7F7F7F"/>
        <rFont val="Noto Sans CJK SC"/>
        <family val="2"/>
      </rPr>
      <t xml:space="preserve">한솔 </t>
    </r>
    <r>
      <rPr>
        <i val="true"/>
        <sz val="9"/>
        <color rgb="FF7F7F7F"/>
        <rFont val="Arial"/>
        <family val="0"/>
        <charset val="1"/>
      </rPr>
      <t xml:space="preserve">150 kg.</t>
    </r>
  </si>
  <si>
    <r>
      <rPr>
        <i val="true"/>
        <sz val="9"/>
        <color rgb="FF7F7F7F"/>
        <rFont val="Arial"/>
        <family val="0"/>
        <charset val="1"/>
      </rPr>
      <t xml:space="preserve">※ 200 L </t>
    </r>
    <r>
      <rPr>
        <i val="true"/>
        <sz val="9"/>
        <color rgb="FF7F7F7F"/>
        <rFont val="Noto Sans CJK SC"/>
        <family val="2"/>
      </rPr>
      <t xml:space="preserve">충진 확인분은 미확인 고객 시간 제외</t>
    </r>
    <r>
      <rPr>
        <i val="true"/>
        <sz val="9"/>
        <color rgb="FF7F7F7F"/>
        <rFont val="Arial"/>
        <family val="0"/>
        <charset val="1"/>
      </rPr>
      <t xml:space="preserve">. '</t>
    </r>
    <r>
      <rPr>
        <i val="true"/>
        <sz val="9"/>
        <color rgb="FF7F7F7F"/>
        <rFont val="Noto Sans CJK SC"/>
        <family val="2"/>
      </rPr>
      <t xml:space="preserve">공통 </t>
    </r>
    <r>
      <rPr>
        <i val="true"/>
        <sz val="9"/>
        <color rgb="FF7F7F7F"/>
        <rFont val="Arial"/>
        <family val="0"/>
        <charset val="1"/>
      </rPr>
      <t xml:space="preserve">8 h </t>
    </r>
    <r>
      <rPr>
        <i val="true"/>
        <sz val="9"/>
        <color rgb="FF7F7F7F"/>
        <rFont val="Noto Sans CJK SC"/>
        <family val="2"/>
      </rPr>
      <t xml:space="preserve">적용 가정</t>
    </r>
    <r>
      <rPr>
        <i val="true"/>
        <sz val="9"/>
        <color rgb="FF7F7F7F"/>
        <rFont val="Arial"/>
        <family val="0"/>
        <charset val="1"/>
      </rPr>
      <t xml:space="preserve">' </t>
    </r>
    <r>
      <rPr>
        <i val="true"/>
        <sz val="9"/>
        <color rgb="FF7F7F7F"/>
        <rFont val="Noto Sans CJK SC"/>
        <family val="2"/>
      </rPr>
      <t xml:space="preserve">열은 비교용 가정 — 한솔 확정값 아님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</si>
  <si>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Noto Sans CJK SC"/>
        <family val="2"/>
      </rPr>
      <t xml:space="preserve">※ 참고 </t>
    </r>
    <r>
      <rPr>
        <i val="true"/>
        <sz val="9"/>
        <color rgb="FF7F7F7F"/>
        <rFont val="Arial"/>
        <family val="0"/>
        <charset val="1"/>
      </rPr>
      <t xml:space="preserve">Capa. </t>
    </r>
    <r>
      <rPr>
        <i val="true"/>
        <sz val="9"/>
        <color rgb="FF7F7F7F"/>
        <rFont val="Noto Sans CJK SC"/>
        <family val="2"/>
      </rPr>
      <t xml:space="preserve">월 환산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연간 환산 </t>
    </r>
    <r>
      <rPr>
        <i val="true"/>
        <sz val="9"/>
        <color rgb="FF7F7F7F"/>
        <rFont val="Arial"/>
        <family val="0"/>
        <charset val="1"/>
      </rPr>
      <t xml:space="preserve">Capa. ÷ 12 (2027.7~ 47.2</t>
    </r>
    <r>
      <rPr>
        <i val="true"/>
        <sz val="9"/>
        <color rgb="FF7F7F7F"/>
        <rFont val="Noto Sans CJK SC"/>
        <family val="2"/>
      </rPr>
      <t xml:space="preserve">톤</t>
    </r>
    <r>
      <rPr>
        <i val="true"/>
        <sz val="9"/>
        <color rgb="FF7F7F7F"/>
        <rFont val="Arial"/>
        <family val="0"/>
        <charset val="1"/>
      </rPr>
      <t xml:space="preserve">) — </t>
    </r>
    <r>
      <rPr>
        <i val="true"/>
        <sz val="9"/>
        <color rgb="FF7F7F7F"/>
        <rFont val="Noto Sans CJK SC"/>
        <family val="2"/>
      </rPr>
      <t xml:space="preserve">실제 달력연도 생산량 아님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</si>
  <si>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b val="true"/>
        <sz val="14"/>
        <color rgb="FFEB002C"/>
        <rFont val="Arial"/>
        <family val="0"/>
        <charset val="1"/>
      </rPr>
      <t xml:space="preserve">05_Reflux_Scenarios | </t>
    </r>
    <r>
      <rPr>
        <b val="true"/>
        <sz val="14"/>
        <color rgb="FFEB002C"/>
        <rFont val="Noto Sans CJK SC"/>
        <family val="2"/>
      </rPr>
      <t xml:space="preserve">공사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시운전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개선</t>
    </r>
    <r>
      <rPr>
        <b val="true"/>
        <sz val="14"/>
        <color rgb="FFEB002C"/>
        <rFont val="Arial"/>
        <family val="0"/>
        <charset val="1"/>
      </rPr>
      <t xml:space="preserve">(</t>
    </r>
    <r>
      <rPr>
        <b val="true"/>
        <sz val="14"/>
        <color rgb="FFEB002C"/>
        <rFont val="Noto Sans CJK SC"/>
        <family val="2"/>
      </rPr>
      <t xml:space="preserve">정제기 </t>
    </r>
    <r>
      <rPr>
        <b val="true"/>
        <sz val="14"/>
        <color rgb="FFEB002C"/>
        <rFont val="Arial"/>
        <family val="0"/>
        <charset val="1"/>
      </rPr>
      <t xml:space="preserve">2</t>
    </r>
    <r>
      <rPr>
        <b val="true"/>
        <sz val="14"/>
        <color rgb="FFEB002C"/>
        <rFont val="Noto Sans CJK SC"/>
        <family val="2"/>
      </rPr>
      <t xml:space="preserve">대</t>
    </r>
    <r>
      <rPr>
        <b val="true"/>
        <sz val="14"/>
        <color rgb="FFEB002C"/>
        <rFont val="Arial"/>
        <family val="0"/>
        <charset val="1"/>
      </rPr>
      <t xml:space="preserve">) · </t>
    </r>
    <r>
      <rPr>
        <b val="true"/>
        <sz val="14"/>
        <color rgb="FFEB002C"/>
        <rFont val="Noto Sans CJK SC"/>
        <family val="2"/>
      </rPr>
      <t xml:space="preserve">최초 </t>
    </r>
    <r>
      <rPr>
        <b val="true"/>
        <sz val="14"/>
        <color rgb="FFEB002C"/>
        <rFont val="Arial"/>
        <family val="0"/>
        <charset val="1"/>
      </rPr>
      <t xml:space="preserve">12</t>
    </r>
    <r>
      <rPr>
        <b val="true"/>
        <sz val="14"/>
        <color rgb="FFEB002C"/>
        <rFont val="Noto Sans CJK SC"/>
        <family val="2"/>
      </rPr>
      <t xml:space="preserve">개월 </t>
    </r>
    <r>
      <rPr>
        <b val="true"/>
        <sz val="14"/>
        <color rgb="FFEB002C"/>
        <rFont val="Arial"/>
        <family val="0"/>
        <charset val="1"/>
      </rPr>
      <t xml:space="preserve">· 2028 </t>
    </r>
    <r>
      <rPr>
        <b val="true"/>
        <sz val="14"/>
        <color rgb="FFEB002C"/>
        <rFont val="Noto Sans CJK SC"/>
        <family val="2"/>
      </rPr>
      <t xml:space="preserve">기본</t>
    </r>
    <r>
      <rPr>
        <b val="true"/>
        <sz val="14"/>
        <color rgb="FFEB002C"/>
        <rFont val="Arial"/>
        <family val="0"/>
        <charset val="1"/>
      </rPr>
      <t xml:space="preserve">/105℃ </t>
    </r>
    <r>
      <rPr>
        <b val="true"/>
        <sz val="14"/>
        <color rgb="FFEB002C"/>
        <rFont val="Noto Sans CJK SC"/>
        <family val="2"/>
      </rPr>
      <t xml:space="preserve">검토안</t>
    </r>
  </si>
  <si>
    <r>
      <rPr>
        <i val="true"/>
        <sz val="9"/>
        <color rgb="FF7F7F7F"/>
        <rFont val="Noto Sans CJK SC"/>
        <family val="2"/>
      </rPr>
      <t xml:space="preserve">연간 환산 비교값은 확정 부족량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판매 가능량이 아님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시나리오 가정은 </t>
    </r>
    <r>
      <rPr>
        <i val="true"/>
        <sz val="9"/>
        <color rgb="FF7F7F7F"/>
        <rFont val="Arial"/>
        <family val="0"/>
        <charset val="1"/>
      </rPr>
      <t xml:space="preserve">04 </t>
    </r>
    <r>
      <rPr>
        <i val="true"/>
        <sz val="9"/>
        <color rgb="FF7F7F7F"/>
        <rFont val="Noto Sans CJK SC"/>
        <family val="2"/>
      </rPr>
      <t xml:space="preserve">시트 입력란을 대신하지 않음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</si>
  <si>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b val="true"/>
        <i val="true"/>
        <sz val="9"/>
        <color rgb="FFEB002C"/>
        <rFont val="Arial"/>
        <family val="0"/>
        <charset val="1"/>
      </rPr>
      <t xml:space="preserve">1. </t>
    </r>
    <r>
      <rPr>
        <b val="true"/>
        <i val="true"/>
        <sz val="9"/>
        <color rgb="FFEB002C"/>
        <rFont val="Noto Sans CJK SC"/>
        <family val="2"/>
      </rPr>
      <t xml:space="preserve">기간 정의</t>
    </r>
  </si>
  <si>
    <t xml:space="preserve">정제기</t>
  </si>
  <si>
    <t xml:space="preserve">운전</t>
  </si>
  <si>
    <r>
      <rPr>
        <b val="true"/>
        <sz val="9"/>
        <color rgb="FFFFFFFF"/>
        <rFont val="Arial"/>
        <family val="0"/>
        <charset val="1"/>
      </rPr>
      <t xml:space="preserve">200 L </t>
    </r>
    <r>
      <rPr>
        <b val="true"/>
        <sz val="9"/>
        <color rgb="FFFFFFFF"/>
        <rFont val="Noto Sans CJK SC"/>
        <family val="2"/>
      </rPr>
      <t xml:space="preserve">충진</t>
    </r>
  </si>
  <si>
    <t xml:space="preserve">생산 조건</t>
  </si>
  <si>
    <t xml:space="preserve">상태</t>
  </si>
  <si>
    <t xml:space="preserve">현재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</si>
  <si>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대</t>
    </r>
  </si>
  <si>
    <t xml:space="preserve">단일 설비 순차</t>
  </si>
  <si>
    <r>
      <rPr>
        <sz val="9"/>
        <color rgb="FF000000"/>
        <rFont val="Noto Sans CJK SC"/>
        <family val="2"/>
      </rPr>
      <t xml:space="preserve">이지켐 수동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'27.1~6 </t>
    </r>
    <r>
      <rPr>
        <sz val="9"/>
        <color rgb="FF000000"/>
        <rFont val="Noto Sans CJK SC"/>
        <family val="2"/>
      </rPr>
      <t xml:space="preserve">수동</t>
    </r>
  </si>
  <si>
    <r>
      <rPr>
        <sz val="9"/>
        <color rgb="FF000000"/>
        <rFont val="Noto Sans CJK SC"/>
        <family val="2"/>
      </rPr>
      <t xml:space="preserve">현재 조건 </t>
    </r>
    <r>
      <rPr>
        <sz val="9"/>
        <color rgb="FF000000"/>
        <rFont val="Arial"/>
        <family val="0"/>
        <charset val="1"/>
      </rPr>
      <t xml:space="preserve">(03 </t>
    </r>
    <r>
      <rPr>
        <sz val="9"/>
        <color rgb="FF000000"/>
        <rFont val="Noto Sans CJK SC"/>
        <family val="2"/>
      </rPr>
      <t xml:space="preserve">선택 간격</t>
    </r>
    <r>
      <rPr>
        <sz val="9"/>
        <color rgb="FF000000"/>
        <rFont val="Arial"/>
        <family val="0"/>
        <charset val="1"/>
      </rPr>
      <t xml:space="preserve">)</t>
    </r>
  </si>
  <si>
    <t xml:space="preserve">공사</t>
  </si>
  <si>
    <t xml:space="preserve">가동 여부 미확인</t>
  </si>
  <si>
    <t xml:space="preserve">1·2</t>
  </si>
  <si>
    <t xml:space="preserve">개선 적용 생산</t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</si>
  <si>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대</t>
    </r>
  </si>
  <si>
    <t xml:space="preserve">시간차 병행</t>
  </si>
  <si>
    <r>
      <rPr>
        <sz val="9"/>
        <color rgb="FF000000"/>
        <rFont val="Noto Sans CJK SC"/>
        <family val="2"/>
      </rPr>
      <t xml:space="preserve">한솔 </t>
    </r>
    <r>
      <rPr>
        <sz val="9"/>
        <color rgb="FF000000"/>
        <rFont val="Arial"/>
        <family val="0"/>
        <charset val="1"/>
      </rPr>
      <t xml:space="preserve">ARS · </t>
    </r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ARS(</t>
    </r>
    <r>
      <rPr>
        <sz val="9"/>
        <color rgb="FF000000"/>
        <rFont val="Noto Sans CJK SC"/>
        <family val="2"/>
      </rPr>
      <t xml:space="preserve">전환 월 확인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</si>
  <si>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최초 </t>
    </r>
    <r>
      <rPr>
        <sz val="9"/>
        <color rgb="FF000000"/>
        <rFont val="Arial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개월</t>
    </r>
  </si>
  <si>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 연간 환산 기준</t>
    </r>
  </si>
  <si>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기본</t>
    </r>
  </si>
  <si>
    <t xml:space="preserve">ARS</t>
  </si>
  <si>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 기준</t>
    </r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</si>
  <si>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검토안</t>
    </r>
  </si>
  <si>
    <t xml:space="preserve">103→105℃</t>
  </si>
  <si>
    <r>
      <rPr>
        <sz val="9"/>
        <color rgb="FF000000"/>
        <rFont val="Arial"/>
        <family val="0"/>
        <charset val="1"/>
      </rPr>
      <t xml:space="preserve">+3</t>
    </r>
    <r>
      <rPr>
        <sz val="9"/>
        <color rgb="FF000000"/>
        <rFont val="Noto Sans CJK SC"/>
        <family val="2"/>
      </rPr>
      <t xml:space="preserve">톤 </t>
    </r>
    <r>
      <rPr>
        <sz val="9"/>
        <color rgb="FF000000"/>
        <rFont val="Arial"/>
        <family val="0"/>
        <charset val="1"/>
      </rPr>
      <t xml:space="preserve">· 50.2</t>
    </r>
    <r>
      <rPr>
        <sz val="9"/>
        <color rgb="FF000000"/>
        <rFont val="Noto Sans CJK SC"/>
        <family val="2"/>
      </rPr>
      <t xml:space="preserve">톤 산술</t>
    </r>
  </si>
  <si>
    <r>
      <rPr>
        <b val="true"/>
        <i val="true"/>
        <sz val="9"/>
        <color rgb="FFEB002C"/>
        <rFont val="Arial"/>
        <family val="0"/>
        <charset val="1"/>
      </rPr>
      <t xml:space="preserve">2. Capa. </t>
    </r>
    <r>
      <rPr>
        <b val="true"/>
        <i val="true"/>
        <sz val="9"/>
        <color rgb="FFEB002C"/>
        <rFont val="Noto Sans CJK SC"/>
        <family val="2"/>
      </rPr>
      <t xml:space="preserve">로드맵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연간 환산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</si>
  <si>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연간 환산 </t>
    </r>
    <r>
      <rPr>
        <b val="true"/>
        <sz val="9"/>
        <color rgb="FFFFFFFF"/>
        <rFont val="Arial"/>
        <family val="0"/>
        <charset val="1"/>
      </rPr>
      <t xml:space="preserve">(t)</t>
    </r>
  </si>
  <si>
    <r>
      <rPr>
        <b val="true"/>
        <sz val="9"/>
        <color rgb="FFFFFFFF"/>
        <rFont val="Noto Sans CJK SC"/>
        <family val="2"/>
      </rPr>
      <t xml:space="preserve">증가분 </t>
    </r>
    <r>
      <rPr>
        <b val="true"/>
        <sz val="9"/>
        <color rgb="FFFFFFFF"/>
        <rFont val="Arial"/>
        <family val="0"/>
        <charset val="1"/>
      </rPr>
      <t xml:space="preserve">(t)</t>
    </r>
  </si>
  <si>
    <r>
      <rPr>
        <b val="true"/>
        <sz val="9"/>
        <color rgb="FFFFFFFF"/>
        <rFont val="Noto Sans CJK SC"/>
        <family val="2"/>
      </rPr>
      <t xml:space="preserve">월 환산 </t>
    </r>
    <r>
      <rPr>
        <b val="true"/>
        <sz val="9"/>
        <color rgb="FFFFFFFF"/>
        <rFont val="Arial"/>
        <family val="0"/>
        <charset val="1"/>
      </rPr>
      <t xml:space="preserve">(t)</t>
    </r>
  </si>
  <si>
    <r>
      <rPr>
        <b val="true"/>
        <sz val="9"/>
        <color rgb="FFFFFFFF"/>
        <rFont val="Arial"/>
        <family val="0"/>
        <charset val="1"/>
      </rPr>
      <t xml:space="preserve">Batch </t>
    </r>
    <r>
      <rPr>
        <b val="true"/>
        <sz val="9"/>
        <color rgb="FFFFFFFF"/>
        <rFont val="Noto Sans CJK SC"/>
        <family val="2"/>
      </rPr>
      <t xml:space="preserve">상당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년</t>
    </r>
  </si>
  <si>
    <r>
      <rPr>
        <b val="true"/>
        <sz val="9"/>
        <color rgb="FFFFFFFF"/>
        <rFont val="Noto Sans CJK SC"/>
        <family val="2"/>
      </rPr>
      <t xml:space="preserve">설비별 등가 간격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</si>
  <si>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(1</t>
    </r>
    <r>
      <rPr>
        <sz val="9"/>
        <color rgb="FF000000"/>
        <rFont val="Noto Sans CJK SC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·103℃)</t>
    </r>
  </si>
  <si>
    <t xml:space="preserve">기준값</t>
  </si>
  <si>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단순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</t>
    </r>
  </si>
  <si>
    <r>
      <rPr>
        <sz val="9"/>
        <color rgb="FF000000"/>
        <rFont val="Noto Sans CJK SC"/>
        <family val="2"/>
      </rPr>
      <t xml:space="preserve">차이 </t>
    </r>
    <r>
      <rPr>
        <sz val="9"/>
        <color rgb="FF000000"/>
        <rFont val="Arial"/>
        <family val="0"/>
        <charset val="1"/>
      </rPr>
      <t xml:space="preserve">5.2</t>
    </r>
    <r>
      <rPr>
        <sz val="9"/>
        <color rgb="FF000000"/>
        <rFont val="Noto Sans CJK SC"/>
        <family val="2"/>
      </rPr>
      <t xml:space="preserve">톤 확정 손실 아님</t>
    </r>
  </si>
  <si>
    <r>
      <rPr>
        <sz val="9"/>
        <color rgb="FF000000"/>
        <rFont val="Noto Sans CJK SC"/>
        <family val="2"/>
      </rPr>
      <t xml:space="preserve">개선 후 </t>
    </r>
    <r>
      <rPr>
        <sz val="9"/>
        <color rgb="FF000000"/>
        <rFont val="Arial"/>
        <family val="0"/>
        <charset val="1"/>
      </rPr>
      <t xml:space="preserve">(2</t>
    </r>
    <r>
      <rPr>
        <sz val="9"/>
        <color rgb="FF000000"/>
        <rFont val="Noto Sans CJK SC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</si>
  <si>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제공 </t>
    </r>
    <r>
      <rPr>
        <sz val="9"/>
        <color rgb="FF000000"/>
        <rFont val="Arial"/>
        <family val="0"/>
        <charset val="1"/>
      </rPr>
      <t xml:space="preserve">(12</t>
    </r>
    <r>
      <rPr>
        <sz val="9"/>
        <color rgb="FF000000"/>
        <rFont val="Noto Sans CJK SC"/>
        <family val="2"/>
      </rPr>
      <t xml:space="preserve">개월 환산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</si>
  <si>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미가산</t>
    </r>
  </si>
  <si>
    <r>
      <rPr>
        <sz val="9"/>
        <color rgb="FF000000"/>
        <rFont val="Arial"/>
        <family val="0"/>
        <charset val="1"/>
      </rPr>
      <t xml:space="preserve">105℃ </t>
    </r>
    <r>
      <rPr>
        <sz val="9"/>
        <color rgb="FF000000"/>
        <rFont val="Noto Sans CJK SC"/>
        <family val="2"/>
      </rPr>
      <t xml:space="preserve">적용 시</t>
    </r>
  </si>
  <si>
    <r>
      <rPr>
        <sz val="9"/>
        <color rgb="FF000000"/>
        <rFont val="Noto Sans CJK SC"/>
        <family val="2"/>
      </rPr>
      <t xml:space="preserve">미확정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시점 미정</t>
    </r>
  </si>
  <si>
    <r>
      <rPr>
        <sz val="9"/>
        <color rgb="FF000000"/>
        <rFont val="Noto Sans CJK SC"/>
        <family val="2"/>
      </rPr>
      <t xml:space="preserve">목표 </t>
    </r>
    <r>
      <rPr>
        <sz val="9"/>
        <color rgb="FF000000"/>
        <rFont val="Arial"/>
        <family val="0"/>
        <charset val="1"/>
      </rPr>
      <t xml:space="preserve">(2028</t>
    </r>
    <r>
      <rPr>
        <sz val="9"/>
        <color rgb="FF000000"/>
        <rFont val="Noto Sans CJK SC"/>
        <family val="2"/>
      </rPr>
      <t xml:space="preserve">년 이후</t>
    </r>
    <r>
      <rPr>
        <sz val="9"/>
        <color rgb="FF000000"/>
        <rFont val="Arial"/>
        <family val="0"/>
        <charset val="1"/>
      </rPr>
      <t xml:space="preserve">)</t>
    </r>
  </si>
  <si>
    <t xml:space="preserve">목표</t>
  </si>
  <si>
    <r>
      <rPr>
        <sz val="9"/>
        <color rgb="FF000000"/>
        <rFont val="Arial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톤 수준</t>
    </r>
  </si>
  <si>
    <r>
      <rPr>
        <b val="true"/>
        <i val="true"/>
        <sz val="9"/>
        <color rgb="FFEB002C"/>
        <rFont val="Arial"/>
        <family val="0"/>
        <charset val="1"/>
      </rPr>
      <t xml:space="preserve">3. </t>
    </r>
    <r>
      <rPr>
        <b val="true"/>
        <i val="true"/>
        <sz val="9"/>
        <color rgb="FFEB002C"/>
        <rFont val="Noto Sans CJK SC"/>
        <family val="2"/>
      </rPr>
      <t xml:space="preserve">연도별 연간 환산 </t>
    </r>
    <r>
      <rPr>
        <b val="true"/>
        <i val="true"/>
        <sz val="9"/>
        <color rgb="FFEB002C"/>
        <rFont val="Arial"/>
        <family val="0"/>
        <charset val="1"/>
      </rPr>
      <t xml:space="preserve">Capa. vs </t>
    </r>
    <r>
      <rPr>
        <b val="true"/>
        <i val="true"/>
        <sz val="9"/>
        <color rgb="FFEB002C"/>
        <rFont val="Noto Sans CJK SC"/>
        <family val="2"/>
      </rPr>
      <t xml:space="preserve">출하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산술 비교 — 실제 여유</t>
    </r>
    <r>
      <rPr>
        <b val="true"/>
        <i val="true"/>
        <sz val="9"/>
        <color rgb="FFEB002C"/>
        <rFont val="Arial"/>
        <family val="0"/>
        <charset val="1"/>
      </rPr>
      <t xml:space="preserve">·</t>
    </r>
    <r>
      <rPr>
        <b val="true"/>
        <i val="true"/>
        <sz val="9"/>
        <color rgb="FFEB002C"/>
        <rFont val="Noto Sans CJK SC"/>
        <family val="2"/>
      </rPr>
      <t xml:space="preserve">부족 아님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</si>
  <si>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t xml:space="preserve">비교</t>
  </si>
  <si>
    <r>
      <rPr>
        <b val="true"/>
        <sz val="9"/>
        <color rgb="FFFFFFFF"/>
        <rFont val="Noto Sans CJK SC"/>
        <family val="2"/>
      </rPr>
      <t xml:space="preserve">출하 </t>
    </r>
    <r>
      <rPr>
        <b val="true"/>
        <sz val="9"/>
        <color rgb="FFFFFFFF"/>
        <rFont val="Arial"/>
        <family val="0"/>
        <charset val="1"/>
      </rPr>
      <t xml:space="preserve">(t)</t>
    </r>
  </si>
  <si>
    <r>
      <rPr>
        <b val="true"/>
        <sz val="9"/>
        <color rgb="FFFFFFFF"/>
        <rFont val="Noto Sans CJK SC"/>
        <family val="2"/>
      </rPr>
      <t xml:space="preserve">비교 </t>
    </r>
    <r>
      <rPr>
        <b val="true"/>
        <sz val="9"/>
        <color rgb="FFFFFFFF"/>
        <rFont val="Arial"/>
        <family val="0"/>
        <charset val="1"/>
      </rPr>
      <t xml:space="preserve">Capa. (t)</t>
    </r>
  </si>
  <si>
    <r>
      <rPr>
        <b val="true"/>
        <sz val="9"/>
        <color rgb="FFFFFFFF"/>
        <rFont val="Arial"/>
        <family val="0"/>
        <charset val="1"/>
      </rPr>
      <t xml:space="preserve">Capa. − </t>
    </r>
    <r>
      <rPr>
        <b val="true"/>
        <sz val="9"/>
        <color rgb="FFFFFFFF"/>
        <rFont val="Noto Sans CJK SC"/>
        <family val="2"/>
      </rPr>
      <t xml:space="preserve">출하 </t>
    </r>
    <r>
      <rPr>
        <b val="true"/>
        <sz val="9"/>
        <color rgb="FFFFFFFF"/>
        <rFont val="Arial"/>
        <family val="0"/>
        <charset val="1"/>
      </rPr>
      <t xml:space="preserve">(t)</t>
    </r>
  </si>
  <si>
    <t xml:space="preserve">방향</t>
  </si>
  <si>
    <t xml:space="preserve">설명</t>
  </si>
  <si>
    <r>
      <rPr>
        <sz val="9"/>
        <color rgb="FF000000"/>
        <rFont val="Arial"/>
        <family val="0"/>
        <charset val="1"/>
      </rPr>
      <t xml:space="preserve">2026 </t>
    </r>
    <r>
      <rPr>
        <sz val="9"/>
        <color rgb="FF000000"/>
        <rFont val="Noto Sans CJK SC"/>
        <family val="2"/>
      </rPr>
      <t xml:space="preserve">제시분 </t>
    </r>
    <r>
      <rPr>
        <sz val="9"/>
        <color rgb="FF000000"/>
        <rFont val="Arial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26.2</t>
    </r>
  </si>
  <si>
    <r>
      <rPr>
        <sz val="9"/>
        <color rgb="FF000000"/>
        <rFont val="Arial"/>
        <family val="0"/>
        <charset val="1"/>
      </rPr>
      <t xml:space="preserve">CXMT·</t>
    </r>
    <r>
      <rPr>
        <sz val="9"/>
        <color rgb="FF000000"/>
        <rFont val="Noto Sans CJK SC"/>
        <family val="2"/>
      </rPr>
      <t xml:space="preserve">한솔 미포함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</si>
  <si>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출하 </t>
    </r>
    <r>
      <rPr>
        <sz val="9"/>
        <color rgb="FF000000"/>
        <rFont val="Arial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현재 </t>
    </r>
    <r>
      <rPr>
        <sz val="9"/>
        <color rgb="FF000000"/>
        <rFont val="Arial"/>
        <family val="0"/>
        <charset val="1"/>
      </rPr>
      <t xml:space="preserve">26.2</t>
    </r>
  </si>
  <si>
    <r>
      <rPr>
        <sz val="9"/>
        <color rgb="FF000000"/>
        <rFont val="Arial"/>
        <family val="0"/>
        <charset val="1"/>
      </rPr>
      <t xml:space="preserve">17.2</t>
    </r>
    <r>
      <rPr>
        <sz val="9"/>
        <color rgb="FF000000"/>
        <rFont val="Noto Sans CJK SC"/>
        <family val="2"/>
      </rPr>
      <t xml:space="preserve">톤 초과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</si>
  <si>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출하 </t>
    </r>
    <r>
      <rPr>
        <sz val="9"/>
        <color rgb="FF000000"/>
        <rFont val="Arial"/>
        <family val="0"/>
        <charset val="1"/>
      </rPr>
      <t xml:space="preserve">vs </t>
    </r>
    <r>
      <rPr>
        <sz val="9"/>
        <color rgb="FF000000"/>
        <rFont val="Noto Sans CJK SC"/>
        <family val="2"/>
      </rPr>
      <t xml:space="preserve">개선 </t>
    </r>
    <r>
      <rPr>
        <sz val="9"/>
        <color rgb="FF000000"/>
        <rFont val="Arial"/>
        <family val="0"/>
        <charset val="1"/>
      </rPr>
      <t xml:space="preserve">47.2 (</t>
    </r>
    <r>
      <rPr>
        <sz val="9"/>
        <color rgb="FF000000"/>
        <rFont val="Noto Sans CJK SC"/>
        <family val="2"/>
      </rPr>
      <t xml:space="preserve">연간 환산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</si>
  <si>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3.8</t>
    </r>
    <r>
      <rPr>
        <sz val="9"/>
        <color rgb="FF000000"/>
        <rFont val="Noto Sans CJK SC"/>
        <family val="2"/>
      </rPr>
      <t xml:space="preserve">톤 — </t>
    </r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실제 여유 아님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</si>
  <si>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상반기 출하 </t>
    </r>
    <r>
      <rPr>
        <sz val="9"/>
        <color rgb="FF000000"/>
        <rFont val="Arial"/>
        <family val="0"/>
        <charset val="1"/>
      </rPr>
      <t xml:space="preserve">vs 26.2 × 6/12 (</t>
    </r>
    <r>
      <rPr>
        <sz val="9"/>
        <color rgb="FF000000"/>
        <rFont val="Noto Sans CJK SC"/>
        <family val="2"/>
      </rPr>
      <t xml:space="preserve">참고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</si>
  <si>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시운전 미반영 참고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</si>
  <si>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하반기 출하 </t>
    </r>
    <r>
      <rPr>
        <sz val="9"/>
        <color rgb="FF000000"/>
        <rFont val="Arial"/>
        <family val="0"/>
        <charset val="1"/>
      </rPr>
      <t xml:space="preserve">vs 47.2 × 6/12 (</t>
    </r>
    <r>
      <rPr>
        <sz val="9"/>
        <color rgb="FF000000"/>
        <rFont val="Noto Sans CJK SC"/>
        <family val="2"/>
      </rPr>
      <t xml:space="preserve">균등 가동 참고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</si>
  <si>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0.96</t>
    </r>
    <r>
      <rPr>
        <sz val="9"/>
        <color rgb="FF000000"/>
        <rFont val="Noto Sans CJK SC"/>
        <family val="2"/>
      </rPr>
      <t xml:space="preserve">톤 부족 방향</t>
    </r>
  </si>
  <si>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출하 가정 </t>
    </r>
    <r>
      <rPr>
        <sz val="9"/>
        <color rgb="FF000000"/>
        <rFont val="Arial"/>
        <family val="0"/>
        <charset val="1"/>
      </rPr>
      <t xml:space="preserve">vs 47.2 (</t>
    </r>
    <r>
      <rPr>
        <sz val="9"/>
        <color rgb="FF000000"/>
        <rFont val="Noto Sans CJK SC"/>
        <family val="2"/>
      </rPr>
      <t xml:space="preserve">기본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</si>
  <si>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1.92</t>
    </r>
    <r>
      <rPr>
        <sz val="9"/>
        <color rgb="FF000000"/>
        <rFont val="Noto Sans CJK SC"/>
        <family val="2"/>
      </rPr>
      <t xml:space="preserve">톤 부족 방향</t>
    </r>
  </si>
  <si>
    <r>
      <rPr>
        <sz val="9"/>
        <color rgb="FF000000"/>
        <rFont val="Arial"/>
        <family val="0"/>
        <charset val="1"/>
      </rPr>
      <t xml:space="preserve">2028 </t>
    </r>
    <r>
      <rPr>
        <sz val="9"/>
        <color rgb="FF000000"/>
        <rFont val="Noto Sans CJK SC"/>
        <family val="2"/>
      </rPr>
      <t xml:space="preserve">출하 가정 </t>
    </r>
    <r>
      <rPr>
        <sz val="9"/>
        <color rgb="FF000000"/>
        <rFont val="Arial"/>
        <family val="0"/>
        <charset val="1"/>
      </rPr>
      <t xml:space="preserve">vs 50.2 (105℃ 12</t>
    </r>
    <r>
      <rPr>
        <sz val="9"/>
        <color rgb="FF000000"/>
        <rFont val="Noto Sans CJK SC"/>
        <family val="2"/>
      </rPr>
      <t xml:space="preserve">개월 적용 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검토안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</si>
  <si>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1.08</t>
    </r>
    <r>
      <rPr>
        <sz val="9"/>
        <color rgb="FF000000"/>
        <rFont val="Noto Sans CJK SC"/>
        <family val="2"/>
      </rPr>
      <t xml:space="preserve">톤 여유 방향 — 미확정</t>
    </r>
  </si>
  <si>
    <r>
      <rPr>
        <b val="true"/>
        <i val="true"/>
        <sz val="9"/>
        <color rgb="FFEB002C"/>
        <rFont val="Arial"/>
        <family val="0"/>
        <charset val="1"/>
      </rPr>
      <t xml:space="preserve">4. 2027~2028 </t>
    </r>
    <r>
      <rPr>
        <b val="true"/>
        <i val="true"/>
        <sz val="9"/>
        <color rgb="FFEB002C"/>
        <rFont val="Noto Sans CJK SC"/>
        <family val="2"/>
      </rPr>
      <t xml:space="preserve">실제 생산 가능량 </t>
    </r>
    <r>
      <rPr>
        <b val="true"/>
        <i val="true"/>
        <sz val="9"/>
        <color rgb="FFEB002C"/>
        <rFont val="Arial"/>
        <family val="0"/>
        <charset val="1"/>
      </rPr>
      <t xml:space="preserve">(04 </t>
    </r>
    <r>
      <rPr>
        <b val="true"/>
        <i val="true"/>
        <sz val="9"/>
        <color rgb="FFEB002C"/>
        <rFont val="Noto Sans CJK SC"/>
        <family val="2"/>
      </rPr>
      <t xml:space="preserve">시트 입력 기준 — 미확인 월은 부분합계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</si>
  <si>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t xml:space="preserve">27.1</t>
  </si>
  <si>
    <t xml:space="preserve">27.2</t>
  </si>
  <si>
    <t xml:space="preserve">27.3</t>
  </si>
  <si>
    <t xml:space="preserve">27.4</t>
  </si>
  <si>
    <t xml:space="preserve">27.5</t>
  </si>
  <si>
    <t xml:space="preserve">27.6</t>
  </si>
  <si>
    <t xml:space="preserve">27.7</t>
  </si>
  <si>
    <t xml:space="preserve">27.8</t>
  </si>
  <si>
    <t xml:space="preserve">27.9</t>
  </si>
  <si>
    <t xml:space="preserve">27.10</t>
  </si>
  <si>
    <t xml:space="preserve">27.11</t>
  </si>
  <si>
    <t xml:space="preserve">27.12</t>
  </si>
  <si>
    <t xml:space="preserve">28.1</t>
  </si>
  <si>
    <t xml:space="preserve">28.2</t>
  </si>
  <si>
    <t xml:space="preserve">28.3</t>
  </si>
  <si>
    <t xml:space="preserve">28.4</t>
  </si>
  <si>
    <t xml:space="preserve">28.5</t>
  </si>
  <si>
    <t xml:space="preserve">28.6</t>
  </si>
  <si>
    <t xml:space="preserve">28.7</t>
  </si>
  <si>
    <t xml:space="preserve">28.8</t>
  </si>
  <si>
    <t xml:space="preserve">28.9</t>
  </si>
  <si>
    <t xml:space="preserve">28.10</t>
  </si>
  <si>
    <t xml:space="preserve">28.11</t>
  </si>
  <si>
    <t xml:space="preserve">28.12</t>
  </si>
  <si>
    <r>
      <rPr>
        <b val="true"/>
        <sz val="9"/>
        <color rgb="FF000000"/>
        <rFont val="Noto Sans CJK SC"/>
        <family val="2"/>
      </rPr>
      <t xml:space="preserve">생산 가능 </t>
    </r>
    <r>
      <rPr>
        <b val="true"/>
        <sz val="9"/>
        <color rgb="FF000000"/>
        <rFont val="Arial"/>
        <family val="0"/>
        <charset val="1"/>
      </rPr>
      <t xml:space="preserve">Batch</t>
    </r>
  </si>
  <si>
    <r>
      <rPr>
        <b val="true"/>
        <sz val="9"/>
        <color rgb="FF000000"/>
        <rFont val="Noto Sans CJK SC"/>
        <family val="2"/>
      </rPr>
      <t xml:space="preserve">양품 생산 가능량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</si>
  <si>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b val="true"/>
        <sz val="9"/>
        <color rgb="FF000000"/>
        <rFont val="Noto Sans CJK SC"/>
        <family val="2"/>
      </rPr>
      <t xml:space="preserve">출하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</si>
  <si>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b val="true"/>
        <i val="true"/>
        <sz val="9"/>
        <color rgb="FFEB002C"/>
        <rFont val="Arial"/>
        <family val="0"/>
        <charset val="1"/>
      </rPr>
      <t xml:space="preserve">5. 2027~2028 </t>
    </r>
    <r>
      <rPr>
        <b val="true"/>
        <i val="true"/>
        <sz val="9"/>
        <color rgb="FFEB002C"/>
        <rFont val="Noto Sans CJK SC"/>
        <family val="2"/>
      </rPr>
      <t xml:space="preserve">공급 대응 시나리오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참고 </t>
    </r>
    <r>
      <rPr>
        <b val="true"/>
        <i val="true"/>
        <sz val="9"/>
        <color rgb="FFEB002C"/>
        <rFont val="Arial"/>
        <family val="0"/>
        <charset val="1"/>
      </rPr>
      <t xml:space="preserve">· </t>
    </r>
    <r>
      <rPr>
        <b val="true"/>
        <i val="true"/>
        <sz val="9"/>
        <color rgb="FFEB002C"/>
        <rFont val="Noto Sans CJK SC"/>
        <family val="2"/>
      </rPr>
      <t xml:space="preserve">확정 아님</t>
    </r>
    <r>
      <rPr>
        <b val="true"/>
        <i val="true"/>
        <sz val="9"/>
        <color rgb="FFEB002C"/>
        <rFont val="Arial"/>
        <family val="0"/>
        <charset val="1"/>
      </rPr>
      <t xml:space="preserve">) — </t>
    </r>
    <r>
      <rPr>
        <b val="true"/>
        <i val="true"/>
        <sz val="9"/>
        <color rgb="FFEB002C"/>
        <rFont val="Noto Sans CJK SC"/>
        <family val="2"/>
      </rPr>
      <t xml:space="preserve">필요 선행재고 </t>
    </r>
    <r>
      <rPr>
        <b val="true"/>
        <i val="true"/>
        <sz val="9"/>
        <color rgb="FFEB002C"/>
        <rFont val="Arial"/>
        <family val="0"/>
        <charset val="1"/>
      </rPr>
      <t xml:space="preserve">= </t>
    </r>
    <r>
      <rPr>
        <b val="true"/>
        <i val="true"/>
        <sz val="9"/>
        <color rgb="FFEB002C"/>
        <rFont val="Noto Sans CJK SC"/>
        <family val="2"/>
      </rPr>
      <t xml:space="preserve">누적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생산 − 출하</t>
    </r>
    <r>
      <rPr>
        <b val="true"/>
        <i val="true"/>
        <sz val="9"/>
        <color rgb="FFEB002C"/>
        <rFont val="Arial"/>
        <family val="0"/>
        <charset val="1"/>
      </rPr>
      <t xml:space="preserve">) </t>
    </r>
    <r>
      <rPr>
        <b val="true"/>
        <i val="true"/>
        <sz val="9"/>
        <color rgb="FFEB002C"/>
        <rFont val="Noto Sans CJK SC"/>
        <family val="2"/>
      </rPr>
      <t xml:space="preserve">최저점</t>
    </r>
  </si>
  <si>
    <t xml:space="preserve">시나리오 가정</t>
  </si>
  <si>
    <r>
      <rPr>
        <b val="true"/>
        <sz val="9"/>
        <color rgb="FFFFFFFF"/>
        <rFont val="Arial"/>
        <family val="0"/>
        <charset val="1"/>
      </rPr>
      <t xml:space="preserve">S1 </t>
    </r>
    <r>
      <rPr>
        <b val="true"/>
        <sz val="9"/>
        <color rgb="FFFFFFFF"/>
        <rFont val="Noto Sans CJK SC"/>
        <family val="2"/>
      </rPr>
      <t xml:space="preserve">공사 중 중단</t>
    </r>
  </si>
  <si>
    <r>
      <rPr>
        <b val="true"/>
        <sz val="9"/>
        <color rgb="FFFFFFFF"/>
        <rFont val="Arial"/>
        <family val="0"/>
        <charset val="1"/>
      </rPr>
      <t xml:space="preserve">S2 </t>
    </r>
    <r>
      <rPr>
        <b val="true"/>
        <sz val="9"/>
        <color rgb="FFFFFFFF"/>
        <rFont val="Noto Sans CJK SC"/>
        <family val="2"/>
      </rPr>
      <t xml:space="preserve">공사 중 현재 유지</t>
    </r>
  </si>
  <si>
    <r>
      <rPr>
        <b val="true"/>
        <sz val="9"/>
        <color rgb="FFFFFFFF"/>
        <rFont val="Arial"/>
        <family val="0"/>
        <charset val="1"/>
      </rPr>
      <t xml:space="preserve">S3 50% · </t>
    </r>
    <r>
      <rPr>
        <b val="true"/>
        <sz val="9"/>
        <color rgb="FFFFFFFF"/>
        <rFont val="Noto Sans CJK SC"/>
        <family val="2"/>
      </rPr>
      <t xml:space="preserve">안정화 </t>
    </r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개월</t>
    </r>
  </si>
  <si>
    <r>
      <rPr>
        <b val="true"/>
        <sz val="9"/>
        <color rgb="FF000000"/>
        <rFont val="Noto Sans CJK SC"/>
        <family val="2"/>
      </rPr>
      <t xml:space="preserve">공사 기간 가동률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현재 조건 대비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</si>
  <si>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2~5</t>
    </r>
    <r>
      <rPr>
        <i val="true"/>
        <sz val="9"/>
        <color rgb="FF7F7F7F"/>
        <rFont val="Noto Sans CJK SC"/>
        <family val="2"/>
      </rPr>
      <t xml:space="preserve">월</t>
    </r>
  </si>
  <si>
    <r>
      <rPr>
        <b val="true"/>
        <sz val="9"/>
        <color rgb="FF000000"/>
        <rFont val="Noto Sans CJK SC"/>
        <family val="2"/>
      </rPr>
      <t xml:space="preserve">시운전 월 양품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</si>
  <si>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i val="true"/>
        <sz val="9"/>
        <color rgb="FF7F7F7F"/>
        <rFont val="Arial"/>
        <family val="0"/>
        <charset val="1"/>
      </rPr>
      <t xml:space="preserve">6</t>
    </r>
    <r>
      <rPr>
        <i val="true"/>
        <sz val="9"/>
        <color rgb="FF7F7F7F"/>
        <rFont val="Noto Sans CJK SC"/>
        <family val="2"/>
      </rPr>
      <t xml:space="preserve">월 — 출하 승인 미확인 → </t>
    </r>
    <r>
      <rPr>
        <i val="true"/>
        <sz val="9"/>
        <color rgb="FF7F7F7F"/>
        <rFont val="Arial"/>
        <family val="0"/>
        <charset val="1"/>
      </rPr>
      <t xml:space="preserve">0 </t>
    </r>
    <r>
      <rPr>
        <i val="true"/>
        <sz val="9"/>
        <color rgb="FF7F7F7F"/>
        <rFont val="Noto Sans CJK SC"/>
        <family val="2"/>
      </rPr>
      <t xml:space="preserve">가정</t>
    </r>
  </si>
  <si>
    <r>
      <rPr>
        <b val="true"/>
        <sz val="9"/>
        <color rgb="FF000000"/>
        <rFont val="Noto Sans CJK SC"/>
        <family val="2"/>
      </rPr>
      <t xml:space="preserve">개선 후 안정화 개월 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현재 수준 생산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</si>
  <si>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7</t>
    </r>
    <r>
      <rPr>
        <i val="true"/>
        <sz val="9"/>
        <color rgb="FF7F7F7F"/>
        <rFont val="Noto Sans CJK SC"/>
        <family val="2"/>
      </rPr>
      <t xml:space="preserve">월부터</t>
    </r>
  </si>
  <si>
    <r>
      <rPr>
        <b val="true"/>
        <sz val="9"/>
        <color rgb="FF000000"/>
        <rFont val="Noto Sans CJK SC"/>
        <family val="2"/>
      </rPr>
      <t xml:space="preserve">개선 안정 후 월 생산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</si>
  <si>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i val="true"/>
        <sz val="9"/>
        <color rgb="FF7F7F7F"/>
        <rFont val="Arial"/>
        <family val="0"/>
        <charset val="1"/>
      </rPr>
      <t xml:space="preserve">47.2</t>
    </r>
    <r>
      <rPr>
        <i val="true"/>
        <sz val="9"/>
        <color rgb="FF7F7F7F"/>
        <rFont val="Noto Sans CJK SC"/>
        <family val="2"/>
      </rPr>
      <t xml:space="preserve">톤 </t>
    </r>
    <r>
      <rPr>
        <i val="true"/>
        <sz val="9"/>
        <color rgb="FF7F7F7F"/>
        <rFont val="Arial"/>
        <family val="0"/>
        <charset val="1"/>
      </rPr>
      <t xml:space="preserve">÷ 12 — </t>
    </r>
    <r>
      <rPr>
        <i val="true"/>
        <sz val="9"/>
        <color rgb="FF7F7F7F"/>
        <rFont val="Noto Sans CJK SC"/>
        <family val="2"/>
      </rPr>
      <t xml:space="preserve">상한 참고</t>
    </r>
  </si>
  <si>
    <r>
      <rPr>
        <b val="true"/>
        <sz val="9"/>
        <color rgb="FF000000"/>
        <rFont val="Arial"/>
        <family val="0"/>
        <charset val="1"/>
      </rPr>
      <t xml:space="preserve">2028 105℃ 12</t>
    </r>
    <r>
      <rPr>
        <b val="true"/>
        <sz val="9"/>
        <color rgb="FF000000"/>
        <rFont val="Noto Sans CJK SC"/>
        <family val="2"/>
      </rPr>
      <t xml:space="preserve">개월 적용 </t>
    </r>
    <r>
      <rPr>
        <b val="true"/>
        <sz val="9"/>
        <color rgb="FF000000"/>
        <rFont val="Arial"/>
        <family val="0"/>
        <charset val="1"/>
      </rPr>
      <t xml:space="preserve">(1=</t>
    </r>
    <r>
      <rPr>
        <b val="true"/>
        <sz val="9"/>
        <color rgb="FF000000"/>
        <rFont val="Noto Sans CJK SC"/>
        <family val="2"/>
      </rPr>
      <t xml:space="preserve">적용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</si>
  <si>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검토안 — 기본 </t>
    </r>
    <r>
      <rPr>
        <i val="true"/>
        <sz val="9"/>
        <color rgb="FF7F7F7F"/>
        <rFont val="Arial"/>
        <family val="0"/>
        <charset val="1"/>
      </rPr>
      <t xml:space="preserve">0</t>
    </r>
  </si>
  <si>
    <t xml:space="preserve">양품률</t>
  </si>
  <si>
    <r>
      <rPr>
        <i val="true"/>
        <sz val="9"/>
        <color rgb="FF7F7F7F"/>
        <rFont val="Arial"/>
        <family val="0"/>
        <charset val="1"/>
      </rPr>
      <t xml:space="preserve">100% = </t>
    </r>
    <r>
      <rPr>
        <i val="true"/>
        <sz val="9"/>
        <color rgb="FF7F7F7F"/>
        <rFont val="Noto Sans CJK SC"/>
        <family val="2"/>
      </rPr>
      <t xml:space="preserve">상한</t>
    </r>
  </si>
  <si>
    <r>
      <rPr>
        <b val="true"/>
        <sz val="9"/>
        <color rgb="FFFFFFFF"/>
        <rFont val="Noto Sans CJK SC"/>
        <family val="2"/>
      </rPr>
      <t xml:space="preserve">월별 </t>
    </r>
    <r>
      <rPr>
        <b val="true"/>
        <sz val="9"/>
        <color rgb="FFFFFFFF"/>
        <rFont val="Arial"/>
        <family val="0"/>
        <charset val="1"/>
      </rPr>
      <t xml:space="preserve">(kg)</t>
    </r>
  </si>
  <si>
    <r>
      <rPr>
        <b val="true"/>
        <sz val="9"/>
        <color rgb="FF000000"/>
        <rFont val="Noto Sans CJK SC"/>
        <family val="2"/>
      </rPr>
      <t xml:space="preserve">현재 조건 월 생산 가능량 </t>
    </r>
    <r>
      <rPr>
        <b val="true"/>
        <sz val="9"/>
        <color rgb="FF000000"/>
        <rFont val="Arial"/>
        <family val="0"/>
        <charset val="1"/>
      </rPr>
      <t xml:space="preserve">(1</t>
    </r>
    <r>
      <rPr>
        <b val="true"/>
        <sz val="9"/>
        <color rgb="FF000000"/>
        <rFont val="Noto Sans CJK SC"/>
        <family val="2"/>
      </rPr>
      <t xml:space="preserve">대</t>
    </r>
    <r>
      <rPr>
        <b val="true"/>
        <sz val="9"/>
        <color rgb="FF000000"/>
        <rFont val="Arial"/>
        <family val="0"/>
        <charset val="1"/>
      </rPr>
      <t xml:space="preserve">, Batch </t>
    </r>
    <r>
      <rPr>
        <b val="true"/>
        <sz val="9"/>
        <color rgb="FF000000"/>
        <rFont val="Noto Sans CJK SC"/>
        <family val="2"/>
      </rPr>
      <t xml:space="preserve">상당</t>
    </r>
    <r>
      <rPr>
        <b val="true"/>
        <sz val="9"/>
        <color rgb="FF000000"/>
        <rFont val="Arial"/>
        <family val="0"/>
        <charset val="1"/>
      </rPr>
      <t xml:space="preserve">×190)</t>
    </r>
  </si>
  <si>
    <r>
      <rPr>
        <b val="true"/>
        <sz val="9"/>
        <color rgb="FF000000"/>
        <rFont val="Noto Sans CJK SC"/>
        <family val="2"/>
      </rPr>
      <t xml:space="preserve">출하 </t>
    </r>
    <r>
      <rPr>
        <b val="true"/>
        <sz val="9"/>
        <color rgb="FF000000"/>
        <rFont val="Arial"/>
        <family val="0"/>
        <charset val="1"/>
      </rPr>
      <t xml:space="preserve">(4</t>
    </r>
    <r>
      <rPr>
        <b val="true"/>
        <sz val="9"/>
        <color rgb="FF000000"/>
        <rFont val="Noto Sans CJK SC"/>
        <family val="2"/>
      </rPr>
      <t xml:space="preserve">개 고객</t>
    </r>
    <r>
      <rPr>
        <b val="true"/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</si>
  <si>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S1 </t>
    </r>
    <r>
      <rPr>
        <b val="true"/>
        <sz val="9"/>
        <color rgb="FF000000"/>
        <rFont val="Noto Sans CJK SC"/>
        <family val="2"/>
      </rPr>
      <t xml:space="preserve">생산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</si>
  <si>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sz val="9"/>
        <color rgb="FF000000"/>
        <rFont val="Arial"/>
        <family val="0"/>
        <charset val="1"/>
      </rPr>
      <t xml:space="preserve">S1 </t>
    </r>
    <r>
      <rPr>
        <sz val="9"/>
        <color rgb="FF000000"/>
        <rFont val="Noto Sans CJK SC"/>
        <family val="2"/>
      </rPr>
      <t xml:space="preserve">누적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생산 − 출하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</si>
  <si>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S2 </t>
    </r>
    <r>
      <rPr>
        <b val="true"/>
        <sz val="9"/>
        <color rgb="FF000000"/>
        <rFont val="Noto Sans CJK SC"/>
        <family val="2"/>
      </rPr>
      <t xml:space="preserve">생산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</si>
  <si>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sz val="9"/>
        <color rgb="FF000000"/>
        <rFont val="Arial"/>
        <family val="0"/>
        <charset val="1"/>
      </rPr>
      <t xml:space="preserve">S2 </t>
    </r>
    <r>
      <rPr>
        <sz val="9"/>
        <color rgb="FF000000"/>
        <rFont val="Noto Sans CJK SC"/>
        <family val="2"/>
      </rPr>
      <t xml:space="preserve">누적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생산 − 출하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</si>
  <si>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000000"/>
        <rFont val="Arial"/>
        <family val="0"/>
        <charset val="1"/>
      </rPr>
      <t xml:space="preserve">S3 </t>
    </r>
    <r>
      <rPr>
        <b val="true"/>
        <sz val="9"/>
        <color rgb="FF000000"/>
        <rFont val="Noto Sans CJK SC"/>
        <family val="2"/>
      </rPr>
      <t xml:space="preserve">생산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</si>
  <si>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sz val="9"/>
        <color rgb="FF000000"/>
        <rFont val="Arial"/>
        <family val="0"/>
        <charset val="1"/>
      </rPr>
      <t xml:space="preserve">S3 </t>
    </r>
    <r>
      <rPr>
        <sz val="9"/>
        <color rgb="FF000000"/>
        <rFont val="Noto Sans CJK SC"/>
        <family val="2"/>
      </rPr>
      <t xml:space="preserve">누적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생산 − 출하</t>
    </r>
    <r>
      <rPr>
        <sz val="9"/>
        <color rgb="FF000000"/>
        <rFont val="Arial"/>
        <family val="0"/>
        <charset val="1"/>
      </rPr>
      <t xml:space="preserve">)</t>
    </r>
  </si>
  <si>
    <t xml:space="preserve">시나리오 결과</t>
  </si>
  <si>
    <t xml:space="preserve">S1</t>
  </si>
  <si>
    <t xml:space="preserve">S2</t>
  </si>
  <si>
    <t xml:space="preserve">S3</t>
  </si>
  <si>
    <t xml:space="preserve">해석</t>
  </si>
  <si>
    <r>
      <rPr>
        <b val="true"/>
        <sz val="9"/>
        <color rgb="FF000000"/>
        <rFont val="Arial"/>
        <family val="0"/>
        <charset val="1"/>
      </rPr>
      <t xml:space="preserve">2027 </t>
    </r>
    <r>
      <rPr>
        <b val="true"/>
        <sz val="9"/>
        <color rgb="FF000000"/>
        <rFont val="Noto Sans CJK SC"/>
        <family val="2"/>
      </rPr>
      <t xml:space="preserve">생산 </t>
    </r>
    <r>
      <rPr>
        <b val="true"/>
        <sz val="9"/>
        <color rgb="FF000000"/>
        <rFont val="Arial"/>
        <family val="0"/>
        <charset val="1"/>
      </rPr>
      <t xml:space="preserve">(kg)</t>
    </r>
  </si>
  <si>
    <t xml:space="preserve">참고 — 실제 아님</t>
  </si>
  <si>
    <r>
      <rPr>
        <b val="true"/>
        <sz val="9"/>
        <color rgb="FF000000"/>
        <rFont val="Arial"/>
        <family val="0"/>
        <charset val="1"/>
      </rPr>
      <t xml:space="preserve">2027 </t>
    </r>
    <r>
      <rPr>
        <b val="true"/>
        <sz val="9"/>
        <color rgb="FF000000"/>
        <rFont val="Noto Sans CJK SC"/>
        <family val="2"/>
      </rPr>
      <t xml:space="preserve">생산 − 출하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</si>
  <si>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b val="true"/>
        <sz val="9"/>
        <color rgb="FF000000"/>
        <rFont val="Arial"/>
        <family val="0"/>
        <charset val="1"/>
      </rPr>
      <t xml:space="preserve">2028 </t>
    </r>
    <r>
      <rPr>
        <b val="true"/>
        <sz val="9"/>
        <color rgb="FF000000"/>
        <rFont val="Noto Sans CJK SC"/>
        <family val="2"/>
      </rPr>
      <t xml:space="preserve">생산 − 출하 </t>
    </r>
    <r>
      <rPr>
        <b val="true"/>
        <sz val="9"/>
        <color rgb="FF000000"/>
        <rFont val="Arial"/>
        <family val="0"/>
        <charset val="1"/>
      </rPr>
      <t xml:space="preserve">(kg)</t>
    </r>
  </si>
  <si>
    <r>
      <rPr>
        <i val="true"/>
        <sz val="9"/>
        <color rgb="FF7F7F7F"/>
        <rFont val="Arial"/>
        <family val="0"/>
        <charset val="1"/>
      </rPr>
      <t xml:space="preserve">47.2 </t>
    </r>
    <r>
      <rPr>
        <i val="true"/>
        <sz val="9"/>
        <color rgb="FF7F7F7F"/>
        <rFont val="Noto Sans CJK SC"/>
        <family val="2"/>
      </rPr>
      <t xml:space="preserve">기준 시 −</t>
    </r>
    <r>
      <rPr>
        <i val="true"/>
        <sz val="9"/>
        <color rgb="FF7F7F7F"/>
        <rFont val="Arial"/>
        <family val="0"/>
        <charset val="1"/>
      </rPr>
      <t xml:space="preserve">1,920</t>
    </r>
  </si>
  <si>
    <r>
      <rPr>
        <b val="true"/>
        <sz val="9"/>
        <color rgb="FF000000"/>
        <rFont val="Noto Sans CJK SC"/>
        <family val="2"/>
      </rPr>
      <t xml:space="preserve">필요 선행재고 </t>
    </r>
    <r>
      <rPr>
        <b val="true"/>
        <sz val="9"/>
        <color rgb="FF000000"/>
        <rFont val="Arial"/>
        <family val="0"/>
        <charset val="1"/>
      </rPr>
      <t xml:space="preserve">2027-01-01 (kg)</t>
    </r>
  </si>
  <si>
    <r>
      <rPr>
        <i val="true"/>
        <sz val="9"/>
        <color rgb="FF7F7F7F"/>
        <rFont val="Arial"/>
        <family val="0"/>
        <charset val="1"/>
      </rPr>
      <t xml:space="preserve">24</t>
    </r>
    <r>
      <rPr>
        <i val="true"/>
        <sz val="9"/>
        <color rgb="FF7F7F7F"/>
        <rFont val="Noto Sans CJK SC"/>
        <family val="2"/>
      </rPr>
      <t xml:space="preserve">개월 결품 없이 대응할 최소 기초재고</t>
    </r>
  </si>
  <si>
    <t xml:space="preserve">누적 최저 시점</t>
  </si>
  <si>
    <r>
      <rPr>
        <i val="true"/>
        <sz val="9"/>
        <color rgb="FF7F7F7F"/>
        <rFont val="Noto Sans CJK SC"/>
        <family val="2"/>
      </rPr>
      <t xml:space="preserve">연</t>
    </r>
    <r>
      <rPr>
        <i val="true"/>
        <sz val="9"/>
        <color rgb="FF7F7F7F"/>
        <rFont val="Arial"/>
        <family val="0"/>
        <charset val="1"/>
      </rPr>
      <t xml:space="preserve">.</t>
    </r>
    <r>
      <rPr>
        <i val="true"/>
        <sz val="9"/>
        <color rgb="FF7F7F7F"/>
        <rFont val="Noto Sans CJK SC"/>
        <family val="2"/>
      </rPr>
      <t xml:space="preserve">월</t>
    </r>
  </si>
  <si>
    <r>
      <rPr>
        <b val="true"/>
        <i val="true"/>
        <sz val="9"/>
        <color rgb="FFEB002C"/>
        <rFont val="Arial"/>
        <family val="0"/>
        <charset val="1"/>
      </rPr>
      <t xml:space="preserve">6. 105℃ </t>
    </r>
    <r>
      <rPr>
        <b val="true"/>
        <i val="true"/>
        <sz val="9"/>
        <color rgb="FFEB002C"/>
        <rFont val="Noto Sans CJK SC"/>
        <family val="2"/>
      </rPr>
      <t xml:space="preserve">검토안 확인사항 </t>
    </r>
    <r>
      <rPr>
        <b val="true"/>
        <i val="true"/>
        <sz val="9"/>
        <color rgb="FFEB002C"/>
        <rFont val="Arial"/>
        <family val="0"/>
        <charset val="1"/>
      </rPr>
      <t xml:space="preserve">(</t>
    </r>
    <r>
      <rPr>
        <b val="true"/>
        <i val="true"/>
        <sz val="9"/>
        <color rgb="FFEB002C"/>
        <rFont val="Noto Sans CJK SC"/>
        <family val="2"/>
      </rPr>
      <t xml:space="preserve">미확정 </t>
    </r>
    <r>
      <rPr>
        <b val="true"/>
        <i val="true"/>
        <sz val="9"/>
        <color rgb="FFEB002C"/>
        <rFont val="Arial"/>
        <family val="0"/>
        <charset val="1"/>
      </rPr>
      <t xml:space="preserve">· </t>
    </r>
    <r>
      <rPr>
        <b val="true"/>
        <i val="true"/>
        <sz val="9"/>
        <color rgb="FFEB002C"/>
        <rFont val="Noto Sans CJK SC"/>
        <family val="2"/>
      </rPr>
      <t xml:space="preserve">적용 시점 미정 </t>
    </r>
    <r>
      <rPr>
        <b val="true"/>
        <i val="true"/>
        <sz val="9"/>
        <color rgb="FFEB002C"/>
        <rFont val="Arial"/>
        <family val="0"/>
        <charset val="1"/>
      </rPr>
      <t xml:space="preserve">· </t>
    </r>
    <r>
      <rPr>
        <b val="true"/>
        <i val="true"/>
        <sz val="9"/>
        <color rgb="FFEB002C"/>
        <rFont val="Noto Sans CJK SC"/>
        <family val="2"/>
      </rPr>
      <t xml:space="preserve">검증 및 승인 필요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</si>
  <si>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열 안정성</t>
    </r>
  </si>
  <si>
    <r>
      <rPr>
        <sz val="9"/>
        <color rgb="FF000000"/>
        <rFont val="Arial"/>
        <family val="0"/>
        <charset val="1"/>
      </rPr>
      <t xml:space="preserve">· Dimer </t>
    </r>
    <r>
      <rPr>
        <sz val="9"/>
        <color rgb="FF000000"/>
        <rFont val="Noto Sans CJK SC"/>
        <family val="2"/>
      </rPr>
      <t xml:space="preserve">형성</t>
    </r>
  </si>
  <si>
    <r>
      <rPr>
        <sz val="9"/>
        <color rgb="FF000000"/>
        <rFont val="Arial"/>
        <family val="0"/>
        <charset val="1"/>
      </rPr>
      <t xml:space="preserve">· Unknown impurity </t>
    </r>
    <r>
      <rPr>
        <sz val="9"/>
        <color rgb="FF000000"/>
        <rFont val="Noto Sans CJK SC"/>
        <family val="2"/>
      </rPr>
      <t xml:space="preserve">증가</t>
    </r>
  </si>
  <si>
    <r>
      <rPr>
        <sz val="9"/>
        <color rgb="FF000000"/>
        <rFont val="Arial"/>
        <family val="0"/>
        <charset val="1"/>
      </rPr>
      <t xml:space="preserve">· Yield </t>
    </r>
    <r>
      <rPr>
        <sz val="9"/>
        <color rgb="FF000000"/>
        <rFont val="Noto Sans CJK SC"/>
        <family val="2"/>
      </rPr>
      <t xml:space="preserve">영향</t>
    </r>
  </si>
  <si>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고객 승인</t>
    </r>
  </si>
  <si>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적용 시점 — 확정 시 </t>
    </r>
    <r>
      <rPr>
        <sz val="9"/>
        <color rgb="FF000000"/>
        <rFont val="Arial"/>
        <family val="0"/>
        <charset val="1"/>
      </rPr>
      <t xml:space="preserve">01_Inputs '105℃ </t>
    </r>
    <r>
      <rPr>
        <sz val="9"/>
        <color rgb="FF000000"/>
        <rFont val="Noto Sans CJK SC"/>
        <family val="2"/>
      </rPr>
      <t xml:space="preserve">적용 시작 월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Noto Sans CJK SC"/>
        <family val="2"/>
      </rPr>
      <t xml:space="preserve">입력 → </t>
    </r>
    <r>
      <rPr>
        <sz val="9"/>
        <color rgb="FF000000"/>
        <rFont val="Arial"/>
        <family val="0"/>
        <charset val="1"/>
      </rPr>
      <t xml:space="preserve">04 </t>
    </r>
    <r>
      <rPr>
        <sz val="9"/>
        <color rgb="FF000000"/>
        <rFont val="Noto Sans CJK SC"/>
        <family val="2"/>
      </rPr>
      <t xml:space="preserve">시트 월별 반영</t>
    </r>
  </si>
  <si>
    <r>
      <rPr>
        <b val="true"/>
        <sz val="14"/>
        <color rgb="FFEB002C"/>
        <rFont val="Arial"/>
        <family val="0"/>
        <charset val="1"/>
      </rPr>
      <t xml:space="preserve">06_Report_Summary | PPT </t>
    </r>
    <r>
      <rPr>
        <b val="true"/>
        <sz val="14"/>
        <color rgb="FFEB002C"/>
        <rFont val="Noto Sans CJK SC"/>
        <family val="2"/>
      </rPr>
      <t xml:space="preserve">사용 수치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표 </t>
    </r>
    <r>
      <rPr>
        <b val="true"/>
        <sz val="14"/>
        <color rgb="FFEB002C"/>
        <rFont val="Arial"/>
        <family val="0"/>
        <charset val="1"/>
      </rPr>
      <t xml:space="preserve">· </t>
    </r>
    <r>
      <rPr>
        <b val="true"/>
        <sz val="14"/>
        <color rgb="FFEB002C"/>
        <rFont val="Noto Sans CJK SC"/>
        <family val="2"/>
      </rPr>
      <t xml:space="preserve">차트 </t>
    </r>
    <r>
      <rPr>
        <b val="true"/>
        <sz val="14"/>
        <color rgb="FFEB002C"/>
        <rFont val="Arial"/>
        <family val="0"/>
        <charset val="1"/>
      </rPr>
      <t xml:space="preserve">(</t>
    </r>
    <r>
      <rPr>
        <b val="true"/>
        <sz val="14"/>
        <color rgb="FFEB002C"/>
        <rFont val="Noto Sans CJK SC"/>
        <family val="2"/>
      </rPr>
      <t xml:space="preserve">수식 연동</t>
    </r>
    <r>
      <rPr>
        <b val="true"/>
        <sz val="14"/>
        <color rgb="FFEB002C"/>
        <rFont val="Arial"/>
        <family val="0"/>
        <charset val="1"/>
      </rPr>
      <t xml:space="preserve">)</t>
    </r>
  </si>
  <si>
    <r>
      <rPr>
        <i val="true"/>
        <sz val="9"/>
        <color rgb="FF7F7F7F"/>
        <rFont val="Arial"/>
        <family val="0"/>
        <charset val="1"/>
      </rPr>
      <t xml:space="preserve">PPT </t>
    </r>
    <r>
      <rPr>
        <i val="true"/>
        <sz val="9"/>
        <color rgb="FF7F7F7F"/>
        <rFont val="Noto Sans CJK SC"/>
        <family val="2"/>
      </rPr>
      <t xml:space="preserve">수치는 이 시트와 일치해야 함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</si>
  <si>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b val="true"/>
        <i val="true"/>
        <sz val="9"/>
        <color rgb="FFEB002C"/>
        <rFont val="Arial"/>
        <family val="0"/>
        <charset val="1"/>
      </rPr>
      <t xml:space="preserve">1. </t>
    </r>
    <r>
      <rPr>
        <b val="true"/>
        <i val="true"/>
        <sz val="9"/>
        <color rgb="FFEB002C"/>
        <rFont val="Noto Sans CJK SC"/>
        <family val="2"/>
      </rPr>
      <t xml:space="preserve">핵심 수치</t>
    </r>
  </si>
  <si>
    <t xml:space="preserve">시트</t>
  </si>
  <si>
    <t xml:space="preserve">t57c</t>
  </si>
  <si>
    <t xml:space="preserve">01</t>
  </si>
  <si>
    <t xml:space="preserve">t_ref</t>
  </si>
  <si>
    <t xml:space="preserve">lt_5g</t>
  </si>
  <si>
    <t xml:space="preserve">03</t>
  </si>
  <si>
    <t xml:space="preserve">lt_ez</t>
  </si>
  <si>
    <t xml:space="preserve">el_5g</t>
  </si>
  <si>
    <t xml:space="preserve">occ</t>
  </si>
  <si>
    <t xml:space="preserve">th_bm</t>
  </si>
  <si>
    <t xml:space="preserve">th_kgm</t>
  </si>
  <si>
    <t xml:space="preserve">mx_ref</t>
  </si>
  <si>
    <t xml:space="preserve">mx_gap</t>
  </si>
  <si>
    <t xml:space="preserve">mx_kgm</t>
  </si>
  <si>
    <t xml:space="preserve">mx_kgy12</t>
  </si>
  <si>
    <t xml:space="preserve">mx_int</t>
  </si>
  <si>
    <t xml:space="preserve">ob_int</t>
  </si>
  <si>
    <t xml:space="preserve">ob_lo</t>
  </si>
  <si>
    <t xml:space="preserve">ob_hi</t>
  </si>
  <si>
    <t xml:space="preserve">ob_med</t>
  </si>
  <si>
    <t xml:space="preserve">ob_n</t>
  </si>
  <si>
    <t xml:space="preserve">ob_days</t>
  </si>
  <si>
    <t xml:space="preserve">ob_n_dates</t>
  </si>
  <si>
    <t xml:space="preserve">ob_vs47</t>
  </si>
  <si>
    <t xml:space="preserve">ob_vs45</t>
  </si>
  <si>
    <t xml:space="preserve">ob_b30</t>
  </si>
  <si>
    <t xml:space="preserve">ob_b31</t>
  </si>
  <si>
    <t xml:space="preserve">ob_kgm</t>
  </si>
  <si>
    <t xml:space="preserve">ob_kgy</t>
  </si>
  <si>
    <t xml:space="preserve">ob_share3</t>
  </si>
  <si>
    <t xml:space="preserve">ob_dense</t>
  </si>
  <si>
    <t xml:space="preserve">02</t>
  </si>
  <si>
    <t xml:space="preserve">chk_diff</t>
  </si>
  <si>
    <t xml:space="preserve">건</t>
  </si>
  <si>
    <t xml:space="preserve">cp_b</t>
  </si>
  <si>
    <t xml:space="preserve">cp_kground</t>
  </si>
  <si>
    <t xml:space="preserve">cp_int</t>
  </si>
  <si>
    <t xml:space="preserve">cp_bm</t>
  </si>
  <si>
    <t xml:space="preserve">x2_gap</t>
  </si>
  <si>
    <t xml:space="preserve">t</t>
  </si>
  <si>
    <t xml:space="preserve">rf_int_each</t>
  </si>
  <si>
    <t xml:space="preserve">rf_int_all</t>
  </si>
  <si>
    <t xml:space="preserve">rf_int_diff</t>
  </si>
  <si>
    <t xml:space="preserve">off</t>
  </si>
  <si>
    <t xml:space="preserve">g_int</t>
  </si>
  <si>
    <t xml:space="preserve">fill_gap_min</t>
  </si>
  <si>
    <t xml:space="preserve">tk1_asis</t>
  </si>
  <si>
    <t xml:space="preserve">tk1_tobe</t>
  </si>
  <si>
    <t xml:space="preserve">tk2_tobe</t>
  </si>
  <si>
    <t xml:space="preserve">tk1_occ</t>
  </si>
  <si>
    <t xml:space="preserve">gb27</t>
  </si>
  <si>
    <t xml:space="preserve">gb28</t>
  </si>
  <si>
    <t xml:space="preserve">gbmax</t>
  </si>
  <si>
    <t xml:space="preserve">gb_ld1</t>
  </si>
  <si>
    <t xml:space="preserve">gb_ld2</t>
  </si>
  <si>
    <t xml:space="preserve">c200_27</t>
  </si>
  <si>
    <t xml:space="preserve">c200_28</t>
  </si>
  <si>
    <t xml:space="preserve">sh26</t>
  </si>
  <si>
    <t xml:space="preserve">sh27</t>
  </si>
  <si>
    <t xml:space="preserve">sh28</t>
  </si>
  <si>
    <t xml:space="preserve">sh27h1</t>
  </si>
  <si>
    <t xml:space="preserve">sh27h2</t>
  </si>
  <si>
    <t xml:space="preserve">d26_now</t>
  </si>
  <si>
    <t xml:space="preserve">05</t>
  </si>
  <si>
    <t xml:space="preserve">d27_now</t>
  </si>
  <si>
    <t xml:space="preserve">d27_rf</t>
  </si>
  <si>
    <t xml:space="preserve">d27_h1</t>
  </si>
  <si>
    <t xml:space="preserve">d27_h2</t>
  </si>
  <si>
    <t xml:space="preserve">d28_base</t>
  </si>
  <si>
    <t xml:space="preserve">d28_105</t>
  </si>
  <si>
    <t xml:space="preserve">cap27h2</t>
  </si>
  <si>
    <t xml:space="preserve">cap27h1</t>
  </si>
  <si>
    <t xml:space="preserve">p26</t>
  </si>
  <si>
    <t xml:space="preserve">04</t>
  </si>
  <si>
    <t xml:space="preserve">pb26</t>
  </si>
  <si>
    <t xml:space="preserve">p27</t>
  </si>
  <si>
    <t xml:space="preserve">p28</t>
  </si>
  <si>
    <t xml:space="preserve">p27_1</t>
  </si>
  <si>
    <t xml:space="preserve">pb27_1</t>
  </si>
  <si>
    <t xml:space="preserve">basis_int</t>
  </si>
  <si>
    <t xml:space="preserve">nb27</t>
  </si>
  <si>
    <t xml:space="preserve">nb28</t>
  </si>
  <si>
    <t xml:space="preserve">ez27</t>
  </si>
  <si>
    <t xml:space="preserve">hs27</t>
  </si>
  <si>
    <t xml:space="preserve">cx27</t>
  </si>
  <si>
    <t xml:space="preserve">ez28</t>
  </si>
  <si>
    <t xml:space="preserve">cx28</t>
  </si>
  <si>
    <t xml:space="preserve">hs28</t>
  </si>
  <si>
    <t xml:space="preserve">ak27</t>
  </si>
  <si>
    <t xml:space="preserve">ak28</t>
  </si>
  <si>
    <t xml:space="preserve">ah27</t>
  </si>
  <si>
    <t xml:space="preserve">al27</t>
  </si>
  <si>
    <t xml:space="preserve">ac27</t>
  </si>
  <si>
    <t xml:space="preserve">al28</t>
  </si>
  <si>
    <t xml:space="preserve">ac28</t>
  </si>
  <si>
    <t xml:space="preserve">S1_p</t>
  </si>
  <si>
    <t xml:space="preserve">S1_d27</t>
  </si>
  <si>
    <t xml:space="preserve">S1_d28</t>
  </si>
  <si>
    <t xml:space="preserve">S1_inv</t>
  </si>
  <si>
    <t xml:space="preserve">S1_low</t>
  </si>
  <si>
    <t xml:space="preserve">S2_p</t>
  </si>
  <si>
    <t xml:space="preserve">S2_d27</t>
  </si>
  <si>
    <t xml:space="preserve">S2_d28</t>
  </si>
  <si>
    <t xml:space="preserve">S2_inv</t>
  </si>
  <si>
    <t xml:space="preserve">S2_low</t>
  </si>
  <si>
    <t xml:space="preserve">S3_p</t>
  </si>
  <si>
    <t xml:space="preserve">S3_d27</t>
  </si>
  <si>
    <t xml:space="preserve">S3_d28</t>
  </si>
  <si>
    <t xml:space="preserve">S3_inv</t>
  </si>
  <si>
    <t xml:space="preserve">S3_low</t>
  </si>
  <si>
    <r>
      <rPr>
        <b val="true"/>
        <i val="true"/>
        <sz val="9"/>
        <color rgb="FFEB002C"/>
        <rFont val="Arial"/>
        <family val="0"/>
        <charset val="1"/>
      </rPr>
      <t xml:space="preserve">2. </t>
    </r>
    <r>
      <rPr>
        <b val="true"/>
        <i val="true"/>
        <sz val="9"/>
        <color rgb="FFEB002C"/>
        <rFont val="Noto Sans CJK SC"/>
        <family val="2"/>
      </rPr>
      <t xml:space="preserve">생산능력 비교 </t>
    </r>
    <r>
      <rPr>
        <b val="true"/>
        <i val="true"/>
        <sz val="9"/>
        <color rgb="FFEB002C"/>
        <rFont val="Arial"/>
        <family val="0"/>
        <charset val="1"/>
      </rPr>
      <t xml:space="preserve">(03 </t>
    </r>
    <r>
      <rPr>
        <b val="true"/>
        <i val="true"/>
        <sz val="9"/>
        <color rgb="FFEB002C"/>
        <rFont val="Noto Sans CJK SC"/>
        <family val="2"/>
      </rPr>
      <t xml:space="preserve">시트 </t>
    </r>
    <r>
      <rPr>
        <b val="true"/>
        <i val="true"/>
        <sz val="9"/>
        <color rgb="FFEB002C"/>
        <rFont val="Arial"/>
        <family val="0"/>
        <charset val="1"/>
      </rPr>
      <t xml:space="preserve">7</t>
    </r>
    <r>
      <rPr>
        <b val="true"/>
        <i val="true"/>
        <sz val="9"/>
        <color rgb="FFEB002C"/>
        <rFont val="Noto Sans CJK SC"/>
        <family val="2"/>
      </rPr>
      <t xml:space="preserve">절</t>
    </r>
    <r>
      <rPr>
        <b val="true"/>
        <i val="true"/>
        <sz val="9"/>
        <color rgb="FFEB002C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</si>
  <si>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간격 </t>
    </r>
    <r>
      <rPr>
        <b val="true"/>
        <sz val="9"/>
        <color rgb="FFFFFFFF"/>
        <rFont val="Arial"/>
        <family val="0"/>
        <charset val="1"/>
      </rPr>
      <t xml:space="preserve">(h)</t>
    </r>
  </si>
  <si>
    <r>
      <rPr>
        <b val="true"/>
        <sz val="9"/>
        <color rgb="FFFFFFFF"/>
        <rFont val="Noto Sans CJK SC"/>
        <family val="2"/>
      </rPr>
      <t xml:space="preserve">월 </t>
    </r>
    <r>
      <rPr>
        <b val="true"/>
        <sz val="9"/>
        <color rgb="FFFFFFFF"/>
        <rFont val="Arial"/>
        <family val="0"/>
        <charset val="1"/>
      </rPr>
      <t xml:space="preserve">Batch</t>
    </r>
  </si>
  <si>
    <r>
      <rPr>
        <b val="true"/>
        <sz val="9"/>
        <color rgb="FFFFFFFF"/>
        <rFont val="Noto Sans CJK SC"/>
        <family val="2"/>
      </rPr>
      <t xml:space="preserve">월 생산 </t>
    </r>
    <r>
      <rPr>
        <b val="true"/>
        <sz val="9"/>
        <color rgb="FFFFFFFF"/>
        <rFont val="Arial"/>
        <family val="0"/>
        <charset val="1"/>
      </rPr>
      <t xml:space="preserve">kg</t>
    </r>
  </si>
  <si>
    <r>
      <rPr>
        <b val="true"/>
        <sz val="9"/>
        <color rgb="FFFFFFFF"/>
        <rFont val="Noto Sans CJK SC"/>
        <family val="2"/>
      </rPr>
      <t xml:space="preserve">연 환산 </t>
    </r>
    <r>
      <rPr>
        <b val="true"/>
        <sz val="9"/>
        <color rgb="FFFFFFFF"/>
        <rFont val="Arial"/>
        <family val="0"/>
        <charset val="1"/>
      </rPr>
      <t xml:space="preserve">t</t>
    </r>
  </si>
  <si>
    <r>
      <rPr>
        <b val="true"/>
        <sz val="9"/>
        <color rgb="FFFFFFFF"/>
        <rFont val="Arial"/>
        <family val="0"/>
        <charset val="1"/>
      </rPr>
      <t xml:space="preserve">26.2 </t>
    </r>
    <r>
      <rPr>
        <b val="true"/>
        <sz val="9"/>
        <color rgb="FFFFFFFF"/>
        <rFont val="Noto Sans CJK SC"/>
        <family val="2"/>
      </rPr>
      <t xml:space="preserve">대비</t>
    </r>
  </si>
  <si>
    <r>
      <rPr>
        <b val="true"/>
        <i val="true"/>
        <sz val="9"/>
        <color rgb="FFEB002C"/>
        <rFont val="Arial"/>
        <family val="0"/>
        <charset val="1"/>
      </rPr>
      <t xml:space="preserve">3. 36</t>
    </r>
    <r>
      <rPr>
        <b val="true"/>
        <i val="true"/>
        <sz val="9"/>
        <color rgb="FFEB002C"/>
        <rFont val="Noto Sans CJK SC"/>
        <family val="2"/>
      </rPr>
      <t xml:space="preserve">개월 출하 </t>
    </r>
    <r>
      <rPr>
        <b val="true"/>
        <i val="true"/>
        <sz val="9"/>
        <color rgb="FFEB002C"/>
        <rFont val="Arial"/>
        <family val="0"/>
        <charset val="1"/>
      </rPr>
      <t xml:space="preserve">· </t>
    </r>
    <r>
      <rPr>
        <b val="true"/>
        <i val="true"/>
        <sz val="9"/>
        <color rgb="FFEB002C"/>
        <rFont val="Noto Sans CJK SC"/>
        <family val="2"/>
      </rPr>
      <t xml:space="preserve">참고 </t>
    </r>
    <r>
      <rPr>
        <b val="true"/>
        <i val="true"/>
        <sz val="9"/>
        <color rgb="FFEB002C"/>
        <rFont val="Arial"/>
        <family val="0"/>
        <charset val="1"/>
      </rPr>
      <t xml:space="preserve">Capa. · </t>
    </r>
    <r>
      <rPr>
        <b val="true"/>
        <i val="true"/>
        <sz val="9"/>
        <color rgb="FFEB002C"/>
        <rFont val="Noto Sans CJK SC"/>
        <family val="2"/>
      </rPr>
      <t xml:space="preserve">생산 가능량 </t>
    </r>
    <r>
      <rPr>
        <b val="true"/>
        <i val="true"/>
        <sz val="9"/>
        <color rgb="FFEB002C"/>
        <rFont val="Arial"/>
        <family val="0"/>
        <charset val="1"/>
      </rPr>
      <t xml:space="preserve">(kg)</t>
    </r>
  </si>
  <si>
    <t xml:space="preserve">출하 합계</t>
  </si>
  <si>
    <r>
      <rPr>
        <b val="true"/>
        <sz val="9"/>
        <color rgb="FFFFFFFF"/>
        <rFont val="Noto Sans CJK SC"/>
        <family val="2"/>
      </rPr>
      <t xml:space="preserve">참고 </t>
    </r>
    <r>
      <rPr>
        <b val="true"/>
        <sz val="9"/>
        <color rgb="FFFFFFFF"/>
        <rFont val="Arial"/>
        <family val="0"/>
        <charset val="1"/>
      </rPr>
      <t xml:space="preserve">Capa. </t>
    </r>
    <r>
      <rPr>
        <b val="true"/>
        <sz val="9"/>
        <color rgb="FFFFFFFF"/>
        <rFont val="Noto Sans CJK SC"/>
        <family val="2"/>
      </rPr>
      <t xml:space="preserve">월 환산</t>
    </r>
  </si>
  <si>
    <r>
      <rPr>
        <b val="true"/>
        <sz val="9"/>
        <color rgb="FFFFFFFF"/>
        <rFont val="Noto Sans CJK SC"/>
        <family val="2"/>
      </rPr>
      <t xml:space="preserve">참고 </t>
    </r>
    <r>
      <rPr>
        <b val="true"/>
        <sz val="9"/>
        <color rgb="FFFFFFFF"/>
        <rFont val="Arial"/>
        <family val="0"/>
        <charset val="1"/>
      </rPr>
      <t xml:space="preserve">Capa.−</t>
    </r>
    <r>
      <rPr>
        <b val="true"/>
        <sz val="9"/>
        <color rgb="FFFFFFFF"/>
        <rFont val="Noto Sans CJK SC"/>
        <family val="2"/>
      </rPr>
      <t xml:space="preserve">출하</t>
    </r>
  </si>
  <si>
    <r>
      <rPr>
        <b val="true"/>
        <sz val="9"/>
        <color rgb="FFFFFFFF"/>
        <rFont val="Noto Sans CJK SC"/>
        <family val="2"/>
      </rPr>
      <t xml:space="preserve">생산 가능 </t>
    </r>
    <r>
      <rPr>
        <b val="true"/>
        <sz val="9"/>
        <color rgb="FFFFFFFF"/>
        <rFont val="Arial"/>
        <family val="0"/>
        <charset val="1"/>
      </rPr>
      <t xml:space="preserve">Batch</t>
    </r>
  </si>
  <si>
    <t xml:space="preserve">양품 생산 가능량</t>
  </si>
  <si>
    <r>
      <rPr>
        <b val="true"/>
        <sz val="9"/>
        <color rgb="FFFFFFFF"/>
        <rFont val="Arial"/>
        <family val="0"/>
        <charset val="1"/>
      </rPr>
      <t xml:space="preserve">5 Gal </t>
    </r>
    <r>
      <rPr>
        <b val="true"/>
        <sz val="9"/>
        <color rgb="FFFFFFFF"/>
        <rFont val="Noto Sans CJK SC"/>
        <family val="2"/>
      </rPr>
      <t xml:space="preserve">충진 </t>
    </r>
    <r>
      <rPr>
        <b val="true"/>
        <sz val="9"/>
        <color rgb="FFFFFFFF"/>
        <rFont val="Arial"/>
        <family val="0"/>
        <charset val="1"/>
      </rPr>
      <t xml:space="preserve">h</t>
    </r>
  </si>
  <si>
    <r>
      <rPr>
        <b val="true"/>
        <sz val="9"/>
        <color rgb="FFFFFFFF"/>
        <rFont val="Arial"/>
        <family val="0"/>
        <charset val="1"/>
      </rPr>
      <t xml:space="preserve">200 L </t>
    </r>
    <r>
      <rPr>
        <b val="true"/>
        <sz val="9"/>
        <color rgb="FFFFFFFF"/>
        <rFont val="Noto Sans CJK SC"/>
        <family val="2"/>
      </rPr>
      <t xml:space="preserve">용기</t>
    </r>
  </si>
  <si>
    <r>
      <rPr>
        <b val="true"/>
        <i val="true"/>
        <sz val="9"/>
        <color rgb="FFEB002C"/>
        <rFont val="Arial"/>
        <family val="0"/>
        <charset val="1"/>
      </rPr>
      <t xml:space="preserve">4. </t>
    </r>
    <r>
      <rPr>
        <b val="true"/>
        <i val="true"/>
        <sz val="9"/>
        <color rgb="FFEB002C"/>
        <rFont val="Noto Sans CJK SC"/>
        <family val="2"/>
      </rPr>
      <t xml:space="preserve">과거 간격 분포 </t>
    </r>
    <r>
      <rPr>
        <b val="true"/>
        <i val="true"/>
        <sz val="9"/>
        <color rgb="FFEB002C"/>
        <rFont val="Arial"/>
        <family val="0"/>
        <charset val="1"/>
      </rPr>
      <t xml:space="preserve">(#39~#92)</t>
    </r>
  </si>
  <si>
    <t xml:space="preserve">건수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</si>
  <si>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</si>
  <si>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</si>
  <si>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</si>
  <si>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</si>
  <si>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</si>
  <si>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i val="true"/>
        <sz val="9"/>
        <color rgb="FFEB002C"/>
        <rFont val="Arial"/>
        <family val="0"/>
        <charset val="1"/>
      </rPr>
      <t xml:space="preserve">5. </t>
    </r>
    <r>
      <rPr>
        <b val="true"/>
        <i val="true"/>
        <sz val="9"/>
        <color rgb="FFEB002C"/>
        <rFont val="Noto Sans CJK SC"/>
        <family val="2"/>
      </rPr>
      <t xml:space="preserve">주요 미확인 사항</t>
    </r>
  </si>
  <si>
    <t xml:space="preserve">확인사항</t>
  </si>
  <si>
    <t xml:space="preserve">담당</t>
  </si>
  <si>
    <t xml:space="preserve">영향</t>
  </si>
  <si>
    <r>
      <rPr>
        <sz val="9"/>
        <color rgb="FF000000"/>
        <rFont val="Noto Sans CJK SC"/>
        <family val="2"/>
      </rPr>
      <t xml:space="preserve">표시일자 의미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실제 시각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계획 대비 실적 </t>
    </r>
    <r>
      <rPr>
        <sz val="9"/>
        <color rgb="FF000000"/>
        <rFont val="Arial"/>
        <family val="0"/>
        <charset val="1"/>
      </rPr>
      <t xml:space="preserve">· Total 46 vs </t>
    </r>
    <r>
      <rPr>
        <sz val="9"/>
        <color rgb="FF000000"/>
        <rFont val="Noto Sans CJK SC"/>
        <family val="2"/>
      </rPr>
      <t xml:space="preserve">번호 </t>
    </r>
    <r>
      <rPr>
        <sz val="9"/>
        <color rgb="FF000000"/>
        <rFont val="Arial"/>
        <family val="0"/>
        <charset val="1"/>
      </rPr>
      <t xml:space="preserve">54 · </t>
    </r>
    <r>
      <rPr>
        <sz val="9"/>
        <color rgb="FF000000"/>
        <rFont val="Noto Sans CJK SC"/>
        <family val="2"/>
      </rPr>
      <t xml:space="preserve">색상 의미</t>
    </r>
  </si>
  <si>
    <t xml:space="preserve">생산</t>
  </si>
  <si>
    <r>
      <rPr>
        <sz val="9"/>
        <color rgb="FF000000"/>
        <rFont val="Noto Sans CJK SC"/>
        <family val="2"/>
      </rPr>
      <t xml:space="preserve">관측 간격 </t>
    </r>
    <r>
      <rPr>
        <sz val="9"/>
        <color rgb="FF000000"/>
        <rFont val="Arial"/>
        <family val="0"/>
        <charset val="1"/>
      </rPr>
      <t xml:space="preserve">67.5 h </t>
    </r>
    <r>
      <rPr>
        <sz val="9"/>
        <color rgb="FF000000"/>
        <rFont val="Noto Sans CJK SC"/>
        <family val="2"/>
      </rPr>
      <t xml:space="preserve">전제</t>
    </r>
  </si>
  <si>
    <r>
      <rPr>
        <sz val="9"/>
        <color rgb="FF000000"/>
        <rFont val="Noto Sans CJK SC"/>
        <family val="2"/>
      </rPr>
      <t xml:space="preserve">이송 중 정제기 점유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세척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전환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대기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보수 시간</t>
    </r>
  </si>
  <si>
    <r>
      <rPr>
        <sz val="9"/>
        <color rgb="FF000000"/>
        <rFont val="Noto Sans CJK SC"/>
        <family val="2"/>
      </rPr>
      <t xml:space="preserve">점유 </t>
    </r>
    <r>
      <rPr>
        <sz val="9"/>
        <color rgb="FF000000"/>
        <rFont val="Arial"/>
        <family val="0"/>
        <charset val="1"/>
      </rPr>
      <t xml:space="preserve">47~53 h, </t>
    </r>
    <r>
      <rPr>
        <sz val="9"/>
        <color rgb="FF000000"/>
        <rFont val="Noto Sans CJK SC"/>
        <family val="2"/>
      </rPr>
      <t xml:space="preserve">비점유 약 </t>
    </r>
    <r>
      <rPr>
        <sz val="9"/>
        <color rgb="FF000000"/>
        <rFont val="Arial"/>
        <family val="0"/>
        <charset val="1"/>
      </rPr>
      <t xml:space="preserve">20 h </t>
    </r>
    <r>
      <rPr>
        <sz val="9"/>
        <color rgb="FF000000"/>
        <rFont val="Noto Sans CJK SC"/>
        <family val="2"/>
      </rPr>
      <t xml:space="preserve">구성</t>
    </r>
  </si>
  <si>
    <r>
      <rPr>
        <sz val="9"/>
        <color rgb="FF000000"/>
        <rFont val="Noto Sans CJK SC"/>
        <family val="2"/>
      </rPr>
      <t xml:space="preserve">정제기 </t>
    </r>
    <r>
      <rPr>
        <sz val="9"/>
        <color rgb="FF000000"/>
        <rFont val="Arial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기동 시차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설비별 간격 </t>
    </r>
    <r>
      <rPr>
        <sz val="9"/>
        <color rgb="FF000000"/>
        <rFont val="Arial"/>
        <family val="0"/>
        <charset val="1"/>
      </rPr>
      <t xml:space="preserve">· Mix·</t>
    </r>
    <r>
      <rPr>
        <sz val="9"/>
        <color rgb="FF000000"/>
        <rFont val="Noto Sans CJK SC"/>
        <family val="2"/>
      </rPr>
      <t xml:space="preserve">리사이클 준비 시간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</si>
  <si>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설비</t>
    </r>
  </si>
  <si>
    <r>
      <rPr>
        <sz val="9"/>
        <color rgb="FF000000"/>
        <rFont val="Arial"/>
        <family val="0"/>
        <charset val="1"/>
      </rPr>
      <t xml:space="preserve">47.2</t>
    </r>
    <r>
      <rPr>
        <sz val="9"/>
        <color rgb="FF000000"/>
        <rFont val="Noto Sans CJK SC"/>
        <family val="2"/>
      </rPr>
      <t xml:space="preserve">톤 달성 조건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설비별 등가 </t>
    </r>
    <r>
      <rPr>
        <sz val="9"/>
        <color rgb="FF000000"/>
        <rFont val="Arial"/>
        <family val="0"/>
        <charset val="1"/>
      </rPr>
      <t xml:space="preserve">70.5 h)</t>
    </r>
  </si>
  <si>
    <r>
      <rPr>
        <sz val="9"/>
        <color rgb="FF000000"/>
        <rFont val="Noto Sans CJK SC"/>
        <family val="2"/>
      </rPr>
      <t xml:space="preserve">공사 중 가동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시운전 양품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출하 승인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초기 안정화</t>
    </r>
  </si>
  <si>
    <r>
      <rPr>
        <sz val="9"/>
        <color rgb="FF000000"/>
        <rFont val="Noto Sans CJK SC"/>
        <family val="2"/>
      </rPr>
      <t xml:space="preserve">설비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품질</t>
    </r>
  </si>
  <si>
    <r>
      <rPr>
        <sz val="9"/>
        <color rgb="FF000000"/>
        <rFont val="Arial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실제 생산량</t>
    </r>
  </si>
  <si>
    <r>
      <rPr>
        <sz val="9"/>
        <color rgb="FF000000"/>
        <rFont val="Arial"/>
        <family val="0"/>
        <charset val="1"/>
      </rPr>
      <t xml:space="preserve">190 kg vs 9</t>
    </r>
    <r>
      <rPr>
        <sz val="9"/>
        <color rgb="FF000000"/>
        <rFont val="Noto Sans CJK SC"/>
        <family val="2"/>
      </rPr>
      <t xml:space="preserve">병 </t>
    </r>
    <r>
      <rPr>
        <sz val="9"/>
        <color rgb="FF000000"/>
        <rFont val="Arial"/>
        <family val="0"/>
        <charset val="1"/>
      </rPr>
      <t xml:space="preserve">180 kg </t>
    </r>
    <r>
      <rPr>
        <sz val="9"/>
        <color rgb="FF000000"/>
        <rFont val="Noto Sans CJK SC"/>
        <family val="2"/>
      </rPr>
      <t xml:space="preserve">잔량 </t>
    </r>
    <r>
      <rPr>
        <sz val="9"/>
        <color rgb="FF000000"/>
        <rFont val="Arial"/>
        <family val="0"/>
        <charset val="1"/>
      </rPr>
      <t xml:space="preserve">10 kg </t>
    </r>
    <r>
      <rPr>
        <sz val="9"/>
        <color rgb="FF000000"/>
        <rFont val="Noto Sans CJK SC"/>
        <family val="2"/>
      </rPr>
      <t xml:space="preserve">처리 </t>
    </r>
    <r>
      <rPr>
        <sz val="9"/>
        <color rgb="FF000000"/>
        <rFont val="Arial"/>
        <family val="0"/>
        <charset val="1"/>
      </rPr>
      <t xml:space="preserve">· 200 L </t>
    </r>
    <r>
      <rPr>
        <sz val="9"/>
        <color rgb="FF000000"/>
        <rFont val="Noto Sans CJK SC"/>
        <family val="2"/>
      </rPr>
      <t xml:space="preserve">후 잔량 </t>
    </r>
    <r>
      <rPr>
        <sz val="9"/>
        <color rgb="FF000000"/>
        <rFont val="Arial"/>
        <family val="0"/>
        <charset val="1"/>
      </rPr>
      <t xml:space="preserve">5 Gal </t>
    </r>
    <r>
      <rPr>
        <sz val="9"/>
        <color rgb="FF000000"/>
        <rFont val="Noto Sans CJK SC"/>
        <family val="2"/>
      </rPr>
      <t xml:space="preserve">충진</t>
    </r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</si>
  <si>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품질</t>
    </r>
  </si>
  <si>
    <r>
      <rPr>
        <sz val="9"/>
        <color rgb="FF000000"/>
        <rFont val="Noto Sans CJK SC"/>
        <family val="2"/>
      </rPr>
      <t xml:space="preserve">충진량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재고</t>
    </r>
  </si>
  <si>
    <r>
      <rPr>
        <sz val="9"/>
        <color rgb="FF000000"/>
        <rFont val="Noto Sans CJK SC"/>
        <family val="2"/>
      </rPr>
      <t xml:space="preserve">총 투입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재순환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양품 실측 → 수율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구두 </t>
    </r>
    <r>
      <rPr>
        <sz val="9"/>
        <color rgb="FF000000"/>
        <rFont val="Arial"/>
        <family val="0"/>
        <charset val="1"/>
      </rPr>
      <t xml:space="preserve">160~220 kg </t>
    </r>
    <r>
      <rPr>
        <sz val="9"/>
        <color rgb="FF000000"/>
        <rFont val="Noto Sans CJK SC"/>
        <family val="2"/>
      </rPr>
      <t xml:space="preserve">범위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</si>
  <si>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Batch</t>
    </r>
    <r>
      <rPr>
        <sz val="9"/>
        <color rgb="FF000000"/>
        <rFont val="Noto Sans CJK SC"/>
        <family val="2"/>
      </rPr>
      <t xml:space="preserve">량 검증</t>
    </r>
  </si>
  <si>
    <r>
      <rPr>
        <sz val="9"/>
        <color rgb="FF000000"/>
        <rFont val="Noto Sans CJK SC"/>
        <family val="2"/>
      </rPr>
      <t xml:space="preserve">고객별 합격률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이지켐 색도</t>
    </r>
  </si>
  <si>
    <t xml:space="preserve">품질</t>
  </si>
  <si>
    <t xml:space="preserve">출하 가능 양품</t>
  </si>
  <si>
    <r>
      <rPr>
        <sz val="9"/>
        <color rgb="FF000000"/>
        <rFont val="Noto Sans CJK SC"/>
        <family val="2"/>
      </rPr>
      <t xml:space="preserve">한솔 수동</t>
    </r>
    <r>
      <rPr>
        <sz val="9"/>
        <color rgb="FF000000"/>
        <rFont val="Arial"/>
        <family val="0"/>
        <charset val="1"/>
      </rPr>
      <t xml:space="preserve">·ARS </t>
    </r>
    <r>
      <rPr>
        <sz val="9"/>
        <color rgb="FF000000"/>
        <rFont val="Noto Sans CJK SC"/>
        <family val="2"/>
      </rPr>
      <t xml:space="preserve">충진시간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이지켐 </t>
    </r>
    <r>
      <rPr>
        <sz val="9"/>
        <color rgb="FF000000"/>
        <rFont val="Arial"/>
        <family val="0"/>
        <charset val="1"/>
      </rPr>
      <t xml:space="preserve">ARS </t>
    </r>
    <r>
      <rPr>
        <sz val="9"/>
        <color rgb="FF000000"/>
        <rFont val="Noto Sans CJK SC"/>
        <family val="2"/>
      </rPr>
      <t xml:space="preserve">전환 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시간</t>
    </r>
  </si>
  <si>
    <r>
      <rPr>
        <sz val="9"/>
        <color rgb="FF000000"/>
        <rFont val="Arial"/>
        <family val="0"/>
        <charset val="1"/>
      </rPr>
      <t xml:space="preserve">200 L </t>
    </r>
    <r>
      <rPr>
        <sz val="9"/>
        <color rgb="FF000000"/>
        <rFont val="Noto Sans CJK SC"/>
        <family val="2"/>
      </rPr>
      <t xml:space="preserve">작업량</t>
    </r>
  </si>
  <si>
    <r>
      <rPr>
        <sz val="9"/>
        <color rgb="FF000000"/>
        <rFont val="Noto Sans CJK SC"/>
        <family val="2"/>
      </rPr>
      <t xml:space="preserve">글로브 박스 교대 </t>
    </r>
    <r>
      <rPr>
        <sz val="9"/>
        <color rgb="FF000000"/>
        <rFont val="Arial"/>
        <family val="0"/>
        <charset val="1"/>
      </rPr>
      <t xml:space="preserve">· Tank </t>
    </r>
    <r>
      <rPr>
        <sz val="9"/>
        <color rgb="FF000000"/>
        <rFont val="Noto Sans CJK SC"/>
        <family val="2"/>
      </rPr>
      <t xml:space="preserve">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용량 </t>
    </r>
    <r>
      <rPr>
        <sz val="9"/>
        <color rgb="FF000000"/>
        <rFont val="Arial"/>
        <family val="0"/>
        <charset val="1"/>
      </rPr>
      <t xml:space="preserve">· QC </t>
    </r>
    <r>
      <rPr>
        <sz val="9"/>
        <color rgb="FF000000"/>
        <rFont val="Noto Sans CJK SC"/>
        <family val="2"/>
      </rPr>
      <t xml:space="preserve">근무시간</t>
    </r>
  </si>
  <si>
    <r>
      <rPr>
        <sz val="9"/>
        <color rgb="FF000000"/>
        <rFont val="Arial"/>
        <family val="0"/>
        <charset val="1"/>
      </rPr>
      <t xml:space="preserve">5 Gal 267 h/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Arial"/>
        <family val="0"/>
        <charset val="1"/>
      </rPr>
      <t xml:space="preserve">· Tank </t>
    </r>
    <r>
      <rPr>
        <sz val="9"/>
        <color rgb="FF000000"/>
        <rFont val="Noto Sans CJK SC"/>
        <family val="2"/>
      </rPr>
      <t xml:space="preserve">회전</t>
    </r>
  </si>
  <si>
    <r>
      <rPr>
        <sz val="9"/>
        <color rgb="FF000000"/>
        <rFont val="Noto Sans CJK SC"/>
        <family val="2"/>
      </rPr>
      <t xml:space="preserve">기초재고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목표재고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고객 간 우선순위</t>
    </r>
  </si>
  <si>
    <r>
      <rPr>
        <sz val="9"/>
        <color rgb="FF000000"/>
        <rFont val="Noto Sans CJK SC"/>
        <family val="2"/>
      </rPr>
      <t xml:space="preserve">생산관리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영업</t>
    </r>
  </si>
  <si>
    <r>
      <rPr>
        <sz val="9"/>
        <color rgb="FF000000"/>
        <rFont val="Noto Sans CJK SC"/>
        <family val="2"/>
      </rPr>
      <t xml:space="preserve">월별 재고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배정</t>
    </r>
  </si>
  <si>
    <r>
      <rPr>
        <sz val="9"/>
        <color rgb="FF000000"/>
        <rFont val="Arial"/>
        <family val="0"/>
        <charset val="1"/>
      </rPr>
      <t xml:space="preserve">2026 CXMT·</t>
    </r>
    <r>
      <rPr>
        <sz val="9"/>
        <color rgb="FF000000"/>
        <rFont val="Noto Sans CJK SC"/>
        <family val="2"/>
      </rPr>
      <t xml:space="preserve">한솔 물량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하이닉스 실적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계획 구분 </t>
    </r>
    <r>
      <rPr>
        <sz val="9"/>
        <color rgb="FF000000"/>
        <rFont val="Arial"/>
        <family val="0"/>
        <charset val="1"/>
      </rPr>
      <t xml:space="preserve">· 2028 </t>
    </r>
    <r>
      <rPr>
        <sz val="9"/>
        <color rgb="FF000000"/>
        <rFont val="Noto Sans CJK SC"/>
        <family val="2"/>
      </rPr>
      <t xml:space="preserve">수요 확정</t>
    </r>
  </si>
  <si>
    <t xml:space="preserve">영업</t>
  </si>
  <si>
    <r>
      <rPr>
        <sz val="9"/>
        <color rgb="FF000000"/>
        <rFont val="Arial"/>
        <family val="0"/>
        <charset val="1"/>
      </rPr>
      <t xml:space="preserve">105℃: </t>
    </r>
    <r>
      <rPr>
        <sz val="9"/>
        <color rgb="FF000000"/>
        <rFont val="Noto Sans CJK SC"/>
        <family val="2"/>
      </rPr>
      <t xml:space="preserve">열 안정성</t>
    </r>
    <r>
      <rPr>
        <sz val="9"/>
        <color rgb="FF000000"/>
        <rFont val="Arial"/>
        <family val="0"/>
        <charset val="1"/>
      </rPr>
      <t xml:space="preserve">·Dimer·Unknown impurity·Yield · </t>
    </r>
    <r>
      <rPr>
        <sz val="9"/>
        <color rgb="FF000000"/>
        <rFont val="Noto Sans CJK SC"/>
        <family val="2"/>
      </rPr>
      <t xml:space="preserve">승인 </t>
    </r>
    <r>
      <rPr>
        <sz val="9"/>
        <color rgb="FF000000"/>
        <rFont val="Arial"/>
        <family val="0"/>
        <charset val="1"/>
      </rPr>
      <t xml:space="preserve">· </t>
    </r>
    <r>
      <rPr>
        <sz val="9"/>
        <color rgb="FF000000"/>
        <rFont val="Noto Sans CJK SC"/>
        <family val="2"/>
      </rPr>
      <t xml:space="preserve">적용 시점</t>
    </r>
  </si>
  <si>
    <r>
      <rPr>
        <sz val="9"/>
        <color rgb="FF000000"/>
        <rFont val="Noto Sans CJK SC"/>
        <family val="2"/>
      </rPr>
      <t xml:space="preserve">품질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기술</t>
    </r>
  </si>
  <si>
    <r>
      <rPr>
        <sz val="9"/>
        <color rgb="FF000000"/>
        <rFont val="Arial"/>
        <family val="0"/>
        <charset val="1"/>
      </rPr>
      <t xml:space="preserve">50.2</t>
    </r>
    <r>
      <rPr>
        <sz val="9"/>
        <color rgb="FF000000"/>
        <rFont val="Noto Sans CJK SC"/>
        <family val="2"/>
      </rPr>
      <t xml:space="preserve">톤 검토안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</si>
</sst>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;[RED]\-0.0"/>
    <numFmt numFmtId="167" formatCode="#,##0;[RED]\-#,##0;\0"/>
    <numFmt numFmtId="168" formatCode="yyyy\-mm\-dd"/>
    <numFmt numFmtId="169" formatCode="0.0%"/>
    <numFmt numFmtId="170" formatCode="0.00"/>
    <numFmt numFmtId="171" formatCode="#,##0.0;[RED]\-#,##0.0;\0"/>
    <numFmt numFmtId="172" formatCode="m\/d"/>
    <numFmt numFmtId="173" formatCode="General"/>
    <numFmt numFmtId="174" formatCode="0.000"/>
    <numFmt numFmtId="175" formatCode="0.0"/>
    <numFmt numFmtId="176" formatCode="yyyy\-mm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B002C"/>
      <name val="Arial"/>
      <family val="0"/>
      <charset val="1"/>
    </font>
    <font>
      <b val="true"/>
      <sz val="14"/>
      <color rgb="FFEB002C"/>
      <name val="Noto Sans CJK SC"/>
      <family val="2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7F7F7F"/>
      <name val="Noto Sans CJK SC"/>
      <family val="2"/>
    </font>
    <font>
      <sz val="8"/>
      <color rgb="FF7F7F7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Noto Sans CJK SC"/>
      <family val="2"/>
    </font>
    <font>
      <sz val="9"/>
      <color rgb="FF000000"/>
      <name val="Noto Sans CJK SC"/>
      <family val="2"/>
    </font>
    <font>
      <sz val="9"/>
      <color rgb="FF0000FF"/>
      <name val="Noto Sans CJK SC"/>
      <family val="2"/>
    </font>
    <font>
      <b val="true"/>
      <i val="true"/>
      <sz val="9"/>
      <color rgb="FFEB002C"/>
      <name val="Noto Sans CJK SC"/>
      <family val="2"/>
    </font>
    <font>
      <b val="true"/>
      <i val="true"/>
      <sz val="9"/>
      <color rgb="FFEB002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EB002C"/>
      <name val="Arial"/>
      <family val="0"/>
      <charset val="1"/>
    </font>
    <font>
      <b val="true"/>
      <sz val="11"/>
      <color rgb="FFEB002C"/>
      <name val="Noto Sans CJK SC"/>
      <family val="2"/>
    </font>
    <font>
      <sz val="9"/>
      <color rgb="FF008000"/>
      <name val="Arial"/>
      <family val="0"/>
      <charset val="1"/>
    </font>
    <font>
      <sz val="7"/>
      <color rgb="FF7F7F7F"/>
      <name val="Arial"/>
      <family val="0"/>
      <charset val="1"/>
    </font>
    <font>
      <sz val="6"/>
      <color rgb="FFFFFFFF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FFF2CC"/>
        <bgColor rgb="FFFDE9E7"/>
      </patternFill>
    </fill>
    <fill>
      <patternFill patternType="solid">
        <fgColor rgb="FFFCE4D6"/>
        <bgColor rgb="FFFDE9E7"/>
      </patternFill>
    </fill>
    <fill>
      <patternFill patternType="solid">
        <fgColor rgb="FFE2EFDA"/>
        <bgColor rgb="FFEDEDED"/>
      </patternFill>
    </fill>
    <fill>
      <patternFill patternType="solid">
        <fgColor rgb="FFE4DFEC"/>
        <bgColor rgb="FFD9D9D9"/>
      </patternFill>
    </fill>
    <fill>
      <patternFill patternType="solid">
        <fgColor rgb="FFFDE9E7"/>
        <bgColor rgb="FFFCE4D6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EDEDED"/>
      </patternFill>
    </fill>
    <fill>
      <patternFill patternType="solid">
        <fgColor rgb="FFC55A11"/>
        <bgColor rgb="FFC0504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ont>
        <color rgb="FFFF7900"/>
      </font>
      <fill>
        <patternFill>
          <bgColor rgb="FFFF7900"/>
        </patternFill>
      </fill>
    </dxf>
    <dxf>
      <font>
        <color rgb="FFF4B183"/>
      </font>
      <fill>
        <patternFill>
          <bgColor rgb="FFF4B183"/>
        </patternFill>
      </fill>
    </dxf>
    <dxf>
      <font>
        <color rgb="FF2E75B6"/>
      </font>
      <fill>
        <patternFill>
          <bgColor rgb="FF2E75B6"/>
        </patternFill>
      </fill>
    </dxf>
    <dxf>
      <font>
        <color rgb="FF548235"/>
      </font>
      <fill>
        <patternFill>
          <bgColor rgb="FF548235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i val="1"/>
        <color rgb="FFC55A11"/>
      </font>
      <fill>
        <patternFill>
          <bgColor rgb="FFEDEDED"/>
        </patternFill>
      </fill>
    </dxf>
  </dxfs>
  <colors>
    <indexedColors>
      <rgbColor rgb="FF000000"/>
      <rgbColor rgb="FFFFFFFF"/>
      <rgbColor rgb="FFEB002C"/>
      <rgbColor rgb="FF00FF00"/>
      <rgbColor rgb="FF0000FF"/>
      <rgbColor rgb="FFFDE9E7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EDEDED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E4DFEC"/>
      <rgbColor rgb="FFF4B183"/>
      <rgbColor rgb="FFFCE4D6"/>
      <rgbColor rgb="FFFFC7CE"/>
      <rgbColor rgb="FF2E75B6"/>
      <rgbColor rgb="FF33CCCC"/>
      <rgbColor rgb="FF99CC00"/>
      <rgbColor rgb="FFFFCC00"/>
      <rgbColor rgb="FFFF9900"/>
      <rgbColor rgb="FFFF7900"/>
      <rgbColor rgb="FF4F81BD"/>
      <rgbColor rgb="FF878787"/>
      <rgbColor rgb="FF003366"/>
      <rgbColor rgb="FF70AD47"/>
      <rgbColor rgb="FF003300"/>
      <rgbColor rgb="FF333300"/>
      <rgbColor rgb="FFC55A11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연 환산 비교 (t)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06_Report_Summary!E110</c:f>
              <c:strCache>
                <c:ptCount val="1"/>
                <c:pt idx="0">
                  <c:v>연 환산 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06_Report_Summary!$A$111:$A$114</c:f>
              <c:strCache>
                <c:ptCount val="4"/>
                <c:pt idx="0">
                  <c:v>① 이론 (정제 45 h만)</c:v>
                </c:pt>
                <c:pt idx="1">
                  <c:v>② 과거 월 최대 11 Batch</c:v>
                </c:pt>
                <c:pt idx="2">
                  <c:v>③ 과거 일정 관측 추정</c:v>
                </c:pt>
                <c:pt idx="3">
                  <c:v>현재 Capa. 26.2톤 환산</c:v>
                </c:pt>
              </c:strCache>
            </c:strRef>
          </c:cat>
          <c:val>
            <c:numRef>
              <c:f>06_Report_Summary!$E$111:$E$114</c:f>
              <c:numCache>
                <c:formatCode>0.00</c:formatCode>
                <c:ptCount val="4"/>
                <c:pt idx="0">
                  <c:v>36.48</c:v>
                </c:pt>
                <c:pt idx="1">
                  <c:v>25.08</c:v>
                </c:pt>
                <c:pt idx="2">
                  <c:v>24.51</c:v>
                </c:pt>
                <c:pt idx="3">
                  <c:v>26.2</c:v>
                </c:pt>
              </c:numCache>
            </c:numRef>
          </c:val>
        </c:ser>
        <c:gapWidth val="150"/>
        <c:overlap val="0"/>
        <c:axId val="74199575"/>
        <c:axId val="66549688"/>
      </c:barChart>
      <c:catAx>
        <c:axId val="74199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49688"/>
        <c:crosses val="autoZero"/>
        <c:auto val="1"/>
        <c:lblAlgn val="ctr"/>
        <c:lblOffset val="100"/>
        <c:noMultiLvlLbl val="0"/>
      </c:catAx>
      <c:valAx>
        <c:axId val="66549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995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출하 합계 vs 참고 Capa. 월 환산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06_Report_Summary!G122</c:f>
              <c:strCache>
                <c:ptCount val="1"/>
                <c:pt idx="0">
                  <c:v>출하 합계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06_Report_Summary!$A$123:$A$158</c:f>
              <c:strCache>
                <c:ptCount val="3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</c:strCache>
            </c:strRef>
          </c:cat>
          <c:val>
            <c:numRef>
              <c:f>06_Report_Summary!$G$123:$G$158</c:f>
              <c:numCache>
                <c:formatCode>#,##0.0;[RED]\-#,##0.0;\0</c:formatCode>
                <c:ptCount val="36"/>
                <c:pt idx="0">
                  <c:v>1600</c:v>
                </c:pt>
                <c:pt idx="1">
                  <c:v>1420</c:v>
                </c:pt>
                <c:pt idx="2">
                  <c:v>1440</c:v>
                </c:pt>
                <c:pt idx="3">
                  <c:v>1580</c:v>
                </c:pt>
                <c:pt idx="4">
                  <c:v>1200</c:v>
                </c:pt>
                <c:pt idx="5">
                  <c:v>1200</c:v>
                </c:pt>
                <c:pt idx="6">
                  <c:v>1360</c:v>
                </c:pt>
                <c:pt idx="7">
                  <c:v>1420</c:v>
                </c:pt>
                <c:pt idx="8">
                  <c:v>1940</c:v>
                </c:pt>
                <c:pt idx="9">
                  <c:v>2040</c:v>
                </c:pt>
                <c:pt idx="10">
                  <c:v>2040</c:v>
                </c:pt>
                <c:pt idx="11">
                  <c:v>1980</c:v>
                </c:pt>
                <c:pt idx="12">
                  <c:v>2753.33333333333</c:v>
                </c:pt>
                <c:pt idx="13">
                  <c:v>2753.33333333333</c:v>
                </c:pt>
                <c:pt idx="14">
                  <c:v>3333.33333333333</c:v>
                </c:pt>
                <c:pt idx="15">
                  <c:v>3333.33333333333</c:v>
                </c:pt>
                <c:pt idx="16">
                  <c:v>3333.33333333333</c:v>
                </c:pt>
                <c:pt idx="17">
                  <c:v>3333.33333333333</c:v>
                </c:pt>
                <c:pt idx="18">
                  <c:v>4093.33333333333</c:v>
                </c:pt>
                <c:pt idx="19">
                  <c:v>4093.33333333333</c:v>
                </c:pt>
                <c:pt idx="20">
                  <c:v>4093.33333333333</c:v>
                </c:pt>
                <c:pt idx="21">
                  <c:v>4093.33333333333</c:v>
                </c:pt>
                <c:pt idx="22">
                  <c:v>4093.33333333333</c:v>
                </c:pt>
                <c:pt idx="23">
                  <c:v>4093.33333333333</c:v>
                </c:pt>
                <c:pt idx="24">
                  <c:v>4093.33333333333</c:v>
                </c:pt>
                <c:pt idx="25">
                  <c:v>4093.33333333333</c:v>
                </c:pt>
                <c:pt idx="26">
                  <c:v>4093.33333333333</c:v>
                </c:pt>
                <c:pt idx="27">
                  <c:v>4093.33333333333</c:v>
                </c:pt>
                <c:pt idx="28">
                  <c:v>4093.33333333333</c:v>
                </c:pt>
                <c:pt idx="29">
                  <c:v>4093.33333333333</c:v>
                </c:pt>
                <c:pt idx="30">
                  <c:v>4093.33333333333</c:v>
                </c:pt>
                <c:pt idx="31">
                  <c:v>4093.33333333333</c:v>
                </c:pt>
                <c:pt idx="32">
                  <c:v>4093.33333333333</c:v>
                </c:pt>
                <c:pt idx="33">
                  <c:v>4093.33333333333</c:v>
                </c:pt>
                <c:pt idx="34">
                  <c:v>4093.33333333333</c:v>
                </c:pt>
                <c:pt idx="35">
                  <c:v>4093.33333333333</c:v>
                </c:pt>
              </c:numCache>
            </c:numRef>
          </c:val>
        </c:ser>
        <c:ser>
          <c:idx val="1"/>
          <c:order val="1"/>
          <c:tx>
            <c:strRef>
              <c:f>06_Report_Summary!H122</c:f>
              <c:strCache>
                <c:ptCount val="1"/>
                <c:pt idx="0">
                  <c:v>참고 Capa. 월 환산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06_Report_Summary!$A$123:$A$158</c:f>
              <c:strCache>
                <c:ptCount val="3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  <c:pt idx="12">
                  <c:v>2027-01</c:v>
                </c:pt>
                <c:pt idx="13">
                  <c:v>2027-02</c:v>
                </c:pt>
                <c:pt idx="14">
                  <c:v>2027-03</c:v>
                </c:pt>
                <c:pt idx="15">
                  <c:v>2027-04</c:v>
                </c:pt>
                <c:pt idx="16">
                  <c:v>2027-05</c:v>
                </c:pt>
                <c:pt idx="17">
                  <c:v>2027-06</c:v>
                </c:pt>
                <c:pt idx="18">
                  <c:v>2027-07</c:v>
                </c:pt>
                <c:pt idx="19">
                  <c:v>2027-08</c:v>
                </c:pt>
                <c:pt idx="20">
                  <c:v>2027-09</c:v>
                </c:pt>
                <c:pt idx="21">
                  <c:v>2027-10</c:v>
                </c:pt>
                <c:pt idx="22">
                  <c:v>2027-11</c:v>
                </c:pt>
                <c:pt idx="23">
                  <c:v>2027-12</c:v>
                </c:pt>
                <c:pt idx="24">
                  <c:v>2028-01</c:v>
                </c:pt>
                <c:pt idx="25">
                  <c:v>2028-02</c:v>
                </c:pt>
                <c:pt idx="26">
                  <c:v>2028-03</c:v>
                </c:pt>
                <c:pt idx="27">
                  <c:v>2028-04</c:v>
                </c:pt>
                <c:pt idx="28">
                  <c:v>2028-05</c:v>
                </c:pt>
                <c:pt idx="29">
                  <c:v>2028-06</c:v>
                </c:pt>
                <c:pt idx="30">
                  <c:v>2028-07</c:v>
                </c:pt>
                <c:pt idx="31">
                  <c:v>2028-08</c:v>
                </c:pt>
                <c:pt idx="32">
                  <c:v>2028-09</c:v>
                </c:pt>
                <c:pt idx="33">
                  <c:v>2028-10</c:v>
                </c:pt>
                <c:pt idx="34">
                  <c:v>2028-11</c:v>
                </c:pt>
                <c:pt idx="35">
                  <c:v>2028-12</c:v>
                </c:pt>
              </c:strCache>
            </c:strRef>
          </c:cat>
          <c:val>
            <c:numRef>
              <c:f>06_Report_Summary!$H$123:$H$158</c:f>
              <c:numCache>
                <c:formatCode>#,##0.0;[RED]\-#,##0.0;\0</c:formatCode>
                <c:ptCount val="36"/>
                <c:pt idx="0">
                  <c:v>2183.33333333333</c:v>
                </c:pt>
                <c:pt idx="1">
                  <c:v>2183.33333333333</c:v>
                </c:pt>
                <c:pt idx="2">
                  <c:v>2183.33333333333</c:v>
                </c:pt>
                <c:pt idx="3">
                  <c:v>2183.33333333333</c:v>
                </c:pt>
                <c:pt idx="4">
                  <c:v>2183.33333333333</c:v>
                </c:pt>
                <c:pt idx="5">
                  <c:v>2183.33333333333</c:v>
                </c:pt>
                <c:pt idx="6">
                  <c:v>2183.33333333333</c:v>
                </c:pt>
                <c:pt idx="7">
                  <c:v>2183.33333333333</c:v>
                </c:pt>
                <c:pt idx="8">
                  <c:v>2183.33333333333</c:v>
                </c:pt>
                <c:pt idx="9">
                  <c:v>2183.33333333333</c:v>
                </c:pt>
                <c:pt idx="10">
                  <c:v>2183.33333333333</c:v>
                </c:pt>
                <c:pt idx="11">
                  <c:v>2183.33333333333</c:v>
                </c:pt>
                <c:pt idx="12">
                  <c:v>2183.33333333333</c:v>
                </c:pt>
                <c:pt idx="13">
                  <c:v>2183.33333333333</c:v>
                </c:pt>
                <c:pt idx="14">
                  <c:v>2183.33333333333</c:v>
                </c:pt>
                <c:pt idx="15">
                  <c:v>2183.33333333333</c:v>
                </c:pt>
                <c:pt idx="16">
                  <c:v>2183.33333333333</c:v>
                </c:pt>
                <c:pt idx="17">
                  <c:v>2183.33333333333</c:v>
                </c:pt>
                <c:pt idx="18">
                  <c:v>3933.33333333333</c:v>
                </c:pt>
                <c:pt idx="19">
                  <c:v>3933.33333333333</c:v>
                </c:pt>
                <c:pt idx="20">
                  <c:v>3933.33333333333</c:v>
                </c:pt>
                <c:pt idx="21">
                  <c:v>3933.33333333333</c:v>
                </c:pt>
                <c:pt idx="22">
                  <c:v>3933.33333333333</c:v>
                </c:pt>
                <c:pt idx="23">
                  <c:v>3933.33333333333</c:v>
                </c:pt>
                <c:pt idx="24">
                  <c:v>3933.33333333333</c:v>
                </c:pt>
                <c:pt idx="25">
                  <c:v>3933.33333333333</c:v>
                </c:pt>
                <c:pt idx="26">
                  <c:v>3933.33333333333</c:v>
                </c:pt>
                <c:pt idx="27">
                  <c:v>3933.33333333333</c:v>
                </c:pt>
                <c:pt idx="28">
                  <c:v>3933.33333333333</c:v>
                </c:pt>
                <c:pt idx="29">
                  <c:v>3933.33333333333</c:v>
                </c:pt>
                <c:pt idx="30">
                  <c:v>3933.33333333333</c:v>
                </c:pt>
                <c:pt idx="31">
                  <c:v>3933.33333333333</c:v>
                </c:pt>
                <c:pt idx="32">
                  <c:v>3933.33333333333</c:v>
                </c:pt>
                <c:pt idx="33">
                  <c:v>3933.33333333333</c:v>
                </c:pt>
                <c:pt idx="34">
                  <c:v>3933.33333333333</c:v>
                </c:pt>
                <c:pt idx="35">
                  <c:v>3933.33333333333</c:v>
                </c:pt>
              </c:numCache>
            </c:numRef>
          </c:val>
        </c:ser>
        <c:gapWidth val="150"/>
        <c:overlap val="0"/>
        <c:axId val="49729966"/>
        <c:axId val="2452718"/>
      </c:barChart>
      <c:catAx>
        <c:axId val="49729966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2718"/>
        <c:crosses val="autoZero"/>
        <c:auto val="1"/>
        <c:lblAlgn val="ctr"/>
        <c:lblOffset val="100"/>
        <c:noMultiLvlLbl val="0"/>
      </c:catAx>
      <c:valAx>
        <c:axId val="2452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[RED]\-#,##0.0;\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29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107</xdr:row>
      <xdr:rowOff>146520</xdr:rowOff>
    </xdr:from>
    <xdr:to>
      <xdr:col>12</xdr:col>
      <xdr:colOff>150120</xdr:colOff>
      <xdr:row>118</xdr:row>
      <xdr:rowOff>20160</xdr:rowOff>
    </xdr:to>
    <xdr:graphicFrame>
      <xdr:nvGraphicFramePr>
        <xdr:cNvPr id="0" name="Chart 1"/>
        <xdr:cNvGraphicFramePr/>
      </xdr:nvGraphicFramePr>
      <xdr:xfrm>
        <a:off x="10045800" y="20954880"/>
        <a:ext cx="50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121</xdr:row>
      <xdr:rowOff>146880</xdr:rowOff>
    </xdr:from>
    <xdr:to>
      <xdr:col>28</xdr:col>
      <xdr:colOff>214920</xdr:colOff>
      <xdr:row>129</xdr:row>
      <xdr:rowOff>258480</xdr:rowOff>
    </xdr:to>
    <xdr:graphicFrame>
      <xdr:nvGraphicFramePr>
        <xdr:cNvPr id="1" name="Chart 2"/>
        <xdr:cNvGraphicFramePr/>
      </xdr:nvGraphicFramePr>
      <xdr:xfrm>
        <a:off x="17868960" y="23812560"/>
        <a:ext cx="100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1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14" min="8" style="0" width="10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3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2</v>
      </c>
      <c r="D3" s="4" t="s">
        <v>4</v>
      </c>
      <c r="E3" s="6" t="s">
        <v>2</v>
      </c>
      <c r="F3" s="4" t="s">
        <v>5</v>
      </c>
      <c r="G3" s="7" t="s">
        <v>2</v>
      </c>
      <c r="H3" s="4" t="s">
        <v>6</v>
      </c>
      <c r="I3" s="8" t="s">
        <v>2</v>
      </c>
      <c r="J3" s="4" t="s">
        <v>7</v>
      </c>
      <c r="K3" s="9" t="s">
        <v>2</v>
      </c>
      <c r="L3" s="4" t="s">
        <v>8</v>
      </c>
      <c r="M3" s="10" t="s">
        <v>2</v>
      </c>
      <c r="N3" s="4" t="s">
        <v>9</v>
      </c>
    </row>
    <row r="5" customFormat="false" ht="30" hidden="false" customHeight="true" outlineLevel="0" collapsed="false">
      <c r="A5" s="11" t="s">
        <v>10</v>
      </c>
      <c r="B5" s="11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1" t="s">
        <v>16</v>
      </c>
    </row>
    <row r="6" customFormat="false" ht="15" hidden="false" customHeight="false" outlineLevel="0" collapsed="false">
      <c r="A6" s="12" t="s">
        <v>17</v>
      </c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13" t="s">
        <v>18</v>
      </c>
      <c r="B7" s="14" t="n">
        <v>1</v>
      </c>
      <c r="C7" s="13" t="s">
        <v>19</v>
      </c>
      <c r="D7" s="9" t="s">
        <v>20</v>
      </c>
      <c r="E7" s="13" t="s">
        <v>21</v>
      </c>
      <c r="F7" s="13" t="s">
        <v>22</v>
      </c>
      <c r="G7" s="13" t="s">
        <v>23</v>
      </c>
    </row>
    <row r="8" customFormat="false" ht="15" hidden="false" customHeight="false" outlineLevel="0" collapsed="false">
      <c r="A8" s="13" t="s">
        <v>24</v>
      </c>
      <c r="B8" s="14" t="n">
        <v>2</v>
      </c>
      <c r="C8" s="13" t="s">
        <v>19</v>
      </c>
      <c r="D8" s="9" t="s">
        <v>25</v>
      </c>
      <c r="E8" s="13" t="s">
        <v>21</v>
      </c>
      <c r="F8" s="13" t="s">
        <v>22</v>
      </c>
      <c r="G8" s="13" t="s">
        <v>26</v>
      </c>
    </row>
    <row r="9" customFormat="false" ht="15" hidden="false" customHeight="false" outlineLevel="0" collapsed="false">
      <c r="A9" s="13" t="s">
        <v>27</v>
      </c>
      <c r="B9" s="14" t="n">
        <v>103</v>
      </c>
      <c r="C9" s="9" t="s">
        <v>28</v>
      </c>
      <c r="D9" s="9"/>
      <c r="E9" s="13" t="s">
        <v>21</v>
      </c>
      <c r="F9" s="13" t="s">
        <v>22</v>
      </c>
      <c r="G9" s="9"/>
    </row>
    <row r="10" customFormat="false" ht="15" hidden="false" customHeight="false" outlineLevel="0" collapsed="false">
      <c r="A10" s="13" t="s">
        <v>29</v>
      </c>
      <c r="B10" s="14" t="n">
        <v>30</v>
      </c>
      <c r="C10" s="13" t="s">
        <v>30</v>
      </c>
      <c r="D10" s="13" t="s">
        <v>31</v>
      </c>
      <c r="E10" s="13" t="s">
        <v>21</v>
      </c>
      <c r="F10" s="13" t="s">
        <v>22</v>
      </c>
      <c r="G10" s="9"/>
    </row>
    <row r="11" customFormat="false" ht="15" hidden="false" customHeight="false" outlineLevel="0" collapsed="false">
      <c r="A11" s="13" t="s">
        <v>32</v>
      </c>
      <c r="B11" s="15" t="n">
        <f aca="false">B10*24</f>
        <v>720</v>
      </c>
      <c r="C11" s="9" t="s">
        <v>33</v>
      </c>
      <c r="D11" s="13" t="s">
        <v>34</v>
      </c>
      <c r="E11" s="13" t="s">
        <v>35</v>
      </c>
      <c r="F11" s="13" t="s">
        <v>35</v>
      </c>
      <c r="G11" s="9"/>
    </row>
    <row r="12" customFormat="false" ht="15" hidden="false" customHeight="false" outlineLevel="0" collapsed="false">
      <c r="A12" s="13" t="s">
        <v>36</v>
      </c>
      <c r="B12" s="16" t="n">
        <f aca="false">365*24</f>
        <v>8760</v>
      </c>
      <c r="C12" s="9" t="s">
        <v>37</v>
      </c>
      <c r="D12" s="13" t="s">
        <v>38</v>
      </c>
      <c r="E12" s="13" t="s">
        <v>35</v>
      </c>
      <c r="F12" s="13" t="s">
        <v>35</v>
      </c>
      <c r="G12" s="13" t="s">
        <v>39</v>
      </c>
    </row>
    <row r="13" customFormat="false" ht="15" hidden="false" customHeight="false" outlineLevel="0" collapsed="false">
      <c r="A13" s="12" t="s">
        <v>40</v>
      </c>
      <c r="B13" s="12"/>
      <c r="C13" s="12"/>
      <c r="D13" s="12"/>
      <c r="E13" s="12"/>
      <c r="F13" s="12"/>
      <c r="G13" s="12"/>
    </row>
    <row r="14" customFormat="false" ht="26.85" hidden="false" customHeight="false" outlineLevel="0" collapsed="false">
      <c r="A14" s="13" t="s">
        <v>41</v>
      </c>
      <c r="B14" s="17" t="n">
        <v>2</v>
      </c>
      <c r="C14" s="9" t="s">
        <v>42</v>
      </c>
      <c r="D14" s="9" t="s">
        <v>43</v>
      </c>
      <c r="E14" s="13" t="s">
        <v>21</v>
      </c>
      <c r="F14" s="13" t="s">
        <v>44</v>
      </c>
      <c r="G14" s="9" t="s">
        <v>45</v>
      </c>
    </row>
    <row r="15" customFormat="false" ht="26.85" hidden="false" customHeight="false" outlineLevel="0" collapsed="false">
      <c r="A15" s="13" t="s">
        <v>46</v>
      </c>
      <c r="B15" s="17" t="n">
        <v>2</v>
      </c>
      <c r="C15" s="9" t="s">
        <v>47</v>
      </c>
      <c r="D15" s="9" t="s">
        <v>48</v>
      </c>
      <c r="E15" s="13" t="s">
        <v>21</v>
      </c>
      <c r="F15" s="13" t="s">
        <v>44</v>
      </c>
      <c r="G15" s="9"/>
    </row>
    <row r="16" customFormat="false" ht="26.85" hidden="false" customHeight="false" outlineLevel="0" collapsed="false">
      <c r="A16" s="13" t="s">
        <v>49</v>
      </c>
      <c r="B16" s="17" t="n">
        <v>45</v>
      </c>
      <c r="C16" s="9" t="s">
        <v>47</v>
      </c>
      <c r="D16" s="9" t="s">
        <v>50</v>
      </c>
      <c r="E16" s="13" t="s">
        <v>21</v>
      </c>
      <c r="F16" s="13" t="s">
        <v>44</v>
      </c>
      <c r="G16" s="9" t="s">
        <v>51</v>
      </c>
    </row>
    <row r="17" customFormat="false" ht="26.85" hidden="false" customHeight="false" outlineLevel="0" collapsed="false">
      <c r="A17" s="13" t="s">
        <v>52</v>
      </c>
      <c r="B17" s="17" t="n">
        <v>6</v>
      </c>
      <c r="C17" s="9" t="s">
        <v>47</v>
      </c>
      <c r="D17" s="13" t="s">
        <v>53</v>
      </c>
      <c r="E17" s="13" t="s">
        <v>21</v>
      </c>
      <c r="F17" s="13" t="s">
        <v>44</v>
      </c>
      <c r="G17" s="13" t="s">
        <v>54</v>
      </c>
    </row>
    <row r="18" customFormat="false" ht="26.85" hidden="false" customHeight="false" outlineLevel="0" collapsed="false">
      <c r="A18" s="13" t="s">
        <v>55</v>
      </c>
      <c r="B18" s="17" t="n">
        <v>2</v>
      </c>
      <c r="C18" s="9" t="s">
        <v>47</v>
      </c>
      <c r="D18" s="9" t="s">
        <v>56</v>
      </c>
      <c r="E18" s="13" t="s">
        <v>21</v>
      </c>
      <c r="F18" s="13" t="s">
        <v>44</v>
      </c>
      <c r="G18" s="9"/>
    </row>
    <row r="19" customFormat="false" ht="15" hidden="false" customHeight="false" outlineLevel="0" collapsed="false">
      <c r="A19" s="13" t="s">
        <v>57</v>
      </c>
      <c r="B19" s="17" t="n">
        <v>57</v>
      </c>
      <c r="C19" s="9" t="s">
        <v>47</v>
      </c>
      <c r="D19" s="9" t="s">
        <v>58</v>
      </c>
      <c r="E19" s="13" t="s">
        <v>21</v>
      </c>
      <c r="F19" s="13" t="s">
        <v>22</v>
      </c>
      <c r="G19" s="9"/>
    </row>
    <row r="20" customFormat="false" ht="15" hidden="false" customHeight="false" outlineLevel="0" collapsed="false">
      <c r="A20" s="13" t="s">
        <v>59</v>
      </c>
      <c r="B20" s="15" t="n">
        <f aca="false">01_Inputs!$B$14+01_Inputs!$B$15+01_Inputs!$B$16+01_Inputs!$B$17+01_Inputs!$B$18</f>
        <v>57</v>
      </c>
      <c r="C20" s="9" t="s">
        <v>47</v>
      </c>
      <c r="D20" s="13" t="s">
        <v>60</v>
      </c>
      <c r="E20" s="13" t="s">
        <v>35</v>
      </c>
      <c r="F20" s="13" t="s">
        <v>35</v>
      </c>
      <c r="G20" s="9"/>
    </row>
    <row r="21" customFormat="false" ht="15" hidden="false" customHeight="false" outlineLevel="0" collapsed="false">
      <c r="A21" s="13" t="s">
        <v>61</v>
      </c>
      <c r="B21" s="18" t="n">
        <v>49</v>
      </c>
      <c r="C21" s="9" t="s">
        <v>42</v>
      </c>
      <c r="D21" s="13" t="s">
        <v>62</v>
      </c>
      <c r="E21" s="13" t="s">
        <v>63</v>
      </c>
      <c r="F21" s="13" t="s">
        <v>64</v>
      </c>
      <c r="G21" s="9" t="s">
        <v>65</v>
      </c>
    </row>
    <row r="22" customFormat="false" ht="15" hidden="false" customHeight="false" outlineLevel="0" collapsed="false">
      <c r="A22" s="13" t="s">
        <v>66</v>
      </c>
      <c r="B22" s="5"/>
      <c r="C22" s="9" t="s">
        <v>47</v>
      </c>
      <c r="D22" s="9" t="s">
        <v>67</v>
      </c>
      <c r="E22" s="13" t="s">
        <v>68</v>
      </c>
      <c r="F22" s="9" t="s">
        <v>69</v>
      </c>
      <c r="G22" s="13" t="s">
        <v>70</v>
      </c>
    </row>
    <row r="23" customFormat="false" ht="15" hidden="false" customHeight="false" outlineLevel="0" collapsed="false">
      <c r="A23" s="13" t="s">
        <v>71</v>
      </c>
      <c r="B23" s="5"/>
      <c r="C23" s="9" t="s">
        <v>47</v>
      </c>
      <c r="D23" s="13" t="s">
        <v>72</v>
      </c>
      <c r="E23" s="13" t="s">
        <v>68</v>
      </c>
      <c r="F23" s="9" t="s">
        <v>69</v>
      </c>
      <c r="G23" s="9"/>
    </row>
    <row r="24" customFormat="false" ht="15" hidden="false" customHeight="false" outlineLevel="0" collapsed="false">
      <c r="A24" s="13" t="s">
        <v>73</v>
      </c>
      <c r="B24" s="5"/>
      <c r="C24" s="9" t="s">
        <v>74</v>
      </c>
      <c r="D24" s="9"/>
      <c r="E24" s="13" t="s">
        <v>68</v>
      </c>
      <c r="F24" s="9" t="s">
        <v>69</v>
      </c>
      <c r="G24" s="9"/>
    </row>
    <row r="25" customFormat="false" ht="15" hidden="false" customHeight="false" outlineLevel="0" collapsed="false">
      <c r="A25" s="13" t="s">
        <v>75</v>
      </c>
      <c r="B25" s="5"/>
      <c r="C25" s="9" t="s">
        <v>33</v>
      </c>
      <c r="D25" s="13" t="s">
        <v>76</v>
      </c>
      <c r="E25" s="13" t="s">
        <v>68</v>
      </c>
      <c r="F25" s="9" t="s">
        <v>69</v>
      </c>
      <c r="G25" s="9"/>
    </row>
    <row r="26" customFormat="false" ht="15" hidden="false" customHeight="false" outlineLevel="0" collapsed="false">
      <c r="A26" s="9" t="s">
        <v>77</v>
      </c>
      <c r="B26" s="5"/>
      <c r="C26" s="9" t="s">
        <v>47</v>
      </c>
      <c r="D26" s="9" t="s">
        <v>78</v>
      </c>
      <c r="E26" s="13" t="s">
        <v>68</v>
      </c>
      <c r="F26" s="9" t="s">
        <v>69</v>
      </c>
      <c r="G26" s="9" t="s">
        <v>79</v>
      </c>
    </row>
    <row r="27" customFormat="false" ht="15" hidden="false" customHeight="false" outlineLevel="0" collapsed="false">
      <c r="A27" s="12" t="s">
        <v>80</v>
      </c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9" t="s">
        <v>81</v>
      </c>
      <c r="B28" s="17" t="n">
        <v>2</v>
      </c>
      <c r="C28" s="9" t="s">
        <v>82</v>
      </c>
      <c r="D28" s="13" t="s">
        <v>83</v>
      </c>
      <c r="E28" s="13" t="s">
        <v>21</v>
      </c>
      <c r="F28" s="13" t="s">
        <v>22</v>
      </c>
      <c r="G28" s="13" t="s">
        <v>84</v>
      </c>
    </row>
    <row r="29" customFormat="false" ht="15" hidden="false" customHeight="false" outlineLevel="0" collapsed="false">
      <c r="A29" s="13" t="s">
        <v>85</v>
      </c>
      <c r="B29" s="14" t="n">
        <v>9</v>
      </c>
      <c r="C29" s="13" t="s">
        <v>86</v>
      </c>
      <c r="D29" s="13" t="s">
        <v>87</v>
      </c>
      <c r="E29" s="13" t="s">
        <v>21</v>
      </c>
      <c r="F29" s="13" t="s">
        <v>22</v>
      </c>
      <c r="G29" s="9" t="s">
        <v>88</v>
      </c>
    </row>
    <row r="30" customFormat="false" ht="15" hidden="false" customHeight="false" outlineLevel="0" collapsed="false">
      <c r="A30" s="13" t="s">
        <v>89</v>
      </c>
      <c r="B30" s="17" t="n">
        <v>18</v>
      </c>
      <c r="C30" s="9" t="s">
        <v>47</v>
      </c>
      <c r="D30" s="13" t="s">
        <v>90</v>
      </c>
      <c r="E30" s="13" t="s">
        <v>21</v>
      </c>
      <c r="F30" s="13" t="s">
        <v>22</v>
      </c>
      <c r="G30" s="9"/>
    </row>
    <row r="31" customFormat="false" ht="15" hidden="false" customHeight="false" outlineLevel="0" collapsed="false">
      <c r="A31" s="9" t="s">
        <v>91</v>
      </c>
      <c r="B31" s="15" t="n">
        <f aca="false">01_Inputs!$B$29*01_Inputs!$B$28</f>
        <v>18</v>
      </c>
      <c r="C31" s="9" t="s">
        <v>47</v>
      </c>
      <c r="D31" s="9" t="s">
        <v>92</v>
      </c>
      <c r="E31" s="13" t="s">
        <v>35</v>
      </c>
      <c r="F31" s="13" t="s">
        <v>35</v>
      </c>
      <c r="G31" s="9"/>
    </row>
    <row r="32" customFormat="false" ht="15" hidden="false" customHeight="false" outlineLevel="0" collapsed="false">
      <c r="A32" s="9" t="s">
        <v>93</v>
      </c>
      <c r="B32" s="17" t="n">
        <v>2</v>
      </c>
      <c r="C32" s="9" t="s">
        <v>94</v>
      </c>
      <c r="D32" s="9" t="s">
        <v>95</v>
      </c>
      <c r="E32" s="13" t="s">
        <v>21</v>
      </c>
      <c r="F32" s="13" t="s">
        <v>22</v>
      </c>
      <c r="G32" s="13" t="s">
        <v>96</v>
      </c>
    </row>
    <row r="33" customFormat="false" ht="15" hidden="false" customHeight="false" outlineLevel="0" collapsed="false">
      <c r="A33" s="9" t="s">
        <v>97</v>
      </c>
      <c r="B33" s="17" t="n">
        <v>2</v>
      </c>
      <c r="C33" s="9" t="s">
        <v>98</v>
      </c>
      <c r="D33" s="9" t="s">
        <v>99</v>
      </c>
      <c r="E33" s="13" t="s">
        <v>21</v>
      </c>
      <c r="F33" s="13" t="s">
        <v>22</v>
      </c>
      <c r="G33" s="13" t="s">
        <v>96</v>
      </c>
    </row>
    <row r="34" customFormat="false" ht="15" hidden="false" customHeight="false" outlineLevel="0" collapsed="false">
      <c r="A34" s="13" t="s">
        <v>100</v>
      </c>
      <c r="B34" s="17" t="n">
        <v>8</v>
      </c>
      <c r="C34" s="9" t="s">
        <v>98</v>
      </c>
      <c r="D34" s="13" t="s">
        <v>101</v>
      </c>
      <c r="E34" s="13" t="s">
        <v>21</v>
      </c>
      <c r="F34" s="13" t="s">
        <v>22</v>
      </c>
      <c r="G34" s="9"/>
    </row>
    <row r="35" customFormat="false" ht="15" hidden="false" customHeight="false" outlineLevel="0" collapsed="false">
      <c r="A35" s="13" t="s">
        <v>102</v>
      </c>
      <c r="B35" s="5"/>
      <c r="C35" s="9" t="s">
        <v>98</v>
      </c>
      <c r="D35" s="9" t="s">
        <v>103</v>
      </c>
      <c r="E35" s="13" t="s">
        <v>68</v>
      </c>
      <c r="F35" s="9" t="s">
        <v>69</v>
      </c>
      <c r="G35" s="13" t="s">
        <v>104</v>
      </c>
    </row>
    <row r="36" customFormat="false" ht="15" hidden="false" customHeight="false" outlineLevel="0" collapsed="false">
      <c r="A36" s="13" t="s">
        <v>105</v>
      </c>
      <c r="B36" s="5"/>
      <c r="C36" s="9" t="s">
        <v>98</v>
      </c>
      <c r="D36" s="9" t="s">
        <v>106</v>
      </c>
      <c r="E36" s="13" t="s">
        <v>68</v>
      </c>
      <c r="F36" s="9" t="s">
        <v>69</v>
      </c>
      <c r="G36" s="9"/>
    </row>
    <row r="37" customFormat="false" ht="15" hidden="false" customHeight="false" outlineLevel="0" collapsed="false">
      <c r="A37" s="13" t="s">
        <v>107</v>
      </c>
      <c r="B37" s="5"/>
      <c r="C37" s="9" t="s">
        <v>98</v>
      </c>
      <c r="D37" s="9" t="s">
        <v>108</v>
      </c>
      <c r="E37" s="13" t="s">
        <v>68</v>
      </c>
      <c r="F37" s="9" t="s">
        <v>69</v>
      </c>
      <c r="G37" s="9"/>
    </row>
    <row r="38" customFormat="false" ht="15" hidden="false" customHeight="false" outlineLevel="0" collapsed="false">
      <c r="A38" s="13" t="s">
        <v>109</v>
      </c>
      <c r="B38" s="19" t="n">
        <v>8</v>
      </c>
      <c r="C38" s="9" t="s">
        <v>98</v>
      </c>
      <c r="D38" s="13" t="s">
        <v>110</v>
      </c>
      <c r="E38" s="13" t="s">
        <v>111</v>
      </c>
      <c r="F38" s="13" t="s">
        <v>112</v>
      </c>
      <c r="G38" s="13" t="s">
        <v>113</v>
      </c>
    </row>
    <row r="39" customFormat="false" ht="15" hidden="false" customHeight="false" outlineLevel="0" collapsed="false">
      <c r="A39" s="13" t="s">
        <v>114</v>
      </c>
      <c r="B39" s="17" t="n">
        <v>8</v>
      </c>
      <c r="C39" s="9" t="s">
        <v>115</v>
      </c>
      <c r="D39" s="9" t="s">
        <v>116</v>
      </c>
      <c r="E39" s="13" t="s">
        <v>21</v>
      </c>
      <c r="F39" s="13" t="s">
        <v>22</v>
      </c>
      <c r="G39" s="13" t="s">
        <v>117</v>
      </c>
    </row>
    <row r="40" customFormat="false" ht="15" hidden="false" customHeight="false" outlineLevel="0" collapsed="false">
      <c r="A40" s="13" t="s">
        <v>118</v>
      </c>
      <c r="B40" s="3" t="s">
        <v>119</v>
      </c>
      <c r="C40" s="13" t="s">
        <v>120</v>
      </c>
      <c r="D40" s="13" t="s">
        <v>121</v>
      </c>
      <c r="E40" s="13" t="s">
        <v>122</v>
      </c>
      <c r="F40" s="13" t="s">
        <v>22</v>
      </c>
      <c r="G40" s="13" t="s">
        <v>123</v>
      </c>
    </row>
    <row r="41" customFormat="false" ht="15" hidden="false" customHeight="false" outlineLevel="0" collapsed="false">
      <c r="A41" s="12" t="s">
        <v>124</v>
      </c>
      <c r="B41" s="12"/>
      <c r="C41" s="12"/>
      <c r="D41" s="12"/>
      <c r="E41" s="12"/>
      <c r="F41" s="12"/>
      <c r="G41" s="12"/>
    </row>
    <row r="42" customFormat="false" ht="15" hidden="false" customHeight="false" outlineLevel="0" collapsed="false">
      <c r="A42" s="9" t="s">
        <v>125</v>
      </c>
      <c r="B42" s="20" t="n">
        <v>20</v>
      </c>
      <c r="C42" s="9" t="s">
        <v>126</v>
      </c>
      <c r="D42" s="9" t="s">
        <v>127</v>
      </c>
      <c r="E42" s="13" t="s">
        <v>21</v>
      </c>
      <c r="F42" s="13" t="s">
        <v>22</v>
      </c>
      <c r="G42" s="9"/>
    </row>
    <row r="43" customFormat="false" ht="15" hidden="false" customHeight="false" outlineLevel="0" collapsed="false">
      <c r="A43" s="13" t="s">
        <v>128</v>
      </c>
      <c r="B43" s="20" t="n">
        <v>140</v>
      </c>
      <c r="C43" s="9" t="s">
        <v>129</v>
      </c>
      <c r="D43" s="13" t="s">
        <v>130</v>
      </c>
      <c r="E43" s="13" t="s">
        <v>21</v>
      </c>
      <c r="F43" s="13" t="s">
        <v>22</v>
      </c>
      <c r="G43" s="9"/>
    </row>
    <row r="44" customFormat="false" ht="15" hidden="false" customHeight="false" outlineLevel="0" collapsed="false">
      <c r="A44" s="13" t="s">
        <v>131</v>
      </c>
      <c r="B44" s="20" t="n">
        <v>150</v>
      </c>
      <c r="C44" s="9" t="s">
        <v>129</v>
      </c>
      <c r="D44" s="9" t="s">
        <v>132</v>
      </c>
      <c r="E44" s="13" t="s">
        <v>21</v>
      </c>
      <c r="F44" s="13" t="s">
        <v>22</v>
      </c>
      <c r="G44" s="9"/>
    </row>
    <row r="45" customFormat="false" ht="15" hidden="false" customHeight="false" outlineLevel="0" collapsed="false">
      <c r="A45" s="9" t="s">
        <v>133</v>
      </c>
      <c r="B45" s="21" t="n">
        <v>46387</v>
      </c>
      <c r="C45" s="13" t="s">
        <v>134</v>
      </c>
      <c r="D45" s="9" t="s">
        <v>135</v>
      </c>
      <c r="E45" s="13" t="s">
        <v>122</v>
      </c>
      <c r="F45" s="13" t="s">
        <v>136</v>
      </c>
      <c r="G45" s="13" t="s">
        <v>137</v>
      </c>
    </row>
    <row r="46" customFormat="false" ht="15" hidden="false" customHeight="false" outlineLevel="0" collapsed="false">
      <c r="A46" s="13" t="s">
        <v>138</v>
      </c>
      <c r="B46" s="21" t="n">
        <v>46569</v>
      </c>
      <c r="C46" s="13" t="s">
        <v>134</v>
      </c>
      <c r="D46" s="13" t="s">
        <v>139</v>
      </c>
      <c r="E46" s="13" t="s">
        <v>21</v>
      </c>
      <c r="F46" s="13" t="s">
        <v>22</v>
      </c>
      <c r="G46" s="9" t="s">
        <v>140</v>
      </c>
    </row>
    <row r="47" customFormat="false" ht="26.85" hidden="false" customHeight="false" outlineLevel="0" collapsed="false">
      <c r="A47" s="13" t="s">
        <v>141</v>
      </c>
      <c r="B47" s="21" t="n">
        <v>46388</v>
      </c>
      <c r="C47" s="13" t="s">
        <v>134</v>
      </c>
      <c r="D47" s="13" t="s">
        <v>142</v>
      </c>
      <c r="E47" s="13" t="s">
        <v>122</v>
      </c>
      <c r="F47" s="13" t="s">
        <v>143</v>
      </c>
      <c r="G47" s="13" t="s">
        <v>144</v>
      </c>
    </row>
    <row r="48" customFormat="false" ht="15" hidden="false" customHeight="false" outlineLevel="0" collapsed="false">
      <c r="A48" s="12" t="s">
        <v>145</v>
      </c>
      <c r="B48" s="12"/>
      <c r="C48" s="12"/>
      <c r="D48" s="12"/>
      <c r="E48" s="12"/>
      <c r="F48" s="12"/>
      <c r="G48" s="12"/>
    </row>
    <row r="49" customFormat="false" ht="15" hidden="false" customHeight="false" outlineLevel="0" collapsed="false">
      <c r="A49" s="9" t="s">
        <v>146</v>
      </c>
      <c r="B49" s="20" t="n">
        <v>190</v>
      </c>
      <c r="C49" s="9" t="s">
        <v>147</v>
      </c>
      <c r="D49" s="13" t="s">
        <v>148</v>
      </c>
      <c r="E49" s="13" t="s">
        <v>21</v>
      </c>
      <c r="F49" s="13" t="s">
        <v>22</v>
      </c>
      <c r="G49" s="13" t="s">
        <v>149</v>
      </c>
    </row>
    <row r="50" customFormat="false" ht="15" hidden="false" customHeight="false" outlineLevel="0" collapsed="false">
      <c r="A50" s="9" t="s">
        <v>150</v>
      </c>
      <c r="B50" s="22" t="n">
        <f aca="false">01_Inputs!$B$29*01_Inputs!$B$42</f>
        <v>180</v>
      </c>
      <c r="C50" s="9" t="s">
        <v>151</v>
      </c>
      <c r="D50" s="9" t="s">
        <v>152</v>
      </c>
      <c r="E50" s="13" t="s">
        <v>35</v>
      </c>
      <c r="F50" s="13" t="s">
        <v>35</v>
      </c>
      <c r="G50" s="9"/>
    </row>
    <row r="51" customFormat="false" ht="15" hidden="false" customHeight="false" outlineLevel="0" collapsed="false">
      <c r="A51" s="9" t="s">
        <v>153</v>
      </c>
      <c r="B51" s="22" t="n">
        <f aca="false">01_Inputs!$B$49-B50</f>
        <v>10</v>
      </c>
      <c r="C51" s="9" t="s">
        <v>147</v>
      </c>
      <c r="D51" s="13" t="s">
        <v>154</v>
      </c>
      <c r="E51" s="13" t="s">
        <v>35</v>
      </c>
      <c r="F51" s="13" t="s">
        <v>35</v>
      </c>
      <c r="G51" s="13" t="s">
        <v>155</v>
      </c>
    </row>
    <row r="52" customFormat="false" ht="15" hidden="false" customHeight="false" outlineLevel="0" collapsed="false">
      <c r="A52" s="13" t="s">
        <v>156</v>
      </c>
      <c r="B52" s="23" t="n">
        <v>200</v>
      </c>
      <c r="C52" s="9" t="s">
        <v>147</v>
      </c>
      <c r="D52" s="13" t="s">
        <v>157</v>
      </c>
      <c r="E52" s="13" t="s">
        <v>63</v>
      </c>
      <c r="F52" s="13" t="s">
        <v>64</v>
      </c>
      <c r="G52" s="9"/>
    </row>
    <row r="53" customFormat="false" ht="15" hidden="false" customHeight="false" outlineLevel="0" collapsed="false">
      <c r="A53" s="13" t="s">
        <v>158</v>
      </c>
      <c r="B53" s="24" t="n">
        <v>0.75</v>
      </c>
      <c r="C53" s="9" t="s">
        <v>159</v>
      </c>
      <c r="D53" s="13" t="s">
        <v>160</v>
      </c>
      <c r="E53" s="13" t="s">
        <v>63</v>
      </c>
      <c r="F53" s="13" t="s">
        <v>64</v>
      </c>
      <c r="G53" s="9"/>
    </row>
    <row r="54" customFormat="false" ht="15" hidden="false" customHeight="false" outlineLevel="0" collapsed="false">
      <c r="A54" s="13" t="s">
        <v>161</v>
      </c>
      <c r="B54" s="24" t="n">
        <v>0.8</v>
      </c>
      <c r="C54" s="9" t="s">
        <v>159</v>
      </c>
      <c r="D54" s="9"/>
      <c r="E54" s="13" t="s">
        <v>63</v>
      </c>
      <c r="F54" s="13" t="s">
        <v>64</v>
      </c>
      <c r="G54" s="9"/>
    </row>
    <row r="55" customFormat="false" ht="26.85" hidden="false" customHeight="false" outlineLevel="0" collapsed="false">
      <c r="A55" s="13" t="s">
        <v>162</v>
      </c>
      <c r="B55" s="7" t="s">
        <v>163</v>
      </c>
      <c r="C55" s="9" t="s">
        <v>151</v>
      </c>
      <c r="D55" s="13" t="s">
        <v>164</v>
      </c>
      <c r="E55" s="13" t="s">
        <v>63</v>
      </c>
      <c r="F55" s="13" t="s">
        <v>64</v>
      </c>
      <c r="G55" s="13" t="s">
        <v>165</v>
      </c>
    </row>
    <row r="56" customFormat="false" ht="15" hidden="false" customHeight="false" outlineLevel="0" collapsed="false">
      <c r="A56" s="13" t="s">
        <v>166</v>
      </c>
      <c r="B56" s="7" t="s">
        <v>167</v>
      </c>
      <c r="C56" s="9" t="s">
        <v>151</v>
      </c>
      <c r="D56" s="13" t="s">
        <v>168</v>
      </c>
      <c r="E56" s="13" t="s">
        <v>63</v>
      </c>
      <c r="F56" s="13" t="s">
        <v>64</v>
      </c>
      <c r="G56" s="9"/>
    </row>
    <row r="57" customFormat="false" ht="26.85" hidden="false" customHeight="false" outlineLevel="0" collapsed="false">
      <c r="A57" s="13" t="s">
        <v>169</v>
      </c>
      <c r="B57" s="25" t="s">
        <v>170</v>
      </c>
      <c r="C57" s="9" t="s">
        <v>69</v>
      </c>
      <c r="D57" s="13" t="s">
        <v>142</v>
      </c>
      <c r="E57" s="13" t="s">
        <v>63</v>
      </c>
      <c r="F57" s="13" t="s">
        <v>64</v>
      </c>
      <c r="G57" s="9" t="s">
        <v>171</v>
      </c>
    </row>
    <row r="58" customFormat="false" ht="15" hidden="false" customHeight="false" outlineLevel="0" collapsed="false">
      <c r="A58" s="9" t="s">
        <v>172</v>
      </c>
      <c r="B58" s="5"/>
      <c r="C58" s="9" t="s">
        <v>147</v>
      </c>
      <c r="D58" s="13" t="s">
        <v>173</v>
      </c>
      <c r="E58" s="13" t="s">
        <v>68</v>
      </c>
      <c r="F58" s="9" t="s">
        <v>69</v>
      </c>
      <c r="G58" s="9"/>
    </row>
    <row r="59" customFormat="false" ht="15" hidden="false" customHeight="false" outlineLevel="0" collapsed="false">
      <c r="A59" s="9" t="s">
        <v>174</v>
      </c>
      <c r="B59" s="5"/>
      <c r="C59" s="9" t="s">
        <v>147</v>
      </c>
      <c r="D59" s="9"/>
      <c r="E59" s="13" t="s">
        <v>68</v>
      </c>
      <c r="F59" s="9" t="s">
        <v>69</v>
      </c>
      <c r="G59" s="9"/>
    </row>
    <row r="60" customFormat="false" ht="15" hidden="false" customHeight="false" outlineLevel="0" collapsed="false">
      <c r="A60" s="9" t="s">
        <v>175</v>
      </c>
      <c r="B60" s="5"/>
      <c r="C60" s="9" t="s">
        <v>147</v>
      </c>
      <c r="D60" s="9"/>
      <c r="E60" s="13" t="s">
        <v>68</v>
      </c>
      <c r="F60" s="9" t="s">
        <v>69</v>
      </c>
      <c r="G60" s="13" t="s">
        <v>176</v>
      </c>
    </row>
    <row r="61" customFormat="false" ht="15" hidden="false" customHeight="false" outlineLevel="0" collapsed="false">
      <c r="A61" s="13" t="s">
        <v>177</v>
      </c>
      <c r="B61" s="5"/>
      <c r="C61" s="9" t="s">
        <v>147</v>
      </c>
      <c r="D61" s="9" t="s">
        <v>108</v>
      </c>
      <c r="E61" s="13" t="s">
        <v>68</v>
      </c>
      <c r="F61" s="9" t="s">
        <v>69</v>
      </c>
      <c r="G61" s="13" t="s">
        <v>178</v>
      </c>
    </row>
    <row r="62" customFormat="false" ht="15" hidden="false" customHeight="false" outlineLevel="0" collapsed="false">
      <c r="A62" s="12" t="s">
        <v>179</v>
      </c>
      <c r="B62" s="12"/>
      <c r="C62" s="12"/>
      <c r="D62" s="12"/>
      <c r="E62" s="12"/>
      <c r="F62" s="12"/>
      <c r="G62" s="12"/>
    </row>
    <row r="63" customFormat="false" ht="15" hidden="false" customHeight="false" outlineLevel="0" collapsed="false">
      <c r="A63" s="13" t="s">
        <v>180</v>
      </c>
      <c r="B63" s="26" t="n">
        <v>26.2</v>
      </c>
      <c r="C63" s="9" t="s">
        <v>181</v>
      </c>
      <c r="D63" s="13" t="s">
        <v>182</v>
      </c>
      <c r="E63" s="13" t="s">
        <v>21</v>
      </c>
      <c r="F63" s="13" t="s">
        <v>22</v>
      </c>
      <c r="G63" s="13" t="s">
        <v>183</v>
      </c>
    </row>
    <row r="64" customFormat="false" ht="15" hidden="false" customHeight="false" outlineLevel="0" collapsed="false">
      <c r="A64" s="13" t="s">
        <v>184</v>
      </c>
      <c r="B64" s="26" t="n">
        <v>21</v>
      </c>
      <c r="C64" s="9" t="s">
        <v>181</v>
      </c>
      <c r="D64" s="9" t="s">
        <v>185</v>
      </c>
      <c r="E64" s="13" t="s">
        <v>21</v>
      </c>
      <c r="F64" s="13" t="s">
        <v>22</v>
      </c>
      <c r="G64" s="13" t="s">
        <v>186</v>
      </c>
    </row>
    <row r="65" customFormat="false" ht="15" hidden="false" customHeight="false" outlineLevel="0" collapsed="false">
      <c r="A65" s="13" t="s">
        <v>187</v>
      </c>
      <c r="B65" s="27" t="n">
        <f aca="false">01_Inputs!$B$63+01_Inputs!$B$64</f>
        <v>47.2</v>
      </c>
      <c r="C65" s="9" t="s">
        <v>181</v>
      </c>
      <c r="D65" s="9" t="s">
        <v>188</v>
      </c>
      <c r="E65" s="13" t="s">
        <v>35</v>
      </c>
      <c r="F65" s="13" t="s">
        <v>35</v>
      </c>
      <c r="G65" s="9" t="s">
        <v>189</v>
      </c>
    </row>
    <row r="66" customFormat="false" ht="15" hidden="false" customHeight="false" outlineLevel="0" collapsed="false">
      <c r="A66" s="13" t="s">
        <v>190</v>
      </c>
      <c r="B66" s="27" t="n">
        <f aca="false">01_Inputs!$B$63*2</f>
        <v>52.4</v>
      </c>
      <c r="C66" s="9" t="s">
        <v>181</v>
      </c>
      <c r="D66" s="13" t="s">
        <v>191</v>
      </c>
      <c r="E66" s="13" t="s">
        <v>35</v>
      </c>
      <c r="F66" s="13" t="s">
        <v>35</v>
      </c>
      <c r="G66" s="9" t="s">
        <v>192</v>
      </c>
    </row>
    <row r="67" customFormat="false" ht="15" hidden="false" customHeight="false" outlineLevel="0" collapsed="false">
      <c r="A67" s="9" t="s">
        <v>193</v>
      </c>
      <c r="B67" s="28" t="n">
        <v>3</v>
      </c>
      <c r="C67" s="9" t="s">
        <v>181</v>
      </c>
      <c r="D67" s="9" t="s">
        <v>194</v>
      </c>
      <c r="E67" s="13" t="s">
        <v>195</v>
      </c>
      <c r="F67" s="13" t="s">
        <v>22</v>
      </c>
      <c r="G67" s="13" t="s">
        <v>196</v>
      </c>
    </row>
    <row r="68" customFormat="false" ht="15" hidden="false" customHeight="false" outlineLevel="0" collapsed="false">
      <c r="A68" s="9" t="s">
        <v>197</v>
      </c>
      <c r="B68" s="27" t="n">
        <f aca="false">01_Inputs!$B$65+01_Inputs!$B$67</f>
        <v>50.2</v>
      </c>
      <c r="C68" s="9" t="s">
        <v>181</v>
      </c>
      <c r="D68" s="13" t="s">
        <v>195</v>
      </c>
      <c r="E68" s="13" t="s">
        <v>35</v>
      </c>
      <c r="F68" s="13" t="s">
        <v>35</v>
      </c>
      <c r="G68" s="9"/>
    </row>
    <row r="69" customFormat="false" ht="15" hidden="false" customHeight="false" outlineLevel="0" collapsed="false">
      <c r="A69" s="13" t="s">
        <v>198</v>
      </c>
      <c r="B69" s="26" t="n">
        <v>50</v>
      </c>
      <c r="C69" s="9" t="s">
        <v>181</v>
      </c>
      <c r="D69" s="9" t="s">
        <v>199</v>
      </c>
      <c r="E69" s="13" t="s">
        <v>122</v>
      </c>
      <c r="F69" s="13" t="s">
        <v>22</v>
      </c>
      <c r="G69" s="9"/>
    </row>
    <row r="70" customFormat="false" ht="15" hidden="false" customHeight="false" outlineLevel="0" collapsed="false">
      <c r="A70" s="13" t="s">
        <v>200</v>
      </c>
      <c r="B70" s="14" t="n">
        <v>11</v>
      </c>
      <c r="C70" s="9" t="s">
        <v>201</v>
      </c>
      <c r="D70" s="13" t="s">
        <v>202</v>
      </c>
      <c r="E70" s="13" t="s">
        <v>21</v>
      </c>
      <c r="F70" s="13" t="s">
        <v>22</v>
      </c>
      <c r="G70" s="9"/>
    </row>
    <row r="71" customFormat="false" ht="15" hidden="false" customHeight="false" outlineLevel="0" collapsed="false">
      <c r="A71" s="13" t="s">
        <v>203</v>
      </c>
      <c r="B71" s="29" t="n">
        <v>105</v>
      </c>
      <c r="C71" s="9" t="s">
        <v>28</v>
      </c>
      <c r="D71" s="9" t="s">
        <v>194</v>
      </c>
      <c r="E71" s="13" t="s">
        <v>195</v>
      </c>
      <c r="F71" s="13" t="s">
        <v>22</v>
      </c>
      <c r="G71" s="13" t="s">
        <v>204</v>
      </c>
    </row>
    <row r="72" customFormat="false" ht="15" hidden="false" customHeight="false" outlineLevel="0" collapsed="false">
      <c r="A72" s="9" t="s">
        <v>205</v>
      </c>
      <c r="B72" s="5"/>
      <c r="C72" s="13" t="s">
        <v>134</v>
      </c>
      <c r="D72" s="9" t="s">
        <v>206</v>
      </c>
      <c r="E72" s="13" t="s">
        <v>68</v>
      </c>
      <c r="F72" s="9" t="s">
        <v>69</v>
      </c>
      <c r="G72" s="13" t="s">
        <v>207</v>
      </c>
    </row>
    <row r="73" customFormat="false" ht="15" hidden="false" customHeight="false" outlineLevel="0" collapsed="false">
      <c r="A73" s="9" t="s">
        <v>208</v>
      </c>
      <c r="B73" s="5"/>
      <c r="C73" s="9" t="s">
        <v>47</v>
      </c>
      <c r="D73" s="9"/>
      <c r="E73" s="13" t="s">
        <v>68</v>
      </c>
      <c r="F73" s="9" t="s">
        <v>69</v>
      </c>
      <c r="G73" s="9"/>
    </row>
    <row r="74" customFormat="false" ht="15" hidden="false" customHeight="false" outlineLevel="0" collapsed="false">
      <c r="A74" s="12" t="s">
        <v>209</v>
      </c>
      <c r="B74" s="12"/>
      <c r="C74" s="12"/>
      <c r="D74" s="12"/>
      <c r="E74" s="12"/>
      <c r="F74" s="12"/>
      <c r="G74" s="12"/>
    </row>
    <row r="75" customFormat="false" ht="15" hidden="false" customHeight="false" outlineLevel="0" collapsed="false">
      <c r="A75" s="13" t="s">
        <v>210</v>
      </c>
      <c r="B75" s="21" t="n">
        <v>46419</v>
      </c>
      <c r="C75" s="13" t="s">
        <v>134</v>
      </c>
      <c r="D75" s="9" t="s">
        <v>211</v>
      </c>
      <c r="E75" s="13" t="s">
        <v>122</v>
      </c>
      <c r="F75" s="13" t="s">
        <v>22</v>
      </c>
      <c r="G75" s="9"/>
    </row>
    <row r="76" customFormat="false" ht="15" hidden="false" customHeight="false" outlineLevel="0" collapsed="false">
      <c r="A76" s="13" t="s">
        <v>212</v>
      </c>
      <c r="B76" s="21" t="n">
        <v>46538</v>
      </c>
      <c r="C76" s="13" t="s">
        <v>134</v>
      </c>
      <c r="D76" s="9"/>
      <c r="E76" s="13" t="s">
        <v>122</v>
      </c>
      <c r="F76" s="13" t="s">
        <v>22</v>
      </c>
      <c r="G76" s="9"/>
    </row>
    <row r="77" customFormat="false" ht="15" hidden="false" customHeight="false" outlineLevel="0" collapsed="false">
      <c r="A77" s="13" t="s">
        <v>213</v>
      </c>
      <c r="B77" s="21" t="n">
        <v>46539</v>
      </c>
      <c r="C77" s="13" t="s">
        <v>134</v>
      </c>
      <c r="D77" s="9" t="s">
        <v>214</v>
      </c>
      <c r="E77" s="13" t="s">
        <v>122</v>
      </c>
      <c r="F77" s="13" t="s">
        <v>22</v>
      </c>
      <c r="G77" s="9"/>
    </row>
    <row r="78" customFormat="false" ht="15" hidden="false" customHeight="false" outlineLevel="0" collapsed="false">
      <c r="A78" s="13" t="s">
        <v>215</v>
      </c>
      <c r="B78" s="21" t="n">
        <v>46569</v>
      </c>
      <c r="C78" s="13" t="s">
        <v>134</v>
      </c>
      <c r="D78" s="9"/>
      <c r="E78" s="13" t="s">
        <v>122</v>
      </c>
      <c r="F78" s="13" t="s">
        <v>22</v>
      </c>
      <c r="G78" s="9"/>
    </row>
    <row r="79" customFormat="false" ht="15" hidden="false" customHeight="false" outlineLevel="0" collapsed="false">
      <c r="A79" s="13" t="s">
        <v>216</v>
      </c>
      <c r="B79" s="21" t="n">
        <v>46934</v>
      </c>
      <c r="C79" s="13" t="s">
        <v>134</v>
      </c>
      <c r="D79" s="9" t="s">
        <v>217</v>
      </c>
      <c r="E79" s="13" t="s">
        <v>122</v>
      </c>
      <c r="F79" s="13" t="s">
        <v>22</v>
      </c>
      <c r="G79" s="9"/>
    </row>
    <row r="80" customFormat="false" ht="15" hidden="false" customHeight="false" outlineLevel="0" collapsed="false">
      <c r="A80" s="13" t="s">
        <v>218</v>
      </c>
      <c r="B80" s="5"/>
      <c r="C80" s="9" t="s">
        <v>33</v>
      </c>
      <c r="D80" s="9" t="s">
        <v>219</v>
      </c>
      <c r="E80" s="13" t="s">
        <v>68</v>
      </c>
      <c r="F80" s="9" t="s">
        <v>69</v>
      </c>
      <c r="G80" s="9" t="s">
        <v>220</v>
      </c>
    </row>
    <row r="81" customFormat="false" ht="15" hidden="false" customHeight="false" outlineLevel="0" collapsed="false">
      <c r="A81" s="13" t="s">
        <v>221</v>
      </c>
      <c r="B81" s="5"/>
      <c r="C81" s="9" t="s">
        <v>222</v>
      </c>
      <c r="D81" s="9" t="s">
        <v>223</v>
      </c>
      <c r="E81" s="13" t="s">
        <v>68</v>
      </c>
      <c r="F81" s="9" t="s">
        <v>69</v>
      </c>
      <c r="G81" s="9"/>
    </row>
    <row r="82" customFormat="false" ht="15" hidden="false" customHeight="false" outlineLevel="0" collapsed="false">
      <c r="A82" s="13" t="s">
        <v>224</v>
      </c>
      <c r="B82" s="5"/>
      <c r="C82" s="13" t="s">
        <v>225</v>
      </c>
      <c r="D82" s="9" t="s">
        <v>108</v>
      </c>
      <c r="E82" s="13" t="s">
        <v>68</v>
      </c>
      <c r="F82" s="9" t="s">
        <v>69</v>
      </c>
      <c r="G82" s="9"/>
    </row>
    <row r="83" customFormat="false" ht="15" hidden="false" customHeight="false" outlineLevel="0" collapsed="false">
      <c r="A83" s="13" t="s">
        <v>226</v>
      </c>
      <c r="B83" s="5"/>
      <c r="C83" s="9" t="s">
        <v>47</v>
      </c>
      <c r="D83" s="13" t="s">
        <v>227</v>
      </c>
      <c r="E83" s="13" t="s">
        <v>68</v>
      </c>
      <c r="F83" s="9" t="s">
        <v>69</v>
      </c>
      <c r="G83" s="9" t="s">
        <v>228</v>
      </c>
    </row>
    <row r="84" customFormat="false" ht="15" hidden="false" customHeight="false" outlineLevel="0" collapsed="false">
      <c r="A84" s="13" t="s">
        <v>229</v>
      </c>
      <c r="B84" s="6" t="n">
        <v>30</v>
      </c>
      <c r="C84" s="9" t="s">
        <v>42</v>
      </c>
      <c r="D84" s="9" t="s">
        <v>230</v>
      </c>
      <c r="E84" s="13" t="s">
        <v>111</v>
      </c>
      <c r="F84" s="13" t="s">
        <v>231</v>
      </c>
      <c r="G84" s="13" t="s">
        <v>232</v>
      </c>
    </row>
    <row r="85" customFormat="false" ht="15" hidden="false" customHeight="false" outlineLevel="0" collapsed="false">
      <c r="A85" s="12" t="s">
        <v>233</v>
      </c>
      <c r="B85" s="12"/>
      <c r="C85" s="12"/>
      <c r="D85" s="12"/>
      <c r="E85" s="12"/>
      <c r="F85" s="12"/>
      <c r="G85" s="12"/>
    </row>
    <row r="86" customFormat="false" ht="15" hidden="false" customHeight="false" outlineLevel="0" collapsed="false">
      <c r="A86" s="13" t="s">
        <v>234</v>
      </c>
      <c r="B86" s="5"/>
      <c r="C86" s="13" t="s">
        <v>19</v>
      </c>
      <c r="D86" s="9" t="s">
        <v>235</v>
      </c>
      <c r="E86" s="13" t="s">
        <v>68</v>
      </c>
      <c r="F86" s="9" t="s">
        <v>69</v>
      </c>
      <c r="G86" s="9"/>
    </row>
    <row r="87" customFormat="false" ht="15" hidden="false" customHeight="false" outlineLevel="0" collapsed="false">
      <c r="A87" s="13" t="s">
        <v>236</v>
      </c>
      <c r="B87" s="5"/>
      <c r="C87" s="9" t="s">
        <v>33</v>
      </c>
      <c r="D87" s="13" t="s">
        <v>237</v>
      </c>
      <c r="E87" s="13" t="s">
        <v>68</v>
      </c>
      <c r="F87" s="9" t="s">
        <v>69</v>
      </c>
      <c r="G87" s="9"/>
    </row>
    <row r="88" customFormat="false" ht="15" hidden="false" customHeight="false" outlineLevel="0" collapsed="false">
      <c r="A88" s="9" t="s">
        <v>238</v>
      </c>
      <c r="B88" s="5"/>
      <c r="C88" s="9" t="s">
        <v>33</v>
      </c>
      <c r="D88" s="9"/>
      <c r="E88" s="13" t="s">
        <v>68</v>
      </c>
      <c r="F88" s="9" t="s">
        <v>69</v>
      </c>
      <c r="G88" s="9"/>
    </row>
    <row r="89" customFormat="false" ht="15" hidden="false" customHeight="false" outlineLevel="0" collapsed="false">
      <c r="A89" s="13" t="s">
        <v>239</v>
      </c>
      <c r="B89" s="5"/>
      <c r="C89" s="9" t="s">
        <v>33</v>
      </c>
      <c r="D89" s="9"/>
      <c r="E89" s="13" t="s">
        <v>68</v>
      </c>
      <c r="F89" s="9" t="s">
        <v>69</v>
      </c>
      <c r="G89" s="9"/>
    </row>
    <row r="90" customFormat="false" ht="15" hidden="false" customHeight="false" outlineLevel="0" collapsed="false">
      <c r="A90" s="9" t="s">
        <v>240</v>
      </c>
      <c r="B90" s="5"/>
      <c r="C90" s="13" t="s">
        <v>241</v>
      </c>
      <c r="D90" s="9"/>
      <c r="E90" s="13" t="s">
        <v>68</v>
      </c>
      <c r="F90" s="9" t="s">
        <v>69</v>
      </c>
      <c r="G90" s="9"/>
    </row>
    <row r="91" customFormat="false" ht="15" hidden="false" customHeight="false" outlineLevel="0" collapsed="false">
      <c r="A91" s="9" t="s">
        <v>242</v>
      </c>
      <c r="B91" s="5"/>
      <c r="C91" s="9" t="s">
        <v>151</v>
      </c>
      <c r="D91" s="9"/>
      <c r="E91" s="13" t="s">
        <v>68</v>
      </c>
      <c r="F91" s="9" t="s">
        <v>69</v>
      </c>
      <c r="G91" s="9"/>
    </row>
    <row r="92" customFormat="false" ht="15" hidden="false" customHeight="false" outlineLevel="0" collapsed="false">
      <c r="A92" s="13" t="s">
        <v>243</v>
      </c>
      <c r="B92" s="6" t="n">
        <v>22</v>
      </c>
      <c r="C92" s="13" t="s">
        <v>30</v>
      </c>
      <c r="D92" s="9" t="s">
        <v>244</v>
      </c>
      <c r="E92" s="13" t="s">
        <v>111</v>
      </c>
      <c r="F92" s="13" t="s">
        <v>245</v>
      </c>
      <c r="G92" s="13" t="s">
        <v>246</v>
      </c>
    </row>
    <row r="93" customFormat="false" ht="15" hidden="false" customHeight="false" outlineLevel="0" collapsed="false">
      <c r="A93" s="13" t="s">
        <v>247</v>
      </c>
      <c r="B93" s="19" t="n">
        <v>8</v>
      </c>
      <c r="C93" s="9" t="s">
        <v>115</v>
      </c>
      <c r="D93" s="9"/>
      <c r="E93" s="13" t="s">
        <v>111</v>
      </c>
      <c r="F93" s="13" t="s">
        <v>245</v>
      </c>
      <c r="G93" s="9"/>
    </row>
    <row r="94" customFormat="false" ht="15" hidden="false" customHeight="false" outlineLevel="0" collapsed="false">
      <c r="A94" s="13" t="s">
        <v>248</v>
      </c>
      <c r="B94" s="19" t="n">
        <v>16</v>
      </c>
      <c r="C94" s="9" t="s">
        <v>115</v>
      </c>
      <c r="D94" s="9"/>
      <c r="E94" s="13" t="s">
        <v>111</v>
      </c>
      <c r="F94" s="13" t="s">
        <v>245</v>
      </c>
      <c r="G94" s="9"/>
    </row>
    <row r="95" customFormat="false" ht="15" hidden="false" customHeight="false" outlineLevel="0" collapsed="false">
      <c r="A95" s="13" t="s">
        <v>249</v>
      </c>
      <c r="B95" s="19" t="n">
        <v>24</v>
      </c>
      <c r="C95" s="9" t="s">
        <v>115</v>
      </c>
      <c r="D95" s="9" t="s">
        <v>250</v>
      </c>
      <c r="E95" s="13" t="s">
        <v>111</v>
      </c>
      <c r="F95" s="13" t="s">
        <v>245</v>
      </c>
      <c r="G95" s="9"/>
    </row>
    <row r="96" customFormat="false" ht="15" hidden="false" customHeight="false" outlineLevel="0" collapsed="false">
      <c r="A96" s="12" t="s">
        <v>251</v>
      </c>
      <c r="B96" s="12"/>
      <c r="C96" s="12"/>
      <c r="D96" s="12"/>
      <c r="E96" s="12"/>
      <c r="F96" s="12"/>
      <c r="G96" s="12"/>
    </row>
    <row r="97" customFormat="false" ht="15" hidden="false" customHeight="false" outlineLevel="0" collapsed="false">
      <c r="A97" s="13" t="s">
        <v>252</v>
      </c>
      <c r="B97" s="30" t="n">
        <v>39</v>
      </c>
      <c r="C97" s="9" t="s">
        <v>253</v>
      </c>
      <c r="D97" s="9" t="s">
        <v>254</v>
      </c>
      <c r="E97" s="13" t="s">
        <v>111</v>
      </c>
      <c r="F97" s="13" t="s">
        <v>255</v>
      </c>
      <c r="G97" s="9" t="s">
        <v>256</v>
      </c>
    </row>
    <row r="98" customFormat="false" ht="15" hidden="false" customHeight="false" outlineLevel="0" collapsed="false">
      <c r="A98" s="13" t="s">
        <v>257</v>
      </c>
      <c r="B98" s="30" t="n">
        <v>92</v>
      </c>
      <c r="C98" s="9" t="s">
        <v>253</v>
      </c>
      <c r="D98" s="9" t="s">
        <v>258</v>
      </c>
      <c r="E98" s="13" t="s">
        <v>111</v>
      </c>
      <c r="F98" s="13" t="s">
        <v>255</v>
      </c>
      <c r="G98" s="9"/>
    </row>
    <row r="99" customFormat="false" ht="15" hidden="false" customHeight="false" outlineLevel="0" collapsed="false">
      <c r="A99" s="13" t="s">
        <v>259</v>
      </c>
      <c r="B99" s="30" t="n">
        <v>4</v>
      </c>
      <c r="C99" s="13" t="s">
        <v>260</v>
      </c>
      <c r="D99" s="9"/>
      <c r="E99" s="13" t="s">
        <v>111</v>
      </c>
      <c r="F99" s="13" t="s">
        <v>255</v>
      </c>
      <c r="G99" s="9"/>
    </row>
    <row r="100" customFormat="false" ht="15" hidden="false" customHeight="false" outlineLevel="0" collapsed="false">
      <c r="A100" s="13" t="s">
        <v>261</v>
      </c>
      <c r="B100" s="30" t="n">
        <v>3</v>
      </c>
      <c r="C100" s="13" t="s">
        <v>262</v>
      </c>
      <c r="D100" s="9" t="s">
        <v>263</v>
      </c>
      <c r="E100" s="13" t="s">
        <v>111</v>
      </c>
      <c r="F100" s="13" t="s">
        <v>255</v>
      </c>
      <c r="G100" s="9" t="s">
        <v>264</v>
      </c>
    </row>
    <row r="101" customFormat="false" ht="15" hidden="false" customHeight="false" outlineLevel="0" collapsed="false">
      <c r="A101" s="13" t="s">
        <v>265</v>
      </c>
      <c r="B101" s="30" t="n">
        <v>2026</v>
      </c>
      <c r="C101" s="13" t="s">
        <v>266</v>
      </c>
      <c r="D101" s="13" t="s">
        <v>267</v>
      </c>
      <c r="E101" s="13" t="s">
        <v>111</v>
      </c>
      <c r="F101" s="13" t="s">
        <v>268</v>
      </c>
      <c r="G101" s="9"/>
    </row>
    <row r="102" customFormat="false" ht="15" hidden="false" customHeight="false" outlineLevel="0" collapsed="false">
      <c r="A102" s="12" t="s">
        <v>269</v>
      </c>
      <c r="B102" s="12"/>
      <c r="C102" s="12"/>
      <c r="D102" s="12"/>
      <c r="E102" s="12"/>
      <c r="F102" s="12"/>
      <c r="G102" s="12"/>
    </row>
    <row r="103" customFormat="false" ht="15" hidden="false" customHeight="false" outlineLevel="0" collapsed="false">
      <c r="A103" s="13" t="s">
        <v>270</v>
      </c>
      <c r="B103" s="5"/>
      <c r="C103" s="9" t="s">
        <v>151</v>
      </c>
      <c r="D103" s="9" t="s">
        <v>271</v>
      </c>
      <c r="E103" s="13" t="s">
        <v>68</v>
      </c>
      <c r="F103" s="9" t="s">
        <v>69</v>
      </c>
      <c r="G103" s="13" t="s">
        <v>272</v>
      </c>
    </row>
    <row r="104" customFormat="false" ht="15" hidden="false" customHeight="false" outlineLevel="0" collapsed="false">
      <c r="A104" s="13" t="s">
        <v>273</v>
      </c>
      <c r="B104" s="5"/>
      <c r="C104" s="9" t="s">
        <v>151</v>
      </c>
      <c r="D104" s="13" t="s">
        <v>274</v>
      </c>
      <c r="E104" s="13" t="s">
        <v>68</v>
      </c>
      <c r="F104" s="9" t="s">
        <v>69</v>
      </c>
      <c r="G104" s="13" t="s">
        <v>275</v>
      </c>
    </row>
    <row r="105" customFormat="false" ht="15" hidden="false" customHeight="false" outlineLevel="0" collapsed="false">
      <c r="A105" s="13" t="s">
        <v>276</v>
      </c>
      <c r="B105" s="5"/>
      <c r="C105" s="9" t="s">
        <v>151</v>
      </c>
      <c r="D105" s="9"/>
      <c r="E105" s="13" t="s">
        <v>68</v>
      </c>
      <c r="F105" s="9" t="s">
        <v>69</v>
      </c>
      <c r="G105" s="9"/>
    </row>
    <row r="106" customFormat="false" ht="15" hidden="false" customHeight="false" outlineLevel="0" collapsed="false">
      <c r="A106" s="13" t="s">
        <v>277</v>
      </c>
      <c r="B106" s="5"/>
      <c r="C106" s="9" t="s">
        <v>159</v>
      </c>
      <c r="D106" s="9"/>
      <c r="E106" s="13" t="s">
        <v>68</v>
      </c>
      <c r="F106" s="9" t="s">
        <v>69</v>
      </c>
      <c r="G106" s="13" t="s">
        <v>278</v>
      </c>
    </row>
    <row r="107" customFormat="false" ht="15" hidden="false" customHeight="false" outlineLevel="0" collapsed="false">
      <c r="A107" s="13" t="s">
        <v>279</v>
      </c>
      <c r="B107" s="5"/>
      <c r="C107" s="9" t="s">
        <v>159</v>
      </c>
      <c r="D107" s="9"/>
      <c r="E107" s="13" t="s">
        <v>68</v>
      </c>
      <c r="F107" s="9" t="s">
        <v>69</v>
      </c>
      <c r="G107" s="9"/>
    </row>
    <row r="108" customFormat="false" ht="15" hidden="false" customHeight="false" outlineLevel="0" collapsed="false">
      <c r="A108" s="9" t="s">
        <v>280</v>
      </c>
      <c r="B108" s="5"/>
      <c r="C108" s="9" t="s">
        <v>159</v>
      </c>
      <c r="D108" s="9"/>
      <c r="E108" s="13" t="s">
        <v>68</v>
      </c>
      <c r="F108" s="9" t="s">
        <v>69</v>
      </c>
      <c r="G108" s="9"/>
    </row>
    <row r="109" customFormat="false" ht="15" hidden="false" customHeight="false" outlineLevel="0" collapsed="false">
      <c r="A109" s="13" t="s">
        <v>281</v>
      </c>
      <c r="B109" s="5"/>
      <c r="C109" s="9" t="s">
        <v>159</v>
      </c>
      <c r="D109" s="9"/>
      <c r="E109" s="13" t="s">
        <v>68</v>
      </c>
      <c r="F109" s="9" t="s">
        <v>69</v>
      </c>
      <c r="G109" s="13" t="s">
        <v>282</v>
      </c>
    </row>
    <row r="110" customFormat="false" ht="15" hidden="false" customHeight="false" outlineLevel="0" collapsed="false">
      <c r="A110" s="13" t="s">
        <v>283</v>
      </c>
      <c r="B110" s="5"/>
      <c r="C110" s="9" t="s">
        <v>159</v>
      </c>
      <c r="D110" s="9"/>
      <c r="E110" s="13" t="s">
        <v>68</v>
      </c>
      <c r="F110" s="9" t="s">
        <v>69</v>
      </c>
      <c r="G110" s="9"/>
    </row>
    <row r="111" customFormat="false" ht="15" hidden="false" customHeight="false" outlineLevel="0" collapsed="false">
      <c r="A111" s="13" t="s">
        <v>284</v>
      </c>
      <c r="B111" s="5"/>
      <c r="C111" s="9" t="s">
        <v>69</v>
      </c>
      <c r="D111" s="9" t="s">
        <v>285</v>
      </c>
      <c r="E111" s="13" t="s">
        <v>68</v>
      </c>
      <c r="F111" s="9" t="s">
        <v>69</v>
      </c>
      <c r="G111" s="13" t="s">
        <v>286</v>
      </c>
    </row>
    <row r="112" customFormat="false" ht="15" hidden="false" customHeight="false" outlineLevel="0" collapsed="false">
      <c r="A112" s="12" t="s">
        <v>287</v>
      </c>
      <c r="B112" s="12"/>
      <c r="C112" s="12"/>
      <c r="D112" s="12"/>
      <c r="E112" s="12"/>
      <c r="F112" s="12"/>
      <c r="G112" s="12"/>
    </row>
    <row r="113" customFormat="false" ht="15" hidden="false" customHeight="false" outlineLevel="0" collapsed="false">
      <c r="A113" s="13" t="s">
        <v>288</v>
      </c>
      <c r="B113" s="20" t="n">
        <v>22720</v>
      </c>
      <c r="C113" s="9" t="s">
        <v>289</v>
      </c>
      <c r="D113" s="13" t="s">
        <v>290</v>
      </c>
      <c r="E113" s="13" t="s">
        <v>122</v>
      </c>
      <c r="F113" s="13" t="s">
        <v>22</v>
      </c>
      <c r="G113" s="9"/>
    </row>
    <row r="114" customFormat="false" ht="15" hidden="false" customHeight="false" outlineLevel="0" collapsed="false">
      <c r="A114" s="9" t="s">
        <v>291</v>
      </c>
      <c r="B114" s="20" t="n">
        <v>580</v>
      </c>
      <c r="C114" s="9" t="s">
        <v>292</v>
      </c>
      <c r="D114" s="9" t="s">
        <v>293</v>
      </c>
      <c r="E114" s="13" t="s">
        <v>122</v>
      </c>
      <c r="F114" s="13" t="s">
        <v>22</v>
      </c>
      <c r="G114" s="9"/>
    </row>
    <row r="115" customFormat="false" ht="15" hidden="false" customHeight="false" outlineLevel="0" collapsed="false">
      <c r="A115" s="9" t="s">
        <v>294</v>
      </c>
      <c r="B115" s="20" t="n">
        <v>780</v>
      </c>
      <c r="C115" s="9" t="s">
        <v>292</v>
      </c>
      <c r="D115" s="9"/>
      <c r="E115" s="13" t="s">
        <v>122</v>
      </c>
      <c r="F115" s="13" t="s">
        <v>22</v>
      </c>
      <c r="G115" s="13" t="s">
        <v>295</v>
      </c>
    </row>
    <row r="116" customFormat="false" ht="15" hidden="false" customHeight="false" outlineLevel="0" collapsed="false">
      <c r="A116" s="13" t="s">
        <v>296</v>
      </c>
      <c r="B116" s="20" t="n">
        <v>560</v>
      </c>
      <c r="C116" s="9" t="s">
        <v>292</v>
      </c>
      <c r="D116" s="9"/>
      <c r="E116" s="13" t="s">
        <v>122</v>
      </c>
      <c r="F116" s="13" t="s">
        <v>22</v>
      </c>
      <c r="G116" s="9" t="s">
        <v>297</v>
      </c>
    </row>
    <row r="117" customFormat="false" ht="15" hidden="false" customHeight="false" outlineLevel="0" collapsed="false">
      <c r="A117" s="13" t="s">
        <v>298</v>
      </c>
      <c r="B117" s="20" t="n">
        <v>1120</v>
      </c>
      <c r="C117" s="9" t="s">
        <v>292</v>
      </c>
      <c r="D117" s="9"/>
      <c r="E117" s="13" t="s">
        <v>122</v>
      </c>
      <c r="F117" s="13" t="s">
        <v>22</v>
      </c>
      <c r="G117" s="9" t="s">
        <v>299</v>
      </c>
    </row>
    <row r="118" customFormat="false" ht="15" hidden="false" customHeight="false" outlineLevel="0" collapsed="false">
      <c r="A118" s="13" t="s">
        <v>300</v>
      </c>
      <c r="B118" s="20" t="n">
        <v>300</v>
      </c>
      <c r="C118" s="9" t="s">
        <v>292</v>
      </c>
      <c r="D118" s="9" t="s">
        <v>301</v>
      </c>
      <c r="E118" s="13" t="s">
        <v>122</v>
      </c>
      <c r="F118" s="13" t="s">
        <v>22</v>
      </c>
      <c r="G118" s="9" t="s">
        <v>302</v>
      </c>
    </row>
    <row r="119" customFormat="false" ht="15" hidden="false" customHeight="false" outlineLevel="0" collapsed="false">
      <c r="A119" s="13" t="s">
        <v>303</v>
      </c>
      <c r="B119" s="31" t="n">
        <v>22720</v>
      </c>
      <c r="C119" s="9" t="s">
        <v>289</v>
      </c>
      <c r="D119" s="9" t="s">
        <v>304</v>
      </c>
      <c r="E119" s="13" t="s">
        <v>111</v>
      </c>
      <c r="F119" s="13" t="s">
        <v>22</v>
      </c>
      <c r="G119" s="13" t="s">
        <v>305</v>
      </c>
    </row>
    <row r="120" customFormat="false" ht="15" hidden="false" customHeight="false" outlineLevel="0" collapsed="false">
      <c r="A120" s="9" t="s">
        <v>306</v>
      </c>
      <c r="B120" s="31" t="n">
        <v>780</v>
      </c>
      <c r="C120" s="9" t="s">
        <v>292</v>
      </c>
      <c r="D120" s="9" t="s">
        <v>304</v>
      </c>
      <c r="E120" s="13" t="s">
        <v>111</v>
      </c>
      <c r="F120" s="13" t="s">
        <v>22</v>
      </c>
      <c r="G120" s="9"/>
    </row>
    <row r="121" customFormat="false" ht="15" hidden="false" customHeight="false" outlineLevel="0" collapsed="false">
      <c r="A121" s="13" t="s">
        <v>307</v>
      </c>
      <c r="B121" s="31" t="n">
        <v>1120</v>
      </c>
      <c r="C121" s="9" t="s">
        <v>292</v>
      </c>
      <c r="D121" s="9" t="s">
        <v>304</v>
      </c>
      <c r="E121" s="13" t="s">
        <v>111</v>
      </c>
      <c r="F121" s="13" t="s">
        <v>22</v>
      </c>
      <c r="G121" s="9"/>
    </row>
    <row r="122" customFormat="false" ht="15" hidden="false" customHeight="false" outlineLevel="0" collapsed="false">
      <c r="A122" s="13" t="s">
        <v>308</v>
      </c>
      <c r="B122" s="31" t="n">
        <v>300</v>
      </c>
      <c r="C122" s="9" t="s">
        <v>292</v>
      </c>
      <c r="D122" s="9" t="s">
        <v>304</v>
      </c>
      <c r="E122" s="13" t="s">
        <v>111</v>
      </c>
      <c r="F122" s="13" t="s">
        <v>22</v>
      </c>
      <c r="G122" s="9"/>
    </row>
    <row r="124" customFormat="false" ht="15" hidden="false" customHeight="false" outlineLevel="0" collapsed="false">
      <c r="A124" s="32" t="s">
        <v>309</v>
      </c>
    </row>
    <row r="125" customFormat="false" ht="30" hidden="false" customHeight="true" outlineLevel="0" collapsed="false">
      <c r="A125" s="11" t="s">
        <v>310</v>
      </c>
      <c r="B125" s="11" t="s">
        <v>311</v>
      </c>
      <c r="C125" s="33" t="s">
        <v>312</v>
      </c>
      <c r="D125" s="33" t="s">
        <v>313</v>
      </c>
      <c r="E125" s="33" t="s">
        <v>314</v>
      </c>
      <c r="F125" s="33" t="s">
        <v>315</v>
      </c>
      <c r="G125" s="33" t="s">
        <v>316</v>
      </c>
      <c r="H125" s="33" t="s">
        <v>317</v>
      </c>
      <c r="I125" s="33" t="s">
        <v>318</v>
      </c>
      <c r="J125" s="33" t="s">
        <v>319</v>
      </c>
      <c r="K125" s="33" t="s">
        <v>320</v>
      </c>
      <c r="L125" s="33" t="s">
        <v>321</v>
      </c>
      <c r="M125" s="33" t="s">
        <v>322</v>
      </c>
      <c r="N125" s="33" t="s">
        <v>323</v>
      </c>
      <c r="O125" s="11" t="s">
        <v>324</v>
      </c>
      <c r="P125" s="11" t="s">
        <v>325</v>
      </c>
      <c r="Q125" s="11" t="s">
        <v>15</v>
      </c>
      <c r="R125" s="11" t="s">
        <v>16</v>
      </c>
    </row>
    <row r="126" customFormat="false" ht="15" hidden="false" customHeight="false" outlineLevel="0" collapsed="false">
      <c r="A126" s="13" t="s">
        <v>326</v>
      </c>
      <c r="B126" s="16" t="n">
        <v>2026</v>
      </c>
      <c r="C126" s="34" t="n">
        <v>1600</v>
      </c>
      <c r="D126" s="34" t="n">
        <v>1420</v>
      </c>
      <c r="E126" s="34" t="n">
        <v>1440</v>
      </c>
      <c r="F126" s="34" t="n">
        <v>1580</v>
      </c>
      <c r="G126" s="34" t="n">
        <v>1200</v>
      </c>
      <c r="H126" s="34" t="n">
        <v>1200</v>
      </c>
      <c r="I126" s="34" t="n">
        <v>1360</v>
      </c>
      <c r="J126" s="34" t="n">
        <v>1420</v>
      </c>
      <c r="K126" s="34" t="n">
        <v>1380</v>
      </c>
      <c r="L126" s="34" t="n">
        <v>1480</v>
      </c>
      <c r="M126" s="34" t="n">
        <v>1480</v>
      </c>
      <c r="N126" s="34" t="n">
        <v>1420</v>
      </c>
      <c r="O126" s="35" t="n">
        <f aca="false">IF(COUNT(C126:N126)=0,"미제시",SUM(C126:N126))</f>
        <v>16980</v>
      </c>
      <c r="P126" s="13" t="s">
        <v>327</v>
      </c>
      <c r="Q126" s="13" t="s">
        <v>22</v>
      </c>
      <c r="R126" s="9"/>
    </row>
    <row r="127" customFormat="false" ht="15" hidden="false" customHeight="false" outlineLevel="0" collapsed="false">
      <c r="A127" s="9" t="s">
        <v>328</v>
      </c>
      <c r="B127" s="16" t="n">
        <v>2026</v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5" t="str">
        <f aca="false">IF(COUNT(C127:N127)=0,"미제시",SUM(C127:N127))</f>
        <v>미제시</v>
      </c>
      <c r="P127" s="13" t="s">
        <v>329</v>
      </c>
      <c r="Q127" s="13" t="s">
        <v>22</v>
      </c>
      <c r="R127" s="13" t="s">
        <v>330</v>
      </c>
    </row>
    <row r="128" customFormat="false" ht="15" hidden="false" customHeight="false" outlineLevel="0" collapsed="false">
      <c r="A128" s="13" t="s">
        <v>142</v>
      </c>
      <c r="B128" s="16" t="n">
        <v>2026</v>
      </c>
      <c r="C128" s="34" t="n">
        <v>0</v>
      </c>
      <c r="D128" s="34" t="n">
        <v>0</v>
      </c>
      <c r="E128" s="34" t="n">
        <v>0</v>
      </c>
      <c r="F128" s="34" t="n">
        <v>0</v>
      </c>
      <c r="G128" s="34" t="n">
        <v>0</v>
      </c>
      <c r="H128" s="34" t="n">
        <v>0</v>
      </c>
      <c r="I128" s="34" t="n">
        <v>0</v>
      </c>
      <c r="J128" s="34" t="n">
        <v>0</v>
      </c>
      <c r="K128" s="34" t="n">
        <v>560</v>
      </c>
      <c r="L128" s="34" t="n">
        <v>560</v>
      </c>
      <c r="M128" s="34" t="n">
        <v>560</v>
      </c>
      <c r="N128" s="34" t="n">
        <v>560</v>
      </c>
      <c r="O128" s="35" t="n">
        <f aca="false">IF(COUNT(C128:N128)=0,"미제시",SUM(C128:N128))</f>
        <v>2240</v>
      </c>
      <c r="P128" s="13" t="s">
        <v>327</v>
      </c>
      <c r="Q128" s="13" t="s">
        <v>22</v>
      </c>
      <c r="R128" s="9" t="s">
        <v>331</v>
      </c>
    </row>
    <row r="129" customFormat="false" ht="15" hidden="false" customHeight="false" outlineLevel="0" collapsed="false">
      <c r="A129" s="13" t="s">
        <v>139</v>
      </c>
      <c r="B129" s="16" t="n">
        <v>2026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5" t="str">
        <f aca="false">IF(COUNT(C129:N129)=0,"미제시",SUM(C129:N129))</f>
        <v>미제시</v>
      </c>
      <c r="P129" s="13" t="s">
        <v>329</v>
      </c>
      <c r="Q129" s="13" t="s">
        <v>22</v>
      </c>
      <c r="R129" s="13" t="s">
        <v>330</v>
      </c>
    </row>
    <row r="130" customFormat="false" ht="15" hidden="false" customHeight="false" outlineLevel="0" collapsed="false">
      <c r="A130" s="13" t="s">
        <v>326</v>
      </c>
      <c r="B130" s="16" t="n">
        <v>2027</v>
      </c>
      <c r="C130" s="37" t="n">
        <f aca="false">01_Inputs!$B$113/12</f>
        <v>1893.33333333333</v>
      </c>
      <c r="D130" s="37" t="n">
        <f aca="false">01_Inputs!$B$113/12</f>
        <v>1893.33333333333</v>
      </c>
      <c r="E130" s="37" t="n">
        <f aca="false">01_Inputs!$B$113/12</f>
        <v>1893.33333333333</v>
      </c>
      <c r="F130" s="37" t="n">
        <f aca="false">01_Inputs!$B$113/12</f>
        <v>1893.33333333333</v>
      </c>
      <c r="G130" s="37" t="n">
        <f aca="false">01_Inputs!$B$113/12</f>
        <v>1893.33333333333</v>
      </c>
      <c r="H130" s="37" t="n">
        <f aca="false">01_Inputs!$B$113/12</f>
        <v>1893.33333333333</v>
      </c>
      <c r="I130" s="37" t="n">
        <f aca="false">01_Inputs!$B$113/12</f>
        <v>1893.33333333333</v>
      </c>
      <c r="J130" s="37" t="n">
        <f aca="false">01_Inputs!$B$113/12</f>
        <v>1893.33333333333</v>
      </c>
      <c r="K130" s="37" t="n">
        <f aca="false">01_Inputs!$B$113/12</f>
        <v>1893.33333333333</v>
      </c>
      <c r="L130" s="37" t="n">
        <f aca="false">01_Inputs!$B$113/12</f>
        <v>1893.33333333333</v>
      </c>
      <c r="M130" s="37" t="n">
        <f aca="false">01_Inputs!$B$113/12</f>
        <v>1893.33333333333</v>
      </c>
      <c r="N130" s="37" t="n">
        <f aca="false">01_Inputs!$B$113/12</f>
        <v>1893.33333333333</v>
      </c>
      <c r="O130" s="35" t="n">
        <f aca="false">IF(COUNT(C130:N130)=0,"미제시",SUM(C130:N130))</f>
        <v>22720</v>
      </c>
      <c r="P130" s="13" t="s">
        <v>122</v>
      </c>
      <c r="Q130" s="13" t="s">
        <v>22</v>
      </c>
      <c r="R130" s="9" t="s">
        <v>332</v>
      </c>
    </row>
    <row r="131" customFormat="false" ht="15" hidden="false" customHeight="false" outlineLevel="0" collapsed="false">
      <c r="A131" s="9" t="s">
        <v>328</v>
      </c>
      <c r="B131" s="16" t="n">
        <v>2027</v>
      </c>
      <c r="C131" s="37" t="n">
        <f aca="false">IF(1&lt;3,0,IF(1&lt;7,01_Inputs!$B$114,01_Inputs!$B$115))</f>
        <v>0</v>
      </c>
      <c r="D131" s="37" t="n">
        <f aca="false">IF(2&lt;3,0,IF(2&lt;7,01_Inputs!$B$114,01_Inputs!$B$115))</f>
        <v>0</v>
      </c>
      <c r="E131" s="37" t="n">
        <f aca="false">IF(3&lt;3,0,IF(3&lt;7,01_Inputs!$B$114,01_Inputs!$B$115))</f>
        <v>580</v>
      </c>
      <c r="F131" s="37" t="n">
        <f aca="false">IF(4&lt;3,0,IF(4&lt;7,01_Inputs!$B$114,01_Inputs!$B$115))</f>
        <v>580</v>
      </c>
      <c r="G131" s="37" t="n">
        <f aca="false">IF(5&lt;3,0,IF(5&lt;7,01_Inputs!$B$114,01_Inputs!$B$115))</f>
        <v>580</v>
      </c>
      <c r="H131" s="37" t="n">
        <f aca="false">IF(6&lt;3,0,IF(6&lt;7,01_Inputs!$B$114,01_Inputs!$B$115))</f>
        <v>580</v>
      </c>
      <c r="I131" s="37" t="n">
        <f aca="false">IF(7&lt;3,0,IF(7&lt;7,01_Inputs!$B$114,01_Inputs!$B$115))</f>
        <v>780</v>
      </c>
      <c r="J131" s="37" t="n">
        <f aca="false">IF(8&lt;3,0,IF(8&lt;7,01_Inputs!$B$114,01_Inputs!$B$115))</f>
        <v>780</v>
      </c>
      <c r="K131" s="37" t="n">
        <f aca="false">IF(9&lt;3,0,IF(9&lt;7,01_Inputs!$B$114,01_Inputs!$B$115))</f>
        <v>780</v>
      </c>
      <c r="L131" s="37" t="n">
        <f aca="false">IF(10&lt;3,0,IF(10&lt;7,01_Inputs!$B$114,01_Inputs!$B$115))</f>
        <v>780</v>
      </c>
      <c r="M131" s="37" t="n">
        <f aca="false">IF(11&lt;3,0,IF(11&lt;7,01_Inputs!$B$114,01_Inputs!$B$115))</f>
        <v>780</v>
      </c>
      <c r="N131" s="37" t="n">
        <f aca="false">IF(12&lt;3,0,IF(12&lt;7,01_Inputs!$B$114,01_Inputs!$B$115))</f>
        <v>780</v>
      </c>
      <c r="O131" s="35" t="n">
        <f aca="false">IF(COUNT(C131:N131)=0,"미제시",SUM(C131:N131))</f>
        <v>7000</v>
      </c>
      <c r="P131" s="13" t="s">
        <v>122</v>
      </c>
      <c r="Q131" s="13" t="s">
        <v>22</v>
      </c>
      <c r="R131" s="9" t="s">
        <v>333</v>
      </c>
    </row>
    <row r="132" customFormat="false" ht="15" hidden="false" customHeight="false" outlineLevel="0" collapsed="false">
      <c r="A132" s="13" t="s">
        <v>142</v>
      </c>
      <c r="B132" s="16" t="n">
        <v>2027</v>
      </c>
      <c r="C132" s="37" t="n">
        <f aca="false">IF(1&lt;7,01_Inputs!$B$116,01_Inputs!$B$117)</f>
        <v>560</v>
      </c>
      <c r="D132" s="37" t="n">
        <f aca="false">IF(2&lt;7,01_Inputs!$B$116,01_Inputs!$B$117)</f>
        <v>560</v>
      </c>
      <c r="E132" s="37" t="n">
        <f aca="false">IF(3&lt;7,01_Inputs!$B$116,01_Inputs!$B$117)</f>
        <v>560</v>
      </c>
      <c r="F132" s="37" t="n">
        <f aca="false">IF(4&lt;7,01_Inputs!$B$116,01_Inputs!$B$117)</f>
        <v>560</v>
      </c>
      <c r="G132" s="37" t="n">
        <f aca="false">IF(5&lt;7,01_Inputs!$B$116,01_Inputs!$B$117)</f>
        <v>560</v>
      </c>
      <c r="H132" s="37" t="n">
        <f aca="false">IF(6&lt;7,01_Inputs!$B$116,01_Inputs!$B$117)</f>
        <v>560</v>
      </c>
      <c r="I132" s="37" t="n">
        <f aca="false">IF(7&lt;7,01_Inputs!$B$116,01_Inputs!$B$117)</f>
        <v>1120</v>
      </c>
      <c r="J132" s="37" t="n">
        <f aca="false">IF(8&lt;7,01_Inputs!$B$116,01_Inputs!$B$117)</f>
        <v>1120</v>
      </c>
      <c r="K132" s="37" t="n">
        <f aca="false">IF(9&lt;7,01_Inputs!$B$116,01_Inputs!$B$117)</f>
        <v>1120</v>
      </c>
      <c r="L132" s="37" t="n">
        <f aca="false">IF(10&lt;7,01_Inputs!$B$116,01_Inputs!$B$117)</f>
        <v>1120</v>
      </c>
      <c r="M132" s="37" t="n">
        <f aca="false">IF(11&lt;7,01_Inputs!$B$116,01_Inputs!$B$117)</f>
        <v>1120</v>
      </c>
      <c r="N132" s="37" t="n">
        <f aca="false">IF(12&lt;7,01_Inputs!$B$116,01_Inputs!$B$117)</f>
        <v>1120</v>
      </c>
      <c r="O132" s="35" t="n">
        <f aca="false">IF(COUNT(C132:N132)=0,"미제시",SUM(C132:N132))</f>
        <v>10080</v>
      </c>
      <c r="P132" s="13" t="s">
        <v>122</v>
      </c>
      <c r="Q132" s="13" t="s">
        <v>22</v>
      </c>
      <c r="R132" s="9" t="s">
        <v>334</v>
      </c>
    </row>
    <row r="133" customFormat="false" ht="15" hidden="false" customHeight="false" outlineLevel="0" collapsed="false">
      <c r="A133" s="13" t="s">
        <v>139</v>
      </c>
      <c r="B133" s="16" t="n">
        <v>2027</v>
      </c>
      <c r="C133" s="37" t="n">
        <f aca="false">01_Inputs!$B$118</f>
        <v>300</v>
      </c>
      <c r="D133" s="37" t="n">
        <f aca="false">01_Inputs!$B$118</f>
        <v>300</v>
      </c>
      <c r="E133" s="37" t="n">
        <f aca="false">01_Inputs!$B$118</f>
        <v>300</v>
      </c>
      <c r="F133" s="37" t="n">
        <f aca="false">01_Inputs!$B$118</f>
        <v>300</v>
      </c>
      <c r="G133" s="37" t="n">
        <f aca="false">01_Inputs!$B$118</f>
        <v>300</v>
      </c>
      <c r="H133" s="37" t="n">
        <f aca="false">01_Inputs!$B$118</f>
        <v>300</v>
      </c>
      <c r="I133" s="37" t="n">
        <f aca="false">01_Inputs!$B$118</f>
        <v>300</v>
      </c>
      <c r="J133" s="37" t="n">
        <f aca="false">01_Inputs!$B$118</f>
        <v>300</v>
      </c>
      <c r="K133" s="37" t="n">
        <f aca="false">01_Inputs!$B$118</f>
        <v>300</v>
      </c>
      <c r="L133" s="37" t="n">
        <f aca="false">01_Inputs!$B$118</f>
        <v>300</v>
      </c>
      <c r="M133" s="37" t="n">
        <f aca="false">01_Inputs!$B$118</f>
        <v>300</v>
      </c>
      <c r="N133" s="37" t="n">
        <f aca="false">01_Inputs!$B$118</f>
        <v>300</v>
      </c>
      <c r="O133" s="35" t="n">
        <f aca="false">IF(COUNT(C133:N133)=0,"미제시",SUM(C133:N133))</f>
        <v>3600</v>
      </c>
      <c r="P133" s="13" t="s">
        <v>122</v>
      </c>
      <c r="Q133" s="13" t="s">
        <v>22</v>
      </c>
      <c r="R133" s="13" t="s">
        <v>335</v>
      </c>
    </row>
    <row r="134" customFormat="false" ht="15" hidden="false" customHeight="false" outlineLevel="0" collapsed="false">
      <c r="A134" s="13" t="s">
        <v>326</v>
      </c>
      <c r="B134" s="16" t="n">
        <v>2028</v>
      </c>
      <c r="C134" s="37" t="n">
        <f aca="false">01_Inputs!$B$119/12</f>
        <v>1893.33333333333</v>
      </c>
      <c r="D134" s="37" t="n">
        <f aca="false">01_Inputs!$B$119/12</f>
        <v>1893.33333333333</v>
      </c>
      <c r="E134" s="37" t="n">
        <f aca="false">01_Inputs!$B$119/12</f>
        <v>1893.33333333333</v>
      </c>
      <c r="F134" s="37" t="n">
        <f aca="false">01_Inputs!$B$119/12</f>
        <v>1893.33333333333</v>
      </c>
      <c r="G134" s="37" t="n">
        <f aca="false">01_Inputs!$B$119/12</f>
        <v>1893.33333333333</v>
      </c>
      <c r="H134" s="37" t="n">
        <f aca="false">01_Inputs!$B$119/12</f>
        <v>1893.33333333333</v>
      </c>
      <c r="I134" s="37" t="n">
        <f aca="false">01_Inputs!$B$119/12</f>
        <v>1893.33333333333</v>
      </c>
      <c r="J134" s="37" t="n">
        <f aca="false">01_Inputs!$B$119/12</f>
        <v>1893.33333333333</v>
      </c>
      <c r="K134" s="37" t="n">
        <f aca="false">01_Inputs!$B$119/12</f>
        <v>1893.33333333333</v>
      </c>
      <c r="L134" s="37" t="n">
        <f aca="false">01_Inputs!$B$119/12</f>
        <v>1893.33333333333</v>
      </c>
      <c r="M134" s="37" t="n">
        <f aca="false">01_Inputs!$B$119/12</f>
        <v>1893.33333333333</v>
      </c>
      <c r="N134" s="37" t="n">
        <f aca="false">01_Inputs!$B$119/12</f>
        <v>1893.33333333333</v>
      </c>
      <c r="O134" s="35" t="n">
        <f aca="false">IF(COUNT(C134:N134)=0,"미제시",SUM(C134:N134))</f>
        <v>22720</v>
      </c>
      <c r="P134" s="13" t="s">
        <v>111</v>
      </c>
      <c r="Q134" s="13" t="s">
        <v>22</v>
      </c>
      <c r="R134" s="9" t="s">
        <v>304</v>
      </c>
    </row>
    <row r="135" customFormat="false" ht="15" hidden="false" customHeight="false" outlineLevel="0" collapsed="false">
      <c r="A135" s="9" t="s">
        <v>328</v>
      </c>
      <c r="B135" s="16" t="n">
        <v>2028</v>
      </c>
      <c r="C135" s="37" t="n">
        <f aca="false">01_Inputs!$B$120</f>
        <v>780</v>
      </c>
      <c r="D135" s="37" t="n">
        <f aca="false">01_Inputs!$B$120</f>
        <v>780</v>
      </c>
      <c r="E135" s="37" t="n">
        <f aca="false">01_Inputs!$B$120</f>
        <v>780</v>
      </c>
      <c r="F135" s="37" t="n">
        <f aca="false">01_Inputs!$B$120</f>
        <v>780</v>
      </c>
      <c r="G135" s="37" t="n">
        <f aca="false">01_Inputs!$B$120</f>
        <v>780</v>
      </c>
      <c r="H135" s="37" t="n">
        <f aca="false">01_Inputs!$B$120</f>
        <v>780</v>
      </c>
      <c r="I135" s="37" t="n">
        <f aca="false">01_Inputs!$B$120</f>
        <v>780</v>
      </c>
      <c r="J135" s="37" t="n">
        <f aca="false">01_Inputs!$B$120</f>
        <v>780</v>
      </c>
      <c r="K135" s="37" t="n">
        <f aca="false">01_Inputs!$B$120</f>
        <v>780</v>
      </c>
      <c r="L135" s="37" t="n">
        <f aca="false">01_Inputs!$B$120</f>
        <v>780</v>
      </c>
      <c r="M135" s="37" t="n">
        <f aca="false">01_Inputs!$B$120</f>
        <v>780</v>
      </c>
      <c r="N135" s="37" t="n">
        <f aca="false">01_Inputs!$B$120</f>
        <v>780</v>
      </c>
      <c r="O135" s="35" t="n">
        <f aca="false">IF(COUNT(C135:N135)=0,"미제시",SUM(C135:N135))</f>
        <v>9360</v>
      </c>
      <c r="P135" s="13" t="s">
        <v>111</v>
      </c>
      <c r="Q135" s="13" t="s">
        <v>22</v>
      </c>
      <c r="R135" s="9" t="s">
        <v>304</v>
      </c>
    </row>
    <row r="136" customFormat="false" ht="15" hidden="false" customHeight="false" outlineLevel="0" collapsed="false">
      <c r="A136" s="13" t="s">
        <v>142</v>
      </c>
      <c r="B136" s="16" t="n">
        <v>2028</v>
      </c>
      <c r="C136" s="37" t="n">
        <f aca="false">01_Inputs!$B$121</f>
        <v>1120</v>
      </c>
      <c r="D136" s="37" t="n">
        <f aca="false">01_Inputs!$B$121</f>
        <v>1120</v>
      </c>
      <c r="E136" s="37" t="n">
        <f aca="false">01_Inputs!$B$121</f>
        <v>1120</v>
      </c>
      <c r="F136" s="37" t="n">
        <f aca="false">01_Inputs!$B$121</f>
        <v>1120</v>
      </c>
      <c r="G136" s="37" t="n">
        <f aca="false">01_Inputs!$B$121</f>
        <v>1120</v>
      </c>
      <c r="H136" s="37" t="n">
        <f aca="false">01_Inputs!$B$121</f>
        <v>1120</v>
      </c>
      <c r="I136" s="37" t="n">
        <f aca="false">01_Inputs!$B$121</f>
        <v>1120</v>
      </c>
      <c r="J136" s="37" t="n">
        <f aca="false">01_Inputs!$B$121</f>
        <v>1120</v>
      </c>
      <c r="K136" s="37" t="n">
        <f aca="false">01_Inputs!$B$121</f>
        <v>1120</v>
      </c>
      <c r="L136" s="37" t="n">
        <f aca="false">01_Inputs!$B$121</f>
        <v>1120</v>
      </c>
      <c r="M136" s="37" t="n">
        <f aca="false">01_Inputs!$B$121</f>
        <v>1120</v>
      </c>
      <c r="N136" s="37" t="n">
        <f aca="false">01_Inputs!$B$121</f>
        <v>1120</v>
      </c>
      <c r="O136" s="35" t="n">
        <f aca="false">IF(COUNT(C136:N136)=0,"미제시",SUM(C136:N136))</f>
        <v>13440</v>
      </c>
      <c r="P136" s="13" t="s">
        <v>111</v>
      </c>
      <c r="Q136" s="13" t="s">
        <v>22</v>
      </c>
      <c r="R136" s="9" t="s">
        <v>304</v>
      </c>
    </row>
    <row r="137" customFormat="false" ht="15" hidden="false" customHeight="false" outlineLevel="0" collapsed="false">
      <c r="A137" s="13" t="s">
        <v>139</v>
      </c>
      <c r="B137" s="16" t="n">
        <v>2028</v>
      </c>
      <c r="C137" s="37" t="n">
        <f aca="false">01_Inputs!$B$122</f>
        <v>300</v>
      </c>
      <c r="D137" s="37" t="n">
        <f aca="false">01_Inputs!$B$122</f>
        <v>300</v>
      </c>
      <c r="E137" s="37" t="n">
        <f aca="false">01_Inputs!$B$122</f>
        <v>300</v>
      </c>
      <c r="F137" s="37" t="n">
        <f aca="false">01_Inputs!$B$122</f>
        <v>300</v>
      </c>
      <c r="G137" s="37" t="n">
        <f aca="false">01_Inputs!$B$122</f>
        <v>300</v>
      </c>
      <c r="H137" s="37" t="n">
        <f aca="false">01_Inputs!$B$122</f>
        <v>300</v>
      </c>
      <c r="I137" s="37" t="n">
        <f aca="false">01_Inputs!$B$122</f>
        <v>300</v>
      </c>
      <c r="J137" s="37" t="n">
        <f aca="false">01_Inputs!$B$122</f>
        <v>300</v>
      </c>
      <c r="K137" s="37" t="n">
        <f aca="false">01_Inputs!$B$122</f>
        <v>300</v>
      </c>
      <c r="L137" s="37" t="n">
        <f aca="false">01_Inputs!$B$122</f>
        <v>300</v>
      </c>
      <c r="M137" s="37" t="n">
        <f aca="false">01_Inputs!$B$122</f>
        <v>300</v>
      </c>
      <c r="N137" s="37" t="n">
        <f aca="false">01_Inputs!$B$122</f>
        <v>300</v>
      </c>
      <c r="O137" s="35" t="n">
        <f aca="false">IF(COUNT(C137:N137)=0,"미제시",SUM(C137:N137))</f>
        <v>3600</v>
      </c>
      <c r="P137" s="13" t="s">
        <v>111</v>
      </c>
      <c r="Q137" s="13" t="s">
        <v>22</v>
      </c>
      <c r="R137" s="9" t="s">
        <v>304</v>
      </c>
    </row>
    <row r="138" customFormat="false" ht="15" hidden="false" customHeight="false" outlineLevel="0" collapsed="false">
      <c r="A138" s="38" t="s">
        <v>336</v>
      </c>
      <c r="B138" s="16" t="n">
        <v>2026</v>
      </c>
      <c r="C138" s="35" t="n">
        <f aca="false">N(C126)+N(C127)+N(C128)+N(C129)</f>
        <v>1600</v>
      </c>
      <c r="D138" s="35" t="n">
        <f aca="false">N(D126)+N(D127)+N(D128)+N(D129)</f>
        <v>1420</v>
      </c>
      <c r="E138" s="35" t="n">
        <f aca="false">N(E126)+N(E127)+N(E128)+N(E129)</f>
        <v>1440</v>
      </c>
      <c r="F138" s="35" t="n">
        <f aca="false">N(F126)+N(F127)+N(F128)+N(F129)</f>
        <v>1580</v>
      </c>
      <c r="G138" s="35" t="n">
        <f aca="false">N(G126)+N(G127)+N(G128)+N(G129)</f>
        <v>1200</v>
      </c>
      <c r="H138" s="35" t="n">
        <f aca="false">N(H126)+N(H127)+N(H128)+N(H129)</f>
        <v>1200</v>
      </c>
      <c r="I138" s="35" t="n">
        <f aca="false">N(I126)+N(I127)+N(I128)+N(I129)</f>
        <v>1360</v>
      </c>
      <c r="J138" s="35" t="n">
        <f aca="false">N(J126)+N(J127)+N(J128)+N(J129)</f>
        <v>1420</v>
      </c>
      <c r="K138" s="35" t="n">
        <f aca="false">N(K126)+N(K127)+N(K128)+N(K129)</f>
        <v>1940</v>
      </c>
      <c r="L138" s="35" t="n">
        <f aca="false">N(L126)+N(L127)+N(L128)+N(L129)</f>
        <v>2040</v>
      </c>
      <c r="M138" s="35" t="n">
        <f aca="false">N(M126)+N(M127)+N(M128)+N(M129)</f>
        <v>2040</v>
      </c>
      <c r="N138" s="35" t="n">
        <f aca="false">N(N126)+N(N127)+N(N128)+N(N129)</f>
        <v>1980</v>
      </c>
      <c r="O138" s="35" t="n">
        <f aca="false">SUM(C138:N138)</f>
        <v>19220</v>
      </c>
      <c r="P138" s="13" t="s">
        <v>337</v>
      </c>
      <c r="Q138" s="13" t="s">
        <v>35</v>
      </c>
      <c r="R138" s="9" t="s">
        <v>338</v>
      </c>
    </row>
    <row r="139" customFormat="false" ht="15" hidden="false" customHeight="false" outlineLevel="0" collapsed="false">
      <c r="A139" s="38" t="s">
        <v>339</v>
      </c>
      <c r="B139" s="16" t="n">
        <v>2027</v>
      </c>
      <c r="C139" s="35" t="n">
        <f aca="false">N(C130)+N(C131)+N(C132)+N(C133)</f>
        <v>2753.33333333333</v>
      </c>
      <c r="D139" s="35" t="n">
        <f aca="false">N(D130)+N(D131)+N(D132)+N(D133)</f>
        <v>2753.33333333333</v>
      </c>
      <c r="E139" s="35" t="n">
        <f aca="false">N(E130)+N(E131)+N(E132)+N(E133)</f>
        <v>3333.33333333333</v>
      </c>
      <c r="F139" s="35" t="n">
        <f aca="false">N(F130)+N(F131)+N(F132)+N(F133)</f>
        <v>3333.33333333333</v>
      </c>
      <c r="G139" s="35" t="n">
        <f aca="false">N(G130)+N(G131)+N(G132)+N(G133)</f>
        <v>3333.33333333333</v>
      </c>
      <c r="H139" s="35" t="n">
        <f aca="false">N(H130)+N(H131)+N(H132)+N(H133)</f>
        <v>3333.33333333333</v>
      </c>
      <c r="I139" s="35" t="n">
        <f aca="false">N(I130)+N(I131)+N(I132)+N(I133)</f>
        <v>4093.33333333333</v>
      </c>
      <c r="J139" s="35" t="n">
        <f aca="false">N(J130)+N(J131)+N(J132)+N(J133)</f>
        <v>4093.33333333333</v>
      </c>
      <c r="K139" s="35" t="n">
        <f aca="false">N(K130)+N(K131)+N(K132)+N(K133)</f>
        <v>4093.33333333333</v>
      </c>
      <c r="L139" s="35" t="n">
        <f aca="false">N(L130)+N(L131)+N(L132)+N(L133)</f>
        <v>4093.33333333333</v>
      </c>
      <c r="M139" s="35" t="n">
        <f aca="false">N(M130)+N(M131)+N(M132)+N(M133)</f>
        <v>4093.33333333333</v>
      </c>
      <c r="N139" s="35" t="n">
        <f aca="false">N(N130)+N(N131)+N(N132)+N(N133)</f>
        <v>4093.33333333333</v>
      </c>
      <c r="O139" s="35" t="n">
        <f aca="false">SUM(C139:N139)</f>
        <v>43400</v>
      </c>
      <c r="P139" s="13" t="s">
        <v>337</v>
      </c>
      <c r="Q139" s="13" t="s">
        <v>35</v>
      </c>
      <c r="R139" s="13" t="s">
        <v>340</v>
      </c>
    </row>
    <row r="140" customFormat="false" ht="15" hidden="false" customHeight="false" outlineLevel="0" collapsed="false">
      <c r="A140" s="38" t="s">
        <v>341</v>
      </c>
      <c r="B140" s="16" t="n">
        <v>2028</v>
      </c>
      <c r="C140" s="35" t="n">
        <f aca="false">N(C134)+N(C135)+N(C136)+N(C137)</f>
        <v>4093.33333333333</v>
      </c>
      <c r="D140" s="35" t="n">
        <f aca="false">N(D134)+N(D135)+N(D136)+N(D137)</f>
        <v>4093.33333333333</v>
      </c>
      <c r="E140" s="35" t="n">
        <f aca="false">N(E134)+N(E135)+N(E136)+N(E137)</f>
        <v>4093.33333333333</v>
      </c>
      <c r="F140" s="35" t="n">
        <f aca="false">N(F134)+N(F135)+N(F136)+N(F137)</f>
        <v>4093.33333333333</v>
      </c>
      <c r="G140" s="35" t="n">
        <f aca="false">N(G134)+N(G135)+N(G136)+N(G137)</f>
        <v>4093.33333333333</v>
      </c>
      <c r="H140" s="35" t="n">
        <f aca="false">N(H134)+N(H135)+N(H136)+N(H137)</f>
        <v>4093.33333333333</v>
      </c>
      <c r="I140" s="35" t="n">
        <f aca="false">N(I134)+N(I135)+N(I136)+N(I137)</f>
        <v>4093.33333333333</v>
      </c>
      <c r="J140" s="35" t="n">
        <f aca="false">N(J134)+N(J135)+N(J136)+N(J137)</f>
        <v>4093.33333333333</v>
      </c>
      <c r="K140" s="35" t="n">
        <f aca="false">N(K134)+N(K135)+N(K136)+N(K137)</f>
        <v>4093.33333333333</v>
      </c>
      <c r="L140" s="35" t="n">
        <f aca="false">N(L134)+N(L135)+N(L136)+N(L137)</f>
        <v>4093.33333333333</v>
      </c>
      <c r="M140" s="35" t="n">
        <f aca="false">N(M134)+N(M135)+N(M136)+N(M137)</f>
        <v>4093.33333333333</v>
      </c>
      <c r="N140" s="35" t="n">
        <f aca="false">N(N134)+N(N135)+N(N136)+N(N137)</f>
        <v>4093.33333333333</v>
      </c>
      <c r="O140" s="35" t="n">
        <f aca="false">SUM(C140:N140)</f>
        <v>49120</v>
      </c>
      <c r="P140" s="13" t="s">
        <v>337</v>
      </c>
      <c r="Q140" s="13" t="s">
        <v>35</v>
      </c>
      <c r="R140" s="13" t="s">
        <v>342</v>
      </c>
    </row>
    <row r="141" customFormat="false" ht="15" hidden="false" customHeight="false" outlineLevel="0" collapsed="false">
      <c r="A141" s="13" t="s">
        <v>343</v>
      </c>
      <c r="O141" s="39" t="str">
        <f aca="false">IF(ABS(O138-19220)&lt;0.001,"일치","불일치")</f>
        <v>일치</v>
      </c>
    </row>
    <row r="142" customFormat="false" ht="15" hidden="false" customHeight="false" outlineLevel="0" collapsed="false">
      <c r="A142" s="13" t="s">
        <v>344</v>
      </c>
      <c r="O142" s="39" t="str">
        <f aca="false">IF(ABS(O139-43400)&lt;0.001,"일치","불일치")</f>
        <v>일치</v>
      </c>
    </row>
    <row r="143" customFormat="false" ht="15" hidden="false" customHeight="false" outlineLevel="0" collapsed="false">
      <c r="A143" s="13" t="s">
        <v>345</v>
      </c>
      <c r="O143" s="39" t="str">
        <f aca="false">IF(ABS(O140-49120)&lt;0.001,"일치","불일치")</f>
        <v>일치</v>
      </c>
    </row>
  </sheetData>
  <autoFilter ref="A5:G122"/>
  <conditionalFormatting sqref="O141">
    <cfRule type="cellIs" priority="2" operator="equal" aboveAverage="0" equalAverage="0" bottom="0" percent="0" rank="0" text="" dxfId="11">
      <formula>"불일치"</formula>
    </cfRule>
  </conditionalFormatting>
  <conditionalFormatting sqref="O142">
    <cfRule type="cellIs" priority="3" operator="equal" aboveAverage="0" equalAverage="0" bottom="0" percent="0" rank="0" text="" dxfId="11">
      <formula>"불일치"</formula>
    </cfRule>
  </conditionalFormatting>
  <conditionalFormatting sqref="O143">
    <cfRule type="cellIs" priority="4" operator="equal" aboveAverage="0" equalAverage="0" bottom="0" percent="0" rank="0" text="" dxfId="11">
      <formula>"불일치"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8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6"/>
    <col collapsed="false" customWidth="true" hidden="false" outlineLevel="0" max="17" min="16" style="0" width="8"/>
    <col collapsed="false" customWidth="true" hidden="false" outlineLevel="0" max="18" min="18" style="0" width="7"/>
    <col collapsed="false" customWidth="true" hidden="false" outlineLevel="0" max="19" min="19" style="0" width="10"/>
    <col collapsed="false" customWidth="true" hidden="false" outlineLevel="0" max="23" min="20" style="0" width="9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20"/>
  </cols>
  <sheetData>
    <row r="1" customFormat="false" ht="21.6" hidden="false" customHeight="false" outlineLevel="0" collapsed="false">
      <c r="A1" s="1" t="s">
        <v>346</v>
      </c>
    </row>
    <row r="2" customFormat="false" ht="15" hidden="false" customHeight="false" outlineLevel="0" collapsed="false">
      <c r="A2" s="40" t="s">
        <v>347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2</v>
      </c>
      <c r="D3" s="4" t="s">
        <v>4</v>
      </c>
      <c r="E3" s="6" t="s">
        <v>2</v>
      </c>
      <c r="F3" s="4" t="s">
        <v>5</v>
      </c>
      <c r="G3" s="7" t="s">
        <v>2</v>
      </c>
      <c r="H3" s="4" t="s">
        <v>6</v>
      </c>
      <c r="I3" s="8" t="s">
        <v>2</v>
      </c>
      <c r="J3" s="4" t="s">
        <v>7</v>
      </c>
      <c r="K3" s="9" t="s">
        <v>2</v>
      </c>
      <c r="L3" s="4" t="s">
        <v>8</v>
      </c>
      <c r="M3" s="10" t="s">
        <v>2</v>
      </c>
      <c r="N3" s="4" t="s">
        <v>9</v>
      </c>
    </row>
    <row r="5" customFormat="false" ht="42" hidden="false" customHeight="true" outlineLevel="0" collapsed="false">
      <c r="A5" s="33" t="s">
        <v>348</v>
      </c>
      <c r="B5" s="11" t="s">
        <v>349</v>
      </c>
      <c r="C5" s="11" t="s">
        <v>350</v>
      </c>
      <c r="D5" s="33" t="s">
        <v>351</v>
      </c>
      <c r="E5" s="11" t="s">
        <v>352</v>
      </c>
      <c r="F5" s="11" t="s">
        <v>353</v>
      </c>
      <c r="G5" s="11" t="s">
        <v>354</v>
      </c>
      <c r="H5" s="11" t="s">
        <v>355</v>
      </c>
      <c r="I5" s="11" t="s">
        <v>356</v>
      </c>
      <c r="J5" s="11" t="s">
        <v>357</v>
      </c>
      <c r="K5" s="11" t="s">
        <v>358</v>
      </c>
      <c r="L5" s="11" t="s">
        <v>359</v>
      </c>
      <c r="M5" s="11" t="s">
        <v>360</v>
      </c>
      <c r="N5" s="11" t="s">
        <v>361</v>
      </c>
      <c r="O5" s="41" t="s">
        <v>362</v>
      </c>
      <c r="P5" s="41" t="s">
        <v>363</v>
      </c>
      <c r="Q5" s="41" t="s">
        <v>364</v>
      </c>
      <c r="R5" s="41" t="s">
        <v>365</v>
      </c>
      <c r="S5" s="41" t="s">
        <v>366</v>
      </c>
      <c r="T5" s="41" t="s">
        <v>367</v>
      </c>
      <c r="U5" s="41" t="s">
        <v>368</v>
      </c>
      <c r="V5" s="41" t="s">
        <v>369</v>
      </c>
      <c r="W5" s="41" t="s">
        <v>370</v>
      </c>
      <c r="X5" s="41" t="s">
        <v>371</v>
      </c>
      <c r="Y5" s="41" t="s">
        <v>372</v>
      </c>
      <c r="Z5" s="41" t="s">
        <v>373</v>
      </c>
    </row>
    <row r="6" customFormat="false" ht="26.85" hidden="false" customHeight="false" outlineLevel="0" collapsed="false">
      <c r="A6" s="9" t="n">
        <v>1</v>
      </c>
      <c r="B6" s="9" t="s">
        <v>374</v>
      </c>
      <c r="C6" s="9" t="s">
        <v>375</v>
      </c>
      <c r="D6" s="3" t="n">
        <v>37</v>
      </c>
      <c r="E6" s="21" t="n">
        <v>46165</v>
      </c>
      <c r="F6" s="5"/>
      <c r="G6" s="5"/>
      <c r="H6" s="13" t="s">
        <v>376</v>
      </c>
      <c r="I6" s="42" t="s">
        <v>377</v>
      </c>
      <c r="J6" s="5"/>
      <c r="K6" s="3" t="s">
        <v>378</v>
      </c>
      <c r="L6" s="3" t="n">
        <v>23</v>
      </c>
      <c r="M6" s="21" t="n">
        <v>46165</v>
      </c>
      <c r="N6" s="13" t="str">
        <f aca="false">IF(AND(E6=M6,DAY(E6)=L6,K6=MONTH(E6)&amp;"/"&amp;DAY(E6)),"일치","차이 확인")</f>
        <v>일치</v>
      </c>
      <c r="O6" s="9" t="n">
        <f aca="false">MONTH(E6)</f>
        <v>5</v>
      </c>
      <c r="P6" s="9" t="n">
        <f aca="false">IF(AND(D6&gt;01_Inputs!$B$97,D6&lt;=01_Inputs!$B$98),1,0)</f>
        <v>0</v>
      </c>
      <c r="Q6" s="9" t="str">
        <f aca="false">"-"</f>
        <v>-</v>
      </c>
      <c r="R6" s="9" t="str">
        <f aca="false">IF(COUNTIF($D$6:$D$61,D6)&gt;1,"중복","-")</f>
        <v>-</v>
      </c>
      <c r="S6" s="16"/>
      <c r="T6" s="9"/>
      <c r="U6" s="16"/>
      <c r="V6" s="16"/>
      <c r="W6" s="16"/>
      <c r="X6" s="16" t="str">
        <f aca="false">IF(ROW()-6&gt;=01_Inputs!$B$99,E6-INDEX($E$6:$E$61,ROW()-6+1-01_Inputs!$B$99),"")</f>
        <v/>
      </c>
      <c r="Y6" s="15" t="str">
        <f aca="false">IF(ISNUMBER(X6),(X6+1)*24/01_Inputs!$B$99,"")</f>
        <v/>
      </c>
      <c r="Z6" s="9" t="str">
        <f aca="false">IF(ISNUMBER(Y6),IF(Y6&lt;(01_Inputs!$B$15+01_Inputs!$B$16+N(01_Inputs!$B$22)),"확인 필요: 점유 하한 미만",""),"")</f>
        <v/>
      </c>
    </row>
    <row r="7" customFormat="false" ht="26.85" hidden="false" customHeight="false" outlineLevel="0" collapsed="false">
      <c r="A7" s="9" t="n">
        <v>2</v>
      </c>
      <c r="B7" s="9" t="s">
        <v>374</v>
      </c>
      <c r="C7" s="9" t="s">
        <v>375</v>
      </c>
      <c r="D7" s="3" t="n">
        <v>38</v>
      </c>
      <c r="E7" s="21" t="n">
        <v>46168</v>
      </c>
      <c r="F7" s="5"/>
      <c r="G7" s="5"/>
      <c r="H7" s="13" t="s">
        <v>376</v>
      </c>
      <c r="I7" s="42" t="s">
        <v>377</v>
      </c>
      <c r="J7" s="5"/>
      <c r="K7" s="3" t="s">
        <v>379</v>
      </c>
      <c r="L7" s="3" t="n">
        <v>26</v>
      </c>
      <c r="M7" s="21" t="n">
        <v>46168</v>
      </c>
      <c r="N7" s="13" t="str">
        <f aca="false">IF(AND(E7=M7,DAY(E7)=L7,K7=MONTH(E7)&amp;"/"&amp;DAY(E7)),"일치","차이 확인")</f>
        <v>일치</v>
      </c>
      <c r="O7" s="9" t="n">
        <f aca="false">MONTH(E7)</f>
        <v>5</v>
      </c>
      <c r="P7" s="9" t="n">
        <f aca="false">IF(AND(D7&gt;01_Inputs!$B$97,D7&lt;=01_Inputs!$B$98),1,0)</f>
        <v>0</v>
      </c>
      <c r="Q7" s="9" t="str">
        <f aca="false">IF(D7-D6=1,"연속","확인")</f>
        <v>연속</v>
      </c>
      <c r="R7" s="9" t="str">
        <f aca="false">IF(COUNTIF($D$6:$D$61,D7)&gt;1,"중복","-")</f>
        <v>-</v>
      </c>
      <c r="S7" s="16" t="n">
        <f aca="false">E7-E6</f>
        <v>3</v>
      </c>
      <c r="T7" s="9" t="str">
        <f aca="false">IF(MONTH(E7)&lt;&gt;MONTH(E6),"월 경계","")</f>
        <v/>
      </c>
      <c r="U7" s="16" t="n">
        <f aca="false">S7*24</f>
        <v>72</v>
      </c>
      <c r="V7" s="16" t="n">
        <f aca="false">MAX(0,(S7-1)*24)</f>
        <v>48</v>
      </c>
      <c r="W7" s="16" t="n">
        <f aca="false">(S7+1)*24</f>
        <v>96</v>
      </c>
      <c r="X7" s="16" t="str">
        <f aca="false">IF(ROW()-6&gt;=01_Inputs!$B$99,E7-INDEX($E$6:$E$61,ROW()-6+1-01_Inputs!$B$99),"")</f>
        <v/>
      </c>
      <c r="Y7" s="15" t="str">
        <f aca="false">IF(ISNUMBER(X7),(X7+1)*24/01_Inputs!$B$99,"")</f>
        <v/>
      </c>
      <c r="Z7" s="9" t="str">
        <f aca="false">IF(ISNUMBER(Y7),IF(Y7&lt;(01_Inputs!$B$15+01_Inputs!$B$16+N(01_Inputs!$B$22)),"확인 필요: 점유 하한 미만",""),"")</f>
        <v/>
      </c>
    </row>
    <row r="8" customFormat="false" ht="26.85" hidden="false" customHeight="false" outlineLevel="0" collapsed="false">
      <c r="A8" s="9" t="n">
        <v>3</v>
      </c>
      <c r="B8" s="9" t="s">
        <v>374</v>
      </c>
      <c r="C8" s="9" t="s">
        <v>375</v>
      </c>
      <c r="D8" s="3" t="n">
        <v>39</v>
      </c>
      <c r="E8" s="21" t="n">
        <v>46175</v>
      </c>
      <c r="F8" s="5"/>
      <c r="G8" s="5"/>
      <c r="H8" s="13" t="s">
        <v>376</v>
      </c>
      <c r="I8" s="42" t="s">
        <v>380</v>
      </c>
      <c r="J8" s="5"/>
      <c r="K8" s="3" t="s">
        <v>254</v>
      </c>
      <c r="L8" s="3" t="n">
        <v>2</v>
      </c>
      <c r="M8" s="21" t="n">
        <v>46175</v>
      </c>
      <c r="N8" s="13" t="str">
        <f aca="false">IF(AND(E8=M8,DAY(E8)=L8,K8=MONTH(E8)&amp;"/"&amp;DAY(E8)),"일치","차이 확인")</f>
        <v>일치</v>
      </c>
      <c r="O8" s="9" t="n">
        <f aca="false">MONTH(E8)</f>
        <v>6</v>
      </c>
      <c r="P8" s="9" t="n">
        <f aca="false">IF(AND(D8&gt;01_Inputs!$B$97,D8&lt;=01_Inputs!$B$98),1,0)</f>
        <v>0</v>
      </c>
      <c r="Q8" s="9" t="str">
        <f aca="false">IF(D8-D7=1,"연속","확인")</f>
        <v>연속</v>
      </c>
      <c r="R8" s="9" t="str">
        <f aca="false">IF(COUNTIF($D$6:$D$61,D8)&gt;1,"중복","-")</f>
        <v>-</v>
      </c>
      <c r="S8" s="16" t="n">
        <f aca="false">E8-E7</f>
        <v>7</v>
      </c>
      <c r="T8" s="9" t="str">
        <f aca="false">IF(MONTH(E8)&lt;&gt;MONTH(E7),"월 경계","")</f>
        <v>월 경계</v>
      </c>
      <c r="U8" s="16" t="n">
        <f aca="false">S8*24</f>
        <v>168</v>
      </c>
      <c r="V8" s="16" t="n">
        <f aca="false">MAX(0,(S8-1)*24)</f>
        <v>144</v>
      </c>
      <c r="W8" s="16" t="n">
        <f aca="false">(S8+1)*24</f>
        <v>192</v>
      </c>
      <c r="X8" s="16" t="str">
        <f aca="false">IF(ROW()-6&gt;=01_Inputs!$B$99,E8-INDEX($E$6:$E$61,ROW()-6+1-01_Inputs!$B$99),"")</f>
        <v/>
      </c>
      <c r="Y8" s="15" t="str">
        <f aca="false">IF(ISNUMBER(X8),(X8+1)*24/01_Inputs!$B$99,"")</f>
        <v/>
      </c>
      <c r="Z8" s="9" t="str">
        <f aca="false">IF(ISNUMBER(Y8),IF(Y8&lt;(01_Inputs!$B$15+01_Inputs!$B$16+N(01_Inputs!$B$22)),"확인 필요: 점유 하한 미만",""),"")</f>
        <v/>
      </c>
    </row>
    <row r="9" customFormat="false" ht="26.85" hidden="false" customHeight="false" outlineLevel="0" collapsed="false">
      <c r="A9" s="9" t="n">
        <v>4</v>
      </c>
      <c r="B9" s="9" t="s">
        <v>374</v>
      </c>
      <c r="C9" s="9" t="s">
        <v>375</v>
      </c>
      <c r="D9" s="3" t="n">
        <v>40</v>
      </c>
      <c r="E9" s="21" t="n">
        <v>46178</v>
      </c>
      <c r="F9" s="5"/>
      <c r="G9" s="5"/>
      <c r="H9" s="13" t="s">
        <v>376</v>
      </c>
      <c r="I9" s="42" t="s">
        <v>380</v>
      </c>
      <c r="J9" s="5"/>
      <c r="K9" s="3" t="s">
        <v>381</v>
      </c>
      <c r="L9" s="3" t="n">
        <v>5</v>
      </c>
      <c r="M9" s="21" t="n">
        <v>46178</v>
      </c>
      <c r="N9" s="13" t="str">
        <f aca="false">IF(AND(E9=M9,DAY(E9)=L9,K9=MONTH(E9)&amp;"/"&amp;DAY(E9)),"일치","차이 확인")</f>
        <v>일치</v>
      </c>
      <c r="O9" s="9" t="n">
        <f aca="false">MONTH(E9)</f>
        <v>6</v>
      </c>
      <c r="P9" s="9" t="n">
        <f aca="false">IF(AND(D9&gt;01_Inputs!$B$97,D9&lt;=01_Inputs!$B$98),1,0)</f>
        <v>1</v>
      </c>
      <c r="Q9" s="9" t="str">
        <f aca="false">IF(D9-D8=1,"연속","확인")</f>
        <v>연속</v>
      </c>
      <c r="R9" s="9" t="str">
        <f aca="false">IF(COUNTIF($D$6:$D$61,D9)&gt;1,"중복","-")</f>
        <v>-</v>
      </c>
      <c r="S9" s="16" t="n">
        <f aca="false">E9-E8</f>
        <v>3</v>
      </c>
      <c r="T9" s="9" t="str">
        <f aca="false">IF(MONTH(E9)&lt;&gt;MONTH(E8),"월 경계","")</f>
        <v/>
      </c>
      <c r="U9" s="16" t="n">
        <f aca="false">S9*24</f>
        <v>72</v>
      </c>
      <c r="V9" s="16" t="n">
        <f aca="false">MAX(0,(S9-1)*24)</f>
        <v>48</v>
      </c>
      <c r="W9" s="16" t="n">
        <f aca="false">(S9+1)*24</f>
        <v>96</v>
      </c>
      <c r="X9" s="16" t="str">
        <f aca="false">IF(ROW()-6&gt;=01_Inputs!$B$99,E9-INDEX($E$6:$E$61,ROW()-6+1-01_Inputs!$B$99),"")</f>
        <v/>
      </c>
      <c r="Y9" s="15" t="str">
        <f aca="false">IF(ISNUMBER(X9),(X9+1)*24/01_Inputs!$B$99,"")</f>
        <v/>
      </c>
      <c r="Z9" s="9" t="str">
        <f aca="false">IF(ISNUMBER(Y9),IF(Y9&lt;(01_Inputs!$B$15+01_Inputs!$B$16+N(01_Inputs!$B$22)),"확인 필요: 점유 하한 미만",""),"")</f>
        <v/>
      </c>
    </row>
    <row r="10" customFormat="false" ht="26.85" hidden="false" customHeight="false" outlineLevel="0" collapsed="false">
      <c r="A10" s="9" t="n">
        <v>5</v>
      </c>
      <c r="B10" s="9" t="s">
        <v>374</v>
      </c>
      <c r="C10" s="9" t="s">
        <v>375</v>
      </c>
      <c r="D10" s="3" t="n">
        <v>41</v>
      </c>
      <c r="E10" s="21" t="n">
        <v>46181</v>
      </c>
      <c r="F10" s="5"/>
      <c r="G10" s="5"/>
      <c r="H10" s="13" t="s">
        <v>376</v>
      </c>
      <c r="I10" s="42" t="s">
        <v>380</v>
      </c>
      <c r="J10" s="5"/>
      <c r="K10" s="3" t="s">
        <v>382</v>
      </c>
      <c r="L10" s="3" t="n">
        <v>8</v>
      </c>
      <c r="M10" s="21" t="n">
        <v>46181</v>
      </c>
      <c r="N10" s="13" t="str">
        <f aca="false">IF(AND(E10=M10,DAY(E10)=L10,K10=MONTH(E10)&amp;"/"&amp;DAY(E10)),"일치","차이 확인")</f>
        <v>일치</v>
      </c>
      <c r="O10" s="9" t="n">
        <f aca="false">MONTH(E10)</f>
        <v>6</v>
      </c>
      <c r="P10" s="9" t="n">
        <f aca="false">IF(AND(D10&gt;01_Inputs!$B$97,D10&lt;=01_Inputs!$B$98),1,0)</f>
        <v>1</v>
      </c>
      <c r="Q10" s="9" t="str">
        <f aca="false">IF(D10-D9=1,"연속","확인")</f>
        <v>연속</v>
      </c>
      <c r="R10" s="9" t="str">
        <f aca="false">IF(COUNTIF($D$6:$D$61,D10)&gt;1,"중복","-")</f>
        <v>-</v>
      </c>
      <c r="S10" s="16" t="n">
        <f aca="false">E10-E9</f>
        <v>3</v>
      </c>
      <c r="T10" s="9" t="str">
        <f aca="false">IF(MONTH(E10)&lt;&gt;MONTH(E9),"월 경계","")</f>
        <v/>
      </c>
      <c r="U10" s="16" t="n">
        <f aca="false">S10*24</f>
        <v>72</v>
      </c>
      <c r="V10" s="16" t="n">
        <f aca="false">MAX(0,(S10-1)*24)</f>
        <v>48</v>
      </c>
      <c r="W10" s="16" t="n">
        <f aca="false">(S10+1)*24</f>
        <v>96</v>
      </c>
      <c r="X10" s="16" t="n">
        <f aca="false">IF(ROW()-6&gt;=01_Inputs!$B$99,E10-INDEX($E$6:$E$61,ROW()-6+1-01_Inputs!$B$99),"")</f>
        <v>16</v>
      </c>
      <c r="Y10" s="15" t="n">
        <f aca="false">IF(ISNUMBER(X10),(X10+1)*24/01_Inputs!$B$99,"")</f>
        <v>102</v>
      </c>
      <c r="Z10" s="9" t="str">
        <f aca="false">IF(ISNUMBER(Y10),IF(Y10&lt;(01_Inputs!$B$15+01_Inputs!$B$16+N(01_Inputs!$B$22)),"확인 필요: 점유 하한 미만",""),"")</f>
        <v/>
      </c>
    </row>
    <row r="11" customFormat="false" ht="26.85" hidden="false" customHeight="false" outlineLevel="0" collapsed="false">
      <c r="A11" s="9" t="n">
        <v>6</v>
      </c>
      <c r="B11" s="9" t="s">
        <v>374</v>
      </c>
      <c r="C11" s="9" t="s">
        <v>375</v>
      </c>
      <c r="D11" s="3" t="n">
        <v>42</v>
      </c>
      <c r="E11" s="21" t="n">
        <v>46184</v>
      </c>
      <c r="F11" s="5"/>
      <c r="G11" s="5"/>
      <c r="H11" s="13" t="s">
        <v>376</v>
      </c>
      <c r="I11" s="42" t="s">
        <v>380</v>
      </c>
      <c r="J11" s="5"/>
      <c r="K11" s="3" t="s">
        <v>383</v>
      </c>
      <c r="L11" s="3" t="n">
        <v>11</v>
      </c>
      <c r="M11" s="21" t="n">
        <v>46184</v>
      </c>
      <c r="N11" s="13" t="str">
        <f aca="false">IF(AND(E11=M11,DAY(E11)=L11,K11=MONTH(E11)&amp;"/"&amp;DAY(E11)),"일치","차이 확인")</f>
        <v>일치</v>
      </c>
      <c r="O11" s="9" t="n">
        <f aca="false">MONTH(E11)</f>
        <v>6</v>
      </c>
      <c r="P11" s="9" t="n">
        <f aca="false">IF(AND(D11&gt;01_Inputs!$B$97,D11&lt;=01_Inputs!$B$98),1,0)</f>
        <v>1</v>
      </c>
      <c r="Q11" s="9" t="str">
        <f aca="false">IF(D11-D10=1,"연속","확인")</f>
        <v>연속</v>
      </c>
      <c r="R11" s="9" t="str">
        <f aca="false">IF(COUNTIF($D$6:$D$61,D11)&gt;1,"중복","-")</f>
        <v>-</v>
      </c>
      <c r="S11" s="16" t="n">
        <f aca="false">E11-E10</f>
        <v>3</v>
      </c>
      <c r="T11" s="9" t="str">
        <f aca="false">IF(MONTH(E11)&lt;&gt;MONTH(E10),"월 경계","")</f>
        <v/>
      </c>
      <c r="U11" s="16" t="n">
        <f aca="false">S11*24</f>
        <v>72</v>
      </c>
      <c r="V11" s="16" t="n">
        <f aca="false">MAX(0,(S11-1)*24)</f>
        <v>48</v>
      </c>
      <c r="W11" s="16" t="n">
        <f aca="false">(S11+1)*24</f>
        <v>96</v>
      </c>
      <c r="X11" s="16" t="n">
        <f aca="false">IF(ROW()-6&gt;=01_Inputs!$B$99,E11-INDEX($E$6:$E$61,ROW()-6+1-01_Inputs!$B$99),"")</f>
        <v>16</v>
      </c>
      <c r="Y11" s="15" t="n">
        <f aca="false">IF(ISNUMBER(X11),(X11+1)*24/01_Inputs!$B$99,"")</f>
        <v>102</v>
      </c>
      <c r="Z11" s="9" t="str">
        <f aca="false">IF(ISNUMBER(Y11),IF(Y11&lt;(01_Inputs!$B$15+01_Inputs!$B$16+N(01_Inputs!$B$22)),"확인 필요: 점유 하한 미만",""),"")</f>
        <v/>
      </c>
    </row>
    <row r="12" customFormat="false" ht="26.85" hidden="false" customHeight="false" outlineLevel="0" collapsed="false">
      <c r="A12" s="9" t="n">
        <v>7</v>
      </c>
      <c r="B12" s="9" t="s">
        <v>374</v>
      </c>
      <c r="C12" s="9" t="s">
        <v>375</v>
      </c>
      <c r="D12" s="3" t="n">
        <v>43</v>
      </c>
      <c r="E12" s="21" t="n">
        <v>46187</v>
      </c>
      <c r="F12" s="5"/>
      <c r="G12" s="5"/>
      <c r="H12" s="13" t="s">
        <v>376</v>
      </c>
      <c r="I12" s="42" t="s">
        <v>380</v>
      </c>
      <c r="J12" s="5"/>
      <c r="K12" s="3" t="s">
        <v>384</v>
      </c>
      <c r="L12" s="3" t="n">
        <v>14</v>
      </c>
      <c r="M12" s="21" t="n">
        <v>46187</v>
      </c>
      <c r="N12" s="13" t="str">
        <f aca="false">IF(AND(E12=M12,DAY(E12)=L12,K12=MONTH(E12)&amp;"/"&amp;DAY(E12)),"일치","차이 확인")</f>
        <v>일치</v>
      </c>
      <c r="O12" s="9" t="n">
        <f aca="false">MONTH(E12)</f>
        <v>6</v>
      </c>
      <c r="P12" s="9" t="n">
        <f aca="false">IF(AND(D12&gt;01_Inputs!$B$97,D12&lt;=01_Inputs!$B$98),1,0)</f>
        <v>1</v>
      </c>
      <c r="Q12" s="9" t="str">
        <f aca="false">IF(D12-D11=1,"연속","확인")</f>
        <v>연속</v>
      </c>
      <c r="R12" s="9" t="str">
        <f aca="false">IF(COUNTIF($D$6:$D$61,D12)&gt;1,"중복","-")</f>
        <v>-</v>
      </c>
      <c r="S12" s="16" t="n">
        <f aca="false">E12-E11</f>
        <v>3</v>
      </c>
      <c r="T12" s="9" t="str">
        <f aca="false">IF(MONTH(E12)&lt;&gt;MONTH(E11),"월 경계","")</f>
        <v/>
      </c>
      <c r="U12" s="16" t="n">
        <f aca="false">S12*24</f>
        <v>72</v>
      </c>
      <c r="V12" s="16" t="n">
        <f aca="false">MAX(0,(S12-1)*24)</f>
        <v>48</v>
      </c>
      <c r="W12" s="16" t="n">
        <f aca="false">(S12+1)*24</f>
        <v>96</v>
      </c>
      <c r="X12" s="16" t="n">
        <f aca="false">IF(ROW()-6&gt;=01_Inputs!$B$99,E12-INDEX($E$6:$E$61,ROW()-6+1-01_Inputs!$B$99),"")</f>
        <v>12</v>
      </c>
      <c r="Y12" s="15" t="n">
        <f aca="false">IF(ISNUMBER(X12),(X12+1)*24/01_Inputs!$B$99,"")</f>
        <v>78</v>
      </c>
      <c r="Z12" s="9" t="str">
        <f aca="false">IF(ISNUMBER(Y12),IF(Y12&lt;(01_Inputs!$B$15+01_Inputs!$B$16+N(01_Inputs!$B$22)),"확인 필요: 점유 하한 미만",""),"")</f>
        <v/>
      </c>
    </row>
    <row r="13" customFormat="false" ht="26.85" hidden="false" customHeight="false" outlineLevel="0" collapsed="false">
      <c r="A13" s="9" t="n">
        <v>8</v>
      </c>
      <c r="B13" s="9" t="s">
        <v>374</v>
      </c>
      <c r="C13" s="9" t="s">
        <v>375</v>
      </c>
      <c r="D13" s="3" t="n">
        <v>44</v>
      </c>
      <c r="E13" s="21" t="n">
        <v>46190</v>
      </c>
      <c r="F13" s="5"/>
      <c r="G13" s="5"/>
      <c r="H13" s="13" t="s">
        <v>376</v>
      </c>
      <c r="I13" s="42" t="s">
        <v>380</v>
      </c>
      <c r="J13" s="5"/>
      <c r="K13" s="3" t="s">
        <v>385</v>
      </c>
      <c r="L13" s="3" t="n">
        <v>17</v>
      </c>
      <c r="M13" s="21" t="n">
        <v>46190</v>
      </c>
      <c r="N13" s="13" t="str">
        <f aca="false">IF(AND(E13=M13,DAY(E13)=L13,K13=MONTH(E13)&amp;"/"&amp;DAY(E13)),"일치","차이 확인")</f>
        <v>일치</v>
      </c>
      <c r="O13" s="9" t="n">
        <f aca="false">MONTH(E13)</f>
        <v>6</v>
      </c>
      <c r="P13" s="9" t="n">
        <f aca="false">IF(AND(D13&gt;01_Inputs!$B$97,D13&lt;=01_Inputs!$B$98),1,0)</f>
        <v>1</v>
      </c>
      <c r="Q13" s="9" t="str">
        <f aca="false">IF(D13-D12=1,"연속","확인")</f>
        <v>연속</v>
      </c>
      <c r="R13" s="9" t="str">
        <f aca="false">IF(COUNTIF($D$6:$D$61,D13)&gt;1,"중복","-")</f>
        <v>-</v>
      </c>
      <c r="S13" s="16" t="n">
        <f aca="false">E13-E12</f>
        <v>3</v>
      </c>
      <c r="T13" s="9" t="str">
        <f aca="false">IF(MONTH(E13)&lt;&gt;MONTH(E12),"월 경계","")</f>
        <v/>
      </c>
      <c r="U13" s="16" t="n">
        <f aca="false">S13*24</f>
        <v>72</v>
      </c>
      <c r="V13" s="16" t="n">
        <f aca="false">MAX(0,(S13-1)*24)</f>
        <v>48</v>
      </c>
      <c r="W13" s="16" t="n">
        <f aca="false">(S13+1)*24</f>
        <v>96</v>
      </c>
      <c r="X13" s="16" t="n">
        <f aca="false">IF(ROW()-6&gt;=01_Inputs!$B$99,E13-INDEX($E$6:$E$61,ROW()-6+1-01_Inputs!$B$99),"")</f>
        <v>12</v>
      </c>
      <c r="Y13" s="15" t="n">
        <f aca="false">IF(ISNUMBER(X13),(X13+1)*24/01_Inputs!$B$99,"")</f>
        <v>78</v>
      </c>
      <c r="Z13" s="9" t="str">
        <f aca="false">IF(ISNUMBER(Y13),IF(Y13&lt;(01_Inputs!$B$15+01_Inputs!$B$16+N(01_Inputs!$B$22)),"확인 필요: 점유 하한 미만",""),"")</f>
        <v/>
      </c>
    </row>
    <row r="14" customFormat="false" ht="26.85" hidden="false" customHeight="false" outlineLevel="0" collapsed="false">
      <c r="A14" s="9" t="n">
        <v>9</v>
      </c>
      <c r="B14" s="9" t="s">
        <v>374</v>
      </c>
      <c r="C14" s="9" t="s">
        <v>375</v>
      </c>
      <c r="D14" s="3" t="n">
        <v>45</v>
      </c>
      <c r="E14" s="21" t="n">
        <v>46193</v>
      </c>
      <c r="F14" s="5"/>
      <c r="G14" s="5"/>
      <c r="H14" s="13" t="s">
        <v>376</v>
      </c>
      <c r="I14" s="42" t="s">
        <v>380</v>
      </c>
      <c r="J14" s="5"/>
      <c r="K14" s="3" t="s">
        <v>386</v>
      </c>
      <c r="L14" s="3" t="n">
        <v>20</v>
      </c>
      <c r="M14" s="21" t="n">
        <v>46193</v>
      </c>
      <c r="N14" s="13" t="str">
        <f aca="false">IF(AND(E14=M14,DAY(E14)=L14,K14=MONTH(E14)&amp;"/"&amp;DAY(E14)),"일치","차이 확인")</f>
        <v>일치</v>
      </c>
      <c r="O14" s="9" t="n">
        <f aca="false">MONTH(E14)</f>
        <v>6</v>
      </c>
      <c r="P14" s="9" t="n">
        <f aca="false">IF(AND(D14&gt;01_Inputs!$B$97,D14&lt;=01_Inputs!$B$98),1,0)</f>
        <v>1</v>
      </c>
      <c r="Q14" s="9" t="str">
        <f aca="false">IF(D14-D13=1,"연속","확인")</f>
        <v>연속</v>
      </c>
      <c r="R14" s="9" t="str">
        <f aca="false">IF(COUNTIF($D$6:$D$61,D14)&gt;1,"중복","-")</f>
        <v>-</v>
      </c>
      <c r="S14" s="16" t="n">
        <f aca="false">E14-E13</f>
        <v>3</v>
      </c>
      <c r="T14" s="9" t="str">
        <f aca="false">IF(MONTH(E14)&lt;&gt;MONTH(E13),"월 경계","")</f>
        <v/>
      </c>
      <c r="U14" s="16" t="n">
        <f aca="false">S14*24</f>
        <v>72</v>
      </c>
      <c r="V14" s="16" t="n">
        <f aca="false">MAX(0,(S14-1)*24)</f>
        <v>48</v>
      </c>
      <c r="W14" s="16" t="n">
        <f aca="false">(S14+1)*24</f>
        <v>96</v>
      </c>
      <c r="X14" s="16" t="n">
        <f aca="false">IF(ROW()-6&gt;=01_Inputs!$B$99,E14-INDEX($E$6:$E$61,ROW()-6+1-01_Inputs!$B$99),"")</f>
        <v>12</v>
      </c>
      <c r="Y14" s="15" t="n">
        <f aca="false">IF(ISNUMBER(X14),(X14+1)*24/01_Inputs!$B$99,"")</f>
        <v>78</v>
      </c>
      <c r="Z14" s="9" t="str">
        <f aca="false">IF(ISNUMBER(Y14),IF(Y14&lt;(01_Inputs!$B$15+01_Inputs!$B$16+N(01_Inputs!$B$22)),"확인 필요: 점유 하한 미만",""),"")</f>
        <v/>
      </c>
    </row>
    <row r="15" customFormat="false" ht="26.85" hidden="false" customHeight="false" outlineLevel="0" collapsed="false">
      <c r="A15" s="9" t="n">
        <v>10</v>
      </c>
      <c r="B15" s="9" t="s">
        <v>374</v>
      </c>
      <c r="C15" s="9" t="s">
        <v>375</v>
      </c>
      <c r="D15" s="3" t="n">
        <v>46</v>
      </c>
      <c r="E15" s="21" t="n">
        <v>46196</v>
      </c>
      <c r="F15" s="5"/>
      <c r="G15" s="5"/>
      <c r="H15" s="13" t="s">
        <v>376</v>
      </c>
      <c r="I15" s="42" t="s">
        <v>380</v>
      </c>
      <c r="J15" s="5"/>
      <c r="K15" s="3" t="s">
        <v>387</v>
      </c>
      <c r="L15" s="3" t="n">
        <v>23</v>
      </c>
      <c r="M15" s="21" t="n">
        <v>46196</v>
      </c>
      <c r="N15" s="13" t="str">
        <f aca="false">IF(AND(E15=M15,DAY(E15)=L15,K15=MONTH(E15)&amp;"/"&amp;DAY(E15)),"일치","차이 확인")</f>
        <v>일치</v>
      </c>
      <c r="O15" s="9" t="n">
        <f aca="false">MONTH(E15)</f>
        <v>6</v>
      </c>
      <c r="P15" s="9" t="n">
        <f aca="false">IF(AND(D15&gt;01_Inputs!$B$97,D15&lt;=01_Inputs!$B$98),1,0)</f>
        <v>1</v>
      </c>
      <c r="Q15" s="9" t="str">
        <f aca="false">IF(D15-D14=1,"연속","확인")</f>
        <v>연속</v>
      </c>
      <c r="R15" s="9" t="str">
        <f aca="false">IF(COUNTIF($D$6:$D$61,D15)&gt;1,"중복","-")</f>
        <v>-</v>
      </c>
      <c r="S15" s="16" t="n">
        <f aca="false">E15-E14</f>
        <v>3</v>
      </c>
      <c r="T15" s="9" t="str">
        <f aca="false">IF(MONTH(E15)&lt;&gt;MONTH(E14),"월 경계","")</f>
        <v/>
      </c>
      <c r="U15" s="16" t="n">
        <f aca="false">S15*24</f>
        <v>72</v>
      </c>
      <c r="V15" s="16" t="n">
        <f aca="false">MAX(0,(S15-1)*24)</f>
        <v>48</v>
      </c>
      <c r="W15" s="16" t="n">
        <f aca="false">(S15+1)*24</f>
        <v>96</v>
      </c>
      <c r="X15" s="16" t="n">
        <f aca="false">IF(ROW()-6&gt;=01_Inputs!$B$99,E15-INDEX($E$6:$E$61,ROW()-6+1-01_Inputs!$B$99),"")</f>
        <v>12</v>
      </c>
      <c r="Y15" s="15" t="n">
        <f aca="false">IF(ISNUMBER(X15),(X15+1)*24/01_Inputs!$B$99,"")</f>
        <v>78</v>
      </c>
      <c r="Z15" s="9" t="str">
        <f aca="false">IF(ISNUMBER(Y15),IF(Y15&lt;(01_Inputs!$B$15+01_Inputs!$B$16+N(01_Inputs!$B$22)),"확인 필요: 점유 하한 미만",""),"")</f>
        <v/>
      </c>
    </row>
    <row r="16" customFormat="false" ht="26.85" hidden="false" customHeight="false" outlineLevel="0" collapsed="false">
      <c r="A16" s="9" t="n">
        <v>11</v>
      </c>
      <c r="B16" s="9" t="s">
        <v>374</v>
      </c>
      <c r="C16" s="9" t="s">
        <v>375</v>
      </c>
      <c r="D16" s="3" t="n">
        <v>47</v>
      </c>
      <c r="E16" s="21" t="n">
        <v>46198</v>
      </c>
      <c r="F16" s="5"/>
      <c r="G16" s="5"/>
      <c r="H16" s="13" t="s">
        <v>376</v>
      </c>
      <c r="I16" s="42" t="s">
        <v>380</v>
      </c>
      <c r="J16" s="5"/>
      <c r="K16" s="3" t="s">
        <v>388</v>
      </c>
      <c r="L16" s="3" t="n">
        <v>25</v>
      </c>
      <c r="M16" s="21" t="n">
        <v>46198</v>
      </c>
      <c r="N16" s="13" t="str">
        <f aca="false">IF(AND(E16=M16,DAY(E16)=L16,K16=MONTH(E16)&amp;"/"&amp;DAY(E16)),"일치","차이 확인")</f>
        <v>일치</v>
      </c>
      <c r="O16" s="9" t="n">
        <f aca="false">MONTH(E16)</f>
        <v>6</v>
      </c>
      <c r="P16" s="9" t="n">
        <f aca="false">IF(AND(D16&gt;01_Inputs!$B$97,D16&lt;=01_Inputs!$B$98),1,0)</f>
        <v>1</v>
      </c>
      <c r="Q16" s="9" t="str">
        <f aca="false">IF(D16-D15=1,"연속","확인")</f>
        <v>연속</v>
      </c>
      <c r="R16" s="9" t="str">
        <f aca="false">IF(COUNTIF($D$6:$D$61,D16)&gt;1,"중복","-")</f>
        <v>-</v>
      </c>
      <c r="S16" s="16" t="n">
        <f aca="false">E16-E15</f>
        <v>2</v>
      </c>
      <c r="T16" s="9" t="str">
        <f aca="false">IF(MONTH(E16)&lt;&gt;MONTH(E15),"월 경계","")</f>
        <v/>
      </c>
      <c r="U16" s="16" t="n">
        <f aca="false">S16*24</f>
        <v>48</v>
      </c>
      <c r="V16" s="16" t="n">
        <f aca="false">MAX(0,(S16-1)*24)</f>
        <v>24</v>
      </c>
      <c r="W16" s="16" t="n">
        <f aca="false">(S16+1)*24</f>
        <v>72</v>
      </c>
      <c r="X16" s="16" t="n">
        <f aca="false">IF(ROW()-6&gt;=01_Inputs!$B$99,E16-INDEX($E$6:$E$61,ROW()-6+1-01_Inputs!$B$99),"")</f>
        <v>11</v>
      </c>
      <c r="Y16" s="15" t="n">
        <f aca="false">IF(ISNUMBER(X16),(X16+1)*24/01_Inputs!$B$99,"")</f>
        <v>72</v>
      </c>
      <c r="Z16" s="9" t="str">
        <f aca="false">IF(ISNUMBER(Y16),IF(Y16&lt;(01_Inputs!$B$15+01_Inputs!$B$16+N(01_Inputs!$B$22)),"확인 필요: 점유 하한 미만",""),"")</f>
        <v/>
      </c>
    </row>
    <row r="17" customFormat="false" ht="26.85" hidden="false" customHeight="false" outlineLevel="0" collapsed="false">
      <c r="A17" s="9" t="n">
        <v>12</v>
      </c>
      <c r="B17" s="9" t="s">
        <v>374</v>
      </c>
      <c r="C17" s="9" t="s">
        <v>375</v>
      </c>
      <c r="D17" s="3" t="n">
        <v>48</v>
      </c>
      <c r="E17" s="21" t="n">
        <v>46200</v>
      </c>
      <c r="F17" s="5"/>
      <c r="G17" s="5"/>
      <c r="H17" s="13" t="s">
        <v>376</v>
      </c>
      <c r="I17" s="42" t="s">
        <v>380</v>
      </c>
      <c r="J17" s="5"/>
      <c r="K17" s="3" t="s">
        <v>389</v>
      </c>
      <c r="L17" s="3" t="n">
        <v>27</v>
      </c>
      <c r="M17" s="21" t="n">
        <v>46200</v>
      </c>
      <c r="N17" s="13" t="str">
        <f aca="false">IF(AND(E17=M17,DAY(E17)=L17,K17=MONTH(E17)&amp;"/"&amp;DAY(E17)),"일치","차이 확인")</f>
        <v>일치</v>
      </c>
      <c r="O17" s="9" t="n">
        <f aca="false">MONTH(E17)</f>
        <v>6</v>
      </c>
      <c r="P17" s="9" t="n">
        <f aca="false">IF(AND(D17&gt;01_Inputs!$B$97,D17&lt;=01_Inputs!$B$98),1,0)</f>
        <v>1</v>
      </c>
      <c r="Q17" s="9" t="str">
        <f aca="false">IF(D17-D16=1,"연속","확인")</f>
        <v>연속</v>
      </c>
      <c r="R17" s="9" t="str">
        <f aca="false">IF(COUNTIF($D$6:$D$61,D17)&gt;1,"중복","-")</f>
        <v>-</v>
      </c>
      <c r="S17" s="16" t="n">
        <f aca="false">E17-E16</f>
        <v>2</v>
      </c>
      <c r="T17" s="9" t="str">
        <f aca="false">IF(MONTH(E17)&lt;&gt;MONTH(E16),"월 경계","")</f>
        <v/>
      </c>
      <c r="U17" s="16" t="n">
        <f aca="false">S17*24</f>
        <v>48</v>
      </c>
      <c r="V17" s="16" t="n">
        <f aca="false">MAX(0,(S17-1)*24)</f>
        <v>24</v>
      </c>
      <c r="W17" s="16" t="n">
        <f aca="false">(S17+1)*24</f>
        <v>72</v>
      </c>
      <c r="X17" s="16" t="n">
        <f aca="false">IF(ROW()-6&gt;=01_Inputs!$B$99,E17-INDEX($E$6:$E$61,ROW()-6+1-01_Inputs!$B$99),"")</f>
        <v>10</v>
      </c>
      <c r="Y17" s="15" t="n">
        <f aca="false">IF(ISNUMBER(X17),(X17+1)*24/01_Inputs!$B$99,"")</f>
        <v>66</v>
      </c>
      <c r="Z17" s="9" t="str">
        <f aca="false">IF(ISNUMBER(Y17),IF(Y17&lt;(01_Inputs!$B$15+01_Inputs!$B$16+N(01_Inputs!$B$22)),"확인 필요: 점유 하한 미만",""),"")</f>
        <v/>
      </c>
    </row>
    <row r="18" customFormat="false" ht="26.85" hidden="false" customHeight="false" outlineLevel="0" collapsed="false">
      <c r="A18" s="9" t="n">
        <v>13</v>
      </c>
      <c r="B18" s="9" t="s">
        <v>374</v>
      </c>
      <c r="C18" s="9" t="s">
        <v>375</v>
      </c>
      <c r="D18" s="3" t="n">
        <v>49</v>
      </c>
      <c r="E18" s="21" t="n">
        <v>46201</v>
      </c>
      <c r="F18" s="5"/>
      <c r="G18" s="5"/>
      <c r="H18" s="13" t="s">
        <v>376</v>
      </c>
      <c r="I18" s="42" t="s">
        <v>380</v>
      </c>
      <c r="J18" s="5"/>
      <c r="K18" s="3" t="s">
        <v>390</v>
      </c>
      <c r="L18" s="3" t="n">
        <v>28</v>
      </c>
      <c r="M18" s="21" t="n">
        <v>46201</v>
      </c>
      <c r="N18" s="13" t="str">
        <f aca="false">IF(AND(E18=M18,DAY(E18)=L18,K18=MONTH(E18)&amp;"/"&amp;DAY(E18)),"일치","차이 확인")</f>
        <v>일치</v>
      </c>
      <c r="O18" s="9" t="n">
        <f aca="false">MONTH(E18)</f>
        <v>6</v>
      </c>
      <c r="P18" s="9" t="n">
        <f aca="false">IF(AND(D18&gt;01_Inputs!$B$97,D18&lt;=01_Inputs!$B$98),1,0)</f>
        <v>1</v>
      </c>
      <c r="Q18" s="9" t="str">
        <f aca="false">IF(D18-D17=1,"연속","확인")</f>
        <v>연속</v>
      </c>
      <c r="R18" s="9" t="str">
        <f aca="false">IF(COUNTIF($D$6:$D$61,D18)&gt;1,"중복","-")</f>
        <v>-</v>
      </c>
      <c r="S18" s="16" t="n">
        <f aca="false">E18-E17</f>
        <v>1</v>
      </c>
      <c r="T18" s="9" t="str">
        <f aca="false">IF(MONTH(E18)&lt;&gt;MONTH(E17),"월 경계","")</f>
        <v/>
      </c>
      <c r="U18" s="16" t="n">
        <f aca="false">S18*24</f>
        <v>24</v>
      </c>
      <c r="V18" s="16" t="n">
        <f aca="false">MAX(0,(S18-1)*24)</f>
        <v>0</v>
      </c>
      <c r="W18" s="16" t="n">
        <f aca="false">(S18+1)*24</f>
        <v>48</v>
      </c>
      <c r="X18" s="16" t="n">
        <f aca="false">IF(ROW()-6&gt;=01_Inputs!$B$99,E18-INDEX($E$6:$E$61,ROW()-6+1-01_Inputs!$B$99),"")</f>
        <v>8</v>
      </c>
      <c r="Y18" s="15" t="n">
        <f aca="false">IF(ISNUMBER(X18),(X18+1)*24/01_Inputs!$B$99,"")</f>
        <v>54</v>
      </c>
      <c r="Z18" s="9" t="str">
        <f aca="false">IF(ISNUMBER(Y18),IF(Y18&lt;(01_Inputs!$B$15+01_Inputs!$B$16+N(01_Inputs!$B$22)),"확인 필요: 점유 하한 미만",""),"")</f>
        <v/>
      </c>
    </row>
    <row r="19" customFormat="false" ht="26.85" hidden="false" customHeight="false" outlineLevel="0" collapsed="false">
      <c r="A19" s="9" t="n">
        <v>14</v>
      </c>
      <c r="B19" s="9" t="s">
        <v>374</v>
      </c>
      <c r="C19" s="9" t="s">
        <v>375</v>
      </c>
      <c r="D19" s="3" t="n">
        <v>50</v>
      </c>
      <c r="E19" s="21" t="n">
        <v>46204</v>
      </c>
      <c r="F19" s="5"/>
      <c r="G19" s="5"/>
      <c r="H19" s="13" t="s">
        <v>376</v>
      </c>
      <c r="I19" s="42" t="s">
        <v>380</v>
      </c>
      <c r="J19" s="5"/>
      <c r="K19" s="3" t="s">
        <v>391</v>
      </c>
      <c r="L19" s="3" t="n">
        <v>1</v>
      </c>
      <c r="M19" s="21" t="n">
        <v>46204</v>
      </c>
      <c r="N19" s="13" t="str">
        <f aca="false">IF(AND(E19=M19,DAY(E19)=L19,K19=MONTH(E19)&amp;"/"&amp;DAY(E19)),"일치","차이 확인")</f>
        <v>일치</v>
      </c>
      <c r="O19" s="9" t="n">
        <f aca="false">MONTH(E19)</f>
        <v>7</v>
      </c>
      <c r="P19" s="9" t="n">
        <f aca="false">IF(AND(D19&gt;01_Inputs!$B$97,D19&lt;=01_Inputs!$B$98),1,0)</f>
        <v>1</v>
      </c>
      <c r="Q19" s="9" t="str">
        <f aca="false">IF(D19-D18=1,"연속","확인")</f>
        <v>연속</v>
      </c>
      <c r="R19" s="9" t="str">
        <f aca="false">IF(COUNTIF($D$6:$D$61,D19)&gt;1,"중복","-")</f>
        <v>-</v>
      </c>
      <c r="S19" s="16" t="n">
        <f aca="false">E19-E18</f>
        <v>3</v>
      </c>
      <c r="T19" s="9" t="str">
        <f aca="false">IF(MONTH(E19)&lt;&gt;MONTH(E18),"월 경계","")</f>
        <v>월 경계</v>
      </c>
      <c r="U19" s="16" t="n">
        <f aca="false">S19*24</f>
        <v>72</v>
      </c>
      <c r="V19" s="16" t="n">
        <f aca="false">MAX(0,(S19-1)*24)</f>
        <v>48</v>
      </c>
      <c r="W19" s="16" t="n">
        <f aca="false">(S19+1)*24</f>
        <v>96</v>
      </c>
      <c r="X19" s="16" t="n">
        <f aca="false">IF(ROW()-6&gt;=01_Inputs!$B$99,E19-INDEX($E$6:$E$61,ROW()-6+1-01_Inputs!$B$99),"")</f>
        <v>8</v>
      </c>
      <c r="Y19" s="15" t="n">
        <f aca="false">IF(ISNUMBER(X19),(X19+1)*24/01_Inputs!$B$99,"")</f>
        <v>54</v>
      </c>
      <c r="Z19" s="9" t="str">
        <f aca="false">IF(ISNUMBER(Y19),IF(Y19&lt;(01_Inputs!$B$15+01_Inputs!$B$16+N(01_Inputs!$B$22)),"확인 필요: 점유 하한 미만",""),"")</f>
        <v/>
      </c>
    </row>
    <row r="20" customFormat="false" ht="26.85" hidden="false" customHeight="false" outlineLevel="0" collapsed="false">
      <c r="A20" s="9" t="n">
        <v>15</v>
      </c>
      <c r="B20" s="9" t="s">
        <v>374</v>
      </c>
      <c r="C20" s="9" t="s">
        <v>375</v>
      </c>
      <c r="D20" s="3" t="n">
        <v>51</v>
      </c>
      <c r="E20" s="21" t="n">
        <v>46206</v>
      </c>
      <c r="F20" s="5"/>
      <c r="G20" s="5"/>
      <c r="H20" s="13" t="s">
        <v>376</v>
      </c>
      <c r="I20" s="42" t="s">
        <v>380</v>
      </c>
      <c r="J20" s="5"/>
      <c r="K20" s="3" t="s">
        <v>392</v>
      </c>
      <c r="L20" s="3" t="n">
        <v>3</v>
      </c>
      <c r="M20" s="21" t="n">
        <v>46206</v>
      </c>
      <c r="N20" s="13" t="str">
        <f aca="false">IF(AND(E20=M20,DAY(E20)=L20,K20=MONTH(E20)&amp;"/"&amp;DAY(E20)),"일치","차이 확인")</f>
        <v>일치</v>
      </c>
      <c r="O20" s="9" t="n">
        <f aca="false">MONTH(E20)</f>
        <v>7</v>
      </c>
      <c r="P20" s="9" t="n">
        <f aca="false">IF(AND(D20&gt;01_Inputs!$B$97,D20&lt;=01_Inputs!$B$98),1,0)</f>
        <v>1</v>
      </c>
      <c r="Q20" s="9" t="str">
        <f aca="false">IF(D20-D19=1,"연속","확인")</f>
        <v>연속</v>
      </c>
      <c r="R20" s="9" t="str">
        <f aca="false">IF(COUNTIF($D$6:$D$61,D20)&gt;1,"중복","-")</f>
        <v>-</v>
      </c>
      <c r="S20" s="16" t="n">
        <f aca="false">E20-E19</f>
        <v>2</v>
      </c>
      <c r="T20" s="9" t="str">
        <f aca="false">IF(MONTH(E20)&lt;&gt;MONTH(E19),"월 경계","")</f>
        <v/>
      </c>
      <c r="U20" s="16" t="n">
        <f aca="false">S20*24</f>
        <v>48</v>
      </c>
      <c r="V20" s="16" t="n">
        <f aca="false">MAX(0,(S20-1)*24)</f>
        <v>24</v>
      </c>
      <c r="W20" s="16" t="n">
        <f aca="false">(S20+1)*24</f>
        <v>72</v>
      </c>
      <c r="X20" s="16" t="n">
        <f aca="false">IF(ROW()-6&gt;=01_Inputs!$B$99,E20-INDEX($E$6:$E$61,ROW()-6+1-01_Inputs!$B$99),"")</f>
        <v>8</v>
      </c>
      <c r="Y20" s="15" t="n">
        <f aca="false">IF(ISNUMBER(X20),(X20+1)*24/01_Inputs!$B$99,"")</f>
        <v>54</v>
      </c>
      <c r="Z20" s="9" t="str">
        <f aca="false">IF(ISNUMBER(Y20),IF(Y20&lt;(01_Inputs!$B$15+01_Inputs!$B$16+N(01_Inputs!$B$22)),"확인 필요: 점유 하한 미만",""),"")</f>
        <v/>
      </c>
    </row>
    <row r="21" customFormat="false" ht="26.85" hidden="false" customHeight="false" outlineLevel="0" collapsed="false">
      <c r="A21" s="9" t="n">
        <v>16</v>
      </c>
      <c r="B21" s="9" t="s">
        <v>374</v>
      </c>
      <c r="C21" s="9" t="s">
        <v>375</v>
      </c>
      <c r="D21" s="3" t="n">
        <v>52</v>
      </c>
      <c r="E21" s="21" t="n">
        <v>46209</v>
      </c>
      <c r="F21" s="5"/>
      <c r="G21" s="5"/>
      <c r="H21" s="13" t="s">
        <v>376</v>
      </c>
      <c r="I21" s="42" t="s">
        <v>380</v>
      </c>
      <c r="J21" s="5"/>
      <c r="K21" s="3" t="s">
        <v>393</v>
      </c>
      <c r="L21" s="3" t="n">
        <v>6</v>
      </c>
      <c r="M21" s="21" t="n">
        <v>46209</v>
      </c>
      <c r="N21" s="13" t="str">
        <f aca="false">IF(AND(E21=M21,DAY(E21)=L21,K21=MONTH(E21)&amp;"/"&amp;DAY(E21)),"일치","차이 확인")</f>
        <v>일치</v>
      </c>
      <c r="O21" s="9" t="n">
        <f aca="false">MONTH(E21)</f>
        <v>7</v>
      </c>
      <c r="P21" s="9" t="n">
        <f aca="false">IF(AND(D21&gt;01_Inputs!$B$97,D21&lt;=01_Inputs!$B$98),1,0)</f>
        <v>1</v>
      </c>
      <c r="Q21" s="9" t="str">
        <f aca="false">IF(D21-D20=1,"연속","확인")</f>
        <v>연속</v>
      </c>
      <c r="R21" s="9" t="str">
        <f aca="false">IF(COUNTIF($D$6:$D$61,D21)&gt;1,"중복","-")</f>
        <v>-</v>
      </c>
      <c r="S21" s="16" t="n">
        <f aca="false">E21-E20</f>
        <v>3</v>
      </c>
      <c r="T21" s="9" t="str">
        <f aca="false">IF(MONTH(E21)&lt;&gt;MONTH(E20),"월 경계","")</f>
        <v/>
      </c>
      <c r="U21" s="16" t="n">
        <f aca="false">S21*24</f>
        <v>72</v>
      </c>
      <c r="V21" s="16" t="n">
        <f aca="false">MAX(0,(S21-1)*24)</f>
        <v>48</v>
      </c>
      <c r="W21" s="16" t="n">
        <f aca="false">(S21+1)*24</f>
        <v>96</v>
      </c>
      <c r="X21" s="16" t="n">
        <f aca="false">IF(ROW()-6&gt;=01_Inputs!$B$99,E21-INDEX($E$6:$E$61,ROW()-6+1-01_Inputs!$B$99),"")</f>
        <v>9</v>
      </c>
      <c r="Y21" s="15" t="n">
        <f aca="false">IF(ISNUMBER(X21),(X21+1)*24/01_Inputs!$B$99,"")</f>
        <v>60</v>
      </c>
      <c r="Z21" s="9" t="str">
        <f aca="false">IF(ISNUMBER(Y21),IF(Y21&lt;(01_Inputs!$B$15+01_Inputs!$B$16+N(01_Inputs!$B$22)),"확인 필요: 점유 하한 미만",""),"")</f>
        <v/>
      </c>
    </row>
    <row r="22" customFormat="false" ht="26.85" hidden="false" customHeight="false" outlineLevel="0" collapsed="false">
      <c r="A22" s="9" t="n">
        <v>17</v>
      </c>
      <c r="B22" s="9" t="s">
        <v>374</v>
      </c>
      <c r="C22" s="9" t="s">
        <v>375</v>
      </c>
      <c r="D22" s="3" t="n">
        <v>53</v>
      </c>
      <c r="E22" s="21" t="n">
        <v>46211</v>
      </c>
      <c r="F22" s="5"/>
      <c r="G22" s="5"/>
      <c r="H22" s="13" t="s">
        <v>376</v>
      </c>
      <c r="I22" s="42" t="s">
        <v>380</v>
      </c>
      <c r="J22" s="5"/>
      <c r="K22" s="3" t="s">
        <v>394</v>
      </c>
      <c r="L22" s="3" t="n">
        <v>8</v>
      </c>
      <c r="M22" s="21" t="n">
        <v>46211</v>
      </c>
      <c r="N22" s="13" t="str">
        <f aca="false">IF(AND(E22=M22,DAY(E22)=L22,K22=MONTH(E22)&amp;"/"&amp;DAY(E22)),"일치","차이 확인")</f>
        <v>일치</v>
      </c>
      <c r="O22" s="9" t="n">
        <f aca="false">MONTH(E22)</f>
        <v>7</v>
      </c>
      <c r="P22" s="9" t="n">
        <f aca="false">IF(AND(D22&gt;01_Inputs!$B$97,D22&lt;=01_Inputs!$B$98),1,0)</f>
        <v>1</v>
      </c>
      <c r="Q22" s="9" t="str">
        <f aca="false">IF(D22-D21=1,"연속","확인")</f>
        <v>연속</v>
      </c>
      <c r="R22" s="9" t="str">
        <f aca="false">IF(COUNTIF($D$6:$D$61,D22)&gt;1,"중복","-")</f>
        <v>-</v>
      </c>
      <c r="S22" s="16" t="n">
        <f aca="false">E22-E21</f>
        <v>2</v>
      </c>
      <c r="T22" s="9" t="str">
        <f aca="false">IF(MONTH(E22)&lt;&gt;MONTH(E21),"월 경계","")</f>
        <v/>
      </c>
      <c r="U22" s="16" t="n">
        <f aca="false">S22*24</f>
        <v>48</v>
      </c>
      <c r="V22" s="16" t="n">
        <f aca="false">MAX(0,(S22-1)*24)</f>
        <v>24</v>
      </c>
      <c r="W22" s="16" t="n">
        <f aca="false">(S22+1)*24</f>
        <v>72</v>
      </c>
      <c r="X22" s="16" t="n">
        <f aca="false">IF(ROW()-6&gt;=01_Inputs!$B$99,E22-INDEX($E$6:$E$61,ROW()-6+1-01_Inputs!$B$99),"")</f>
        <v>10</v>
      </c>
      <c r="Y22" s="15" t="n">
        <f aca="false">IF(ISNUMBER(X22),(X22+1)*24/01_Inputs!$B$99,"")</f>
        <v>66</v>
      </c>
      <c r="Z22" s="9" t="str">
        <f aca="false">IF(ISNUMBER(Y22),IF(Y22&lt;(01_Inputs!$B$15+01_Inputs!$B$16+N(01_Inputs!$B$22)),"확인 필요: 점유 하한 미만",""),"")</f>
        <v/>
      </c>
    </row>
    <row r="23" customFormat="false" ht="26.85" hidden="false" customHeight="false" outlineLevel="0" collapsed="false">
      <c r="A23" s="9" t="n">
        <v>18</v>
      </c>
      <c r="B23" s="9" t="s">
        <v>374</v>
      </c>
      <c r="C23" s="9" t="s">
        <v>375</v>
      </c>
      <c r="D23" s="3" t="n">
        <v>54</v>
      </c>
      <c r="E23" s="21" t="n">
        <v>46214</v>
      </c>
      <c r="F23" s="5"/>
      <c r="G23" s="5"/>
      <c r="H23" s="13" t="s">
        <v>376</v>
      </c>
      <c r="I23" s="42" t="s">
        <v>380</v>
      </c>
      <c r="J23" s="5"/>
      <c r="K23" s="3" t="s">
        <v>395</v>
      </c>
      <c r="L23" s="3" t="n">
        <v>11</v>
      </c>
      <c r="M23" s="21" t="n">
        <v>46214</v>
      </c>
      <c r="N23" s="13" t="str">
        <f aca="false">IF(AND(E23=M23,DAY(E23)=L23,K23=MONTH(E23)&amp;"/"&amp;DAY(E23)),"일치","차이 확인")</f>
        <v>일치</v>
      </c>
      <c r="O23" s="9" t="n">
        <f aca="false">MONTH(E23)</f>
        <v>7</v>
      </c>
      <c r="P23" s="9" t="n">
        <f aca="false">IF(AND(D23&gt;01_Inputs!$B$97,D23&lt;=01_Inputs!$B$98),1,0)</f>
        <v>1</v>
      </c>
      <c r="Q23" s="9" t="str">
        <f aca="false">IF(D23-D22=1,"연속","확인")</f>
        <v>연속</v>
      </c>
      <c r="R23" s="9" t="str">
        <f aca="false">IF(COUNTIF($D$6:$D$61,D23)&gt;1,"중복","-")</f>
        <v>-</v>
      </c>
      <c r="S23" s="16" t="n">
        <f aca="false">E23-E22</f>
        <v>3</v>
      </c>
      <c r="T23" s="9" t="str">
        <f aca="false">IF(MONTH(E23)&lt;&gt;MONTH(E22),"월 경계","")</f>
        <v/>
      </c>
      <c r="U23" s="16" t="n">
        <f aca="false">S23*24</f>
        <v>72</v>
      </c>
      <c r="V23" s="16" t="n">
        <f aca="false">MAX(0,(S23-1)*24)</f>
        <v>48</v>
      </c>
      <c r="W23" s="16" t="n">
        <f aca="false">(S23+1)*24</f>
        <v>96</v>
      </c>
      <c r="X23" s="16" t="n">
        <f aca="false">IF(ROW()-6&gt;=01_Inputs!$B$99,E23-INDEX($E$6:$E$61,ROW()-6+1-01_Inputs!$B$99),"")</f>
        <v>10</v>
      </c>
      <c r="Y23" s="15" t="n">
        <f aca="false">IF(ISNUMBER(X23),(X23+1)*24/01_Inputs!$B$99,"")</f>
        <v>66</v>
      </c>
      <c r="Z23" s="9" t="str">
        <f aca="false">IF(ISNUMBER(Y23),IF(Y23&lt;(01_Inputs!$B$15+01_Inputs!$B$16+N(01_Inputs!$B$22)),"확인 필요: 점유 하한 미만",""),"")</f>
        <v/>
      </c>
    </row>
    <row r="24" customFormat="false" ht="26.85" hidden="false" customHeight="false" outlineLevel="0" collapsed="false">
      <c r="A24" s="9" t="n">
        <v>19</v>
      </c>
      <c r="B24" s="9" t="s">
        <v>374</v>
      </c>
      <c r="C24" s="9" t="s">
        <v>375</v>
      </c>
      <c r="D24" s="3" t="n">
        <v>55</v>
      </c>
      <c r="E24" s="21" t="n">
        <v>46217</v>
      </c>
      <c r="F24" s="5"/>
      <c r="G24" s="5"/>
      <c r="H24" s="13" t="s">
        <v>376</v>
      </c>
      <c r="I24" s="42" t="s">
        <v>380</v>
      </c>
      <c r="J24" s="5"/>
      <c r="K24" s="3" t="s">
        <v>396</v>
      </c>
      <c r="L24" s="3" t="n">
        <v>14</v>
      </c>
      <c r="M24" s="21" t="n">
        <v>46217</v>
      </c>
      <c r="N24" s="13" t="str">
        <f aca="false">IF(AND(E24=M24,DAY(E24)=L24,K24=MONTH(E24)&amp;"/"&amp;DAY(E24)),"일치","차이 확인")</f>
        <v>일치</v>
      </c>
      <c r="O24" s="9" t="n">
        <f aca="false">MONTH(E24)</f>
        <v>7</v>
      </c>
      <c r="P24" s="9" t="n">
        <f aca="false">IF(AND(D24&gt;01_Inputs!$B$97,D24&lt;=01_Inputs!$B$98),1,0)</f>
        <v>1</v>
      </c>
      <c r="Q24" s="9" t="str">
        <f aca="false">IF(D24-D23=1,"연속","확인")</f>
        <v>연속</v>
      </c>
      <c r="R24" s="9" t="str">
        <f aca="false">IF(COUNTIF($D$6:$D$61,D24)&gt;1,"중복","-")</f>
        <v>-</v>
      </c>
      <c r="S24" s="16" t="n">
        <f aca="false">E24-E23</f>
        <v>3</v>
      </c>
      <c r="T24" s="9" t="str">
        <f aca="false">IF(MONTH(E24)&lt;&gt;MONTH(E23),"월 경계","")</f>
        <v/>
      </c>
      <c r="U24" s="16" t="n">
        <f aca="false">S24*24</f>
        <v>72</v>
      </c>
      <c r="V24" s="16" t="n">
        <f aca="false">MAX(0,(S24-1)*24)</f>
        <v>48</v>
      </c>
      <c r="W24" s="16" t="n">
        <f aca="false">(S24+1)*24</f>
        <v>96</v>
      </c>
      <c r="X24" s="16" t="n">
        <f aca="false">IF(ROW()-6&gt;=01_Inputs!$B$99,E24-INDEX($E$6:$E$61,ROW()-6+1-01_Inputs!$B$99),"")</f>
        <v>11</v>
      </c>
      <c r="Y24" s="15" t="n">
        <f aca="false">IF(ISNUMBER(X24),(X24+1)*24/01_Inputs!$B$99,"")</f>
        <v>72</v>
      </c>
      <c r="Z24" s="9" t="str">
        <f aca="false">IF(ISNUMBER(Y24),IF(Y24&lt;(01_Inputs!$B$15+01_Inputs!$B$16+N(01_Inputs!$B$22)),"확인 필요: 점유 하한 미만",""),"")</f>
        <v/>
      </c>
    </row>
    <row r="25" customFormat="false" ht="26.85" hidden="false" customHeight="false" outlineLevel="0" collapsed="false">
      <c r="A25" s="9" t="n">
        <v>20</v>
      </c>
      <c r="B25" s="9" t="s">
        <v>374</v>
      </c>
      <c r="C25" s="9" t="s">
        <v>375</v>
      </c>
      <c r="D25" s="3" t="n">
        <v>56</v>
      </c>
      <c r="E25" s="21" t="n">
        <v>46220</v>
      </c>
      <c r="F25" s="5"/>
      <c r="G25" s="5"/>
      <c r="H25" s="13" t="s">
        <v>376</v>
      </c>
      <c r="I25" s="42" t="s">
        <v>380</v>
      </c>
      <c r="J25" s="5"/>
      <c r="K25" s="3" t="s">
        <v>397</v>
      </c>
      <c r="L25" s="3" t="n">
        <v>17</v>
      </c>
      <c r="M25" s="21" t="n">
        <v>46220</v>
      </c>
      <c r="N25" s="13" t="str">
        <f aca="false">IF(AND(E25=M25,DAY(E25)=L25,K25=MONTH(E25)&amp;"/"&amp;DAY(E25)),"일치","차이 확인")</f>
        <v>일치</v>
      </c>
      <c r="O25" s="9" t="n">
        <f aca="false">MONTH(E25)</f>
        <v>7</v>
      </c>
      <c r="P25" s="9" t="n">
        <f aca="false">IF(AND(D25&gt;01_Inputs!$B$97,D25&lt;=01_Inputs!$B$98),1,0)</f>
        <v>1</v>
      </c>
      <c r="Q25" s="9" t="str">
        <f aca="false">IF(D25-D24=1,"연속","확인")</f>
        <v>연속</v>
      </c>
      <c r="R25" s="9" t="str">
        <f aca="false">IF(COUNTIF($D$6:$D$61,D25)&gt;1,"중복","-")</f>
        <v>-</v>
      </c>
      <c r="S25" s="16" t="n">
        <f aca="false">E25-E24</f>
        <v>3</v>
      </c>
      <c r="T25" s="9" t="str">
        <f aca="false">IF(MONTH(E25)&lt;&gt;MONTH(E24),"월 경계","")</f>
        <v/>
      </c>
      <c r="U25" s="16" t="n">
        <f aca="false">S25*24</f>
        <v>72</v>
      </c>
      <c r="V25" s="16" t="n">
        <f aca="false">MAX(0,(S25-1)*24)</f>
        <v>48</v>
      </c>
      <c r="W25" s="16" t="n">
        <f aca="false">(S25+1)*24</f>
        <v>96</v>
      </c>
      <c r="X25" s="16" t="n">
        <f aca="false">IF(ROW()-6&gt;=01_Inputs!$B$99,E25-INDEX($E$6:$E$61,ROW()-6+1-01_Inputs!$B$99),"")</f>
        <v>11</v>
      </c>
      <c r="Y25" s="15" t="n">
        <f aca="false">IF(ISNUMBER(X25),(X25+1)*24/01_Inputs!$B$99,"")</f>
        <v>72</v>
      </c>
      <c r="Z25" s="9" t="str">
        <f aca="false">IF(ISNUMBER(Y25),IF(Y25&lt;(01_Inputs!$B$15+01_Inputs!$B$16+N(01_Inputs!$B$22)),"확인 필요: 점유 하한 미만",""),"")</f>
        <v/>
      </c>
    </row>
    <row r="26" customFormat="false" ht="26.85" hidden="false" customHeight="false" outlineLevel="0" collapsed="false">
      <c r="A26" s="9" t="n">
        <v>21</v>
      </c>
      <c r="B26" s="9" t="s">
        <v>374</v>
      </c>
      <c r="C26" s="9" t="s">
        <v>375</v>
      </c>
      <c r="D26" s="3" t="n">
        <v>57</v>
      </c>
      <c r="E26" s="21" t="n">
        <v>46223</v>
      </c>
      <c r="F26" s="5"/>
      <c r="G26" s="5"/>
      <c r="H26" s="13" t="s">
        <v>376</v>
      </c>
      <c r="I26" s="42" t="s">
        <v>380</v>
      </c>
      <c r="J26" s="5"/>
      <c r="K26" s="3" t="s">
        <v>398</v>
      </c>
      <c r="L26" s="3" t="n">
        <v>20</v>
      </c>
      <c r="M26" s="21" t="n">
        <v>46223</v>
      </c>
      <c r="N26" s="13" t="str">
        <f aca="false">IF(AND(E26=M26,DAY(E26)=L26,K26=MONTH(E26)&amp;"/"&amp;DAY(E26)),"일치","차이 확인")</f>
        <v>일치</v>
      </c>
      <c r="O26" s="9" t="n">
        <f aca="false">MONTH(E26)</f>
        <v>7</v>
      </c>
      <c r="P26" s="9" t="n">
        <f aca="false">IF(AND(D26&gt;01_Inputs!$B$97,D26&lt;=01_Inputs!$B$98),1,0)</f>
        <v>1</v>
      </c>
      <c r="Q26" s="9" t="str">
        <f aca="false">IF(D26-D25=1,"연속","확인")</f>
        <v>연속</v>
      </c>
      <c r="R26" s="9" t="str">
        <f aca="false">IF(COUNTIF($D$6:$D$61,D26)&gt;1,"중복","-")</f>
        <v>-</v>
      </c>
      <c r="S26" s="16" t="n">
        <f aca="false">E26-E25</f>
        <v>3</v>
      </c>
      <c r="T26" s="9" t="str">
        <f aca="false">IF(MONTH(E26)&lt;&gt;MONTH(E25),"월 경계","")</f>
        <v/>
      </c>
      <c r="U26" s="16" t="n">
        <f aca="false">S26*24</f>
        <v>72</v>
      </c>
      <c r="V26" s="16" t="n">
        <f aca="false">MAX(0,(S26-1)*24)</f>
        <v>48</v>
      </c>
      <c r="W26" s="16" t="n">
        <f aca="false">(S26+1)*24</f>
        <v>96</v>
      </c>
      <c r="X26" s="16" t="n">
        <f aca="false">IF(ROW()-6&gt;=01_Inputs!$B$99,E26-INDEX($E$6:$E$61,ROW()-6+1-01_Inputs!$B$99),"")</f>
        <v>12</v>
      </c>
      <c r="Y26" s="15" t="n">
        <f aca="false">IF(ISNUMBER(X26),(X26+1)*24/01_Inputs!$B$99,"")</f>
        <v>78</v>
      </c>
      <c r="Z26" s="9" t="str">
        <f aca="false">IF(ISNUMBER(Y26),IF(Y26&lt;(01_Inputs!$B$15+01_Inputs!$B$16+N(01_Inputs!$B$22)),"확인 필요: 점유 하한 미만",""),"")</f>
        <v/>
      </c>
    </row>
    <row r="27" customFormat="false" ht="26.85" hidden="false" customHeight="false" outlineLevel="0" collapsed="false">
      <c r="A27" s="9" t="n">
        <v>22</v>
      </c>
      <c r="B27" s="9" t="s">
        <v>374</v>
      </c>
      <c r="C27" s="9" t="s">
        <v>375</v>
      </c>
      <c r="D27" s="3" t="n">
        <v>58</v>
      </c>
      <c r="E27" s="21" t="n">
        <v>46226</v>
      </c>
      <c r="F27" s="5"/>
      <c r="G27" s="5"/>
      <c r="H27" s="13" t="s">
        <v>376</v>
      </c>
      <c r="I27" s="42" t="s">
        <v>380</v>
      </c>
      <c r="J27" s="5"/>
      <c r="K27" s="3" t="s">
        <v>399</v>
      </c>
      <c r="L27" s="3" t="n">
        <v>23</v>
      </c>
      <c r="M27" s="21" t="n">
        <v>46226</v>
      </c>
      <c r="N27" s="13" t="str">
        <f aca="false">IF(AND(E27=M27,DAY(E27)=L27,K27=MONTH(E27)&amp;"/"&amp;DAY(E27)),"일치","차이 확인")</f>
        <v>일치</v>
      </c>
      <c r="O27" s="9" t="n">
        <f aca="false">MONTH(E27)</f>
        <v>7</v>
      </c>
      <c r="P27" s="9" t="n">
        <f aca="false">IF(AND(D27&gt;01_Inputs!$B$97,D27&lt;=01_Inputs!$B$98),1,0)</f>
        <v>1</v>
      </c>
      <c r="Q27" s="9" t="str">
        <f aca="false">IF(D27-D26=1,"연속","확인")</f>
        <v>연속</v>
      </c>
      <c r="R27" s="9" t="str">
        <f aca="false">IF(COUNTIF($D$6:$D$61,D27)&gt;1,"중복","-")</f>
        <v>-</v>
      </c>
      <c r="S27" s="16" t="n">
        <f aca="false">E27-E26</f>
        <v>3</v>
      </c>
      <c r="T27" s="9" t="str">
        <f aca="false">IF(MONTH(E27)&lt;&gt;MONTH(E26),"월 경계","")</f>
        <v/>
      </c>
      <c r="U27" s="16" t="n">
        <f aca="false">S27*24</f>
        <v>72</v>
      </c>
      <c r="V27" s="16" t="n">
        <f aca="false">MAX(0,(S27-1)*24)</f>
        <v>48</v>
      </c>
      <c r="W27" s="16" t="n">
        <f aca="false">(S27+1)*24</f>
        <v>96</v>
      </c>
      <c r="X27" s="16" t="n">
        <f aca="false">IF(ROW()-6&gt;=01_Inputs!$B$99,E27-INDEX($E$6:$E$61,ROW()-6+1-01_Inputs!$B$99),"")</f>
        <v>12</v>
      </c>
      <c r="Y27" s="15" t="n">
        <f aca="false">IF(ISNUMBER(X27),(X27+1)*24/01_Inputs!$B$99,"")</f>
        <v>78</v>
      </c>
      <c r="Z27" s="9" t="str">
        <f aca="false">IF(ISNUMBER(Y27),IF(Y27&lt;(01_Inputs!$B$15+01_Inputs!$B$16+N(01_Inputs!$B$22)),"확인 필요: 점유 하한 미만",""),"")</f>
        <v/>
      </c>
    </row>
    <row r="28" customFormat="false" ht="26.85" hidden="false" customHeight="false" outlineLevel="0" collapsed="false">
      <c r="A28" s="9" t="n">
        <v>23</v>
      </c>
      <c r="B28" s="9" t="s">
        <v>374</v>
      </c>
      <c r="C28" s="9" t="s">
        <v>375</v>
      </c>
      <c r="D28" s="3" t="n">
        <v>59</v>
      </c>
      <c r="E28" s="21" t="n">
        <v>46229</v>
      </c>
      <c r="F28" s="5"/>
      <c r="G28" s="5"/>
      <c r="H28" s="13" t="s">
        <v>376</v>
      </c>
      <c r="I28" s="42" t="s">
        <v>380</v>
      </c>
      <c r="J28" s="5"/>
      <c r="K28" s="3" t="s">
        <v>400</v>
      </c>
      <c r="L28" s="3" t="n">
        <v>26</v>
      </c>
      <c r="M28" s="21" t="n">
        <v>46229</v>
      </c>
      <c r="N28" s="13" t="str">
        <f aca="false">IF(AND(E28=M28,DAY(E28)=L28,K28=MONTH(E28)&amp;"/"&amp;DAY(E28)),"일치","차이 확인")</f>
        <v>일치</v>
      </c>
      <c r="O28" s="9" t="n">
        <f aca="false">MONTH(E28)</f>
        <v>7</v>
      </c>
      <c r="P28" s="9" t="n">
        <f aca="false">IF(AND(D28&gt;01_Inputs!$B$97,D28&lt;=01_Inputs!$B$98),1,0)</f>
        <v>1</v>
      </c>
      <c r="Q28" s="9" t="str">
        <f aca="false">IF(D28-D27=1,"연속","확인")</f>
        <v>연속</v>
      </c>
      <c r="R28" s="9" t="str">
        <f aca="false">IF(COUNTIF($D$6:$D$61,D28)&gt;1,"중복","-")</f>
        <v>-</v>
      </c>
      <c r="S28" s="16" t="n">
        <f aca="false">E28-E27</f>
        <v>3</v>
      </c>
      <c r="T28" s="9" t="str">
        <f aca="false">IF(MONTH(E28)&lt;&gt;MONTH(E27),"월 경계","")</f>
        <v/>
      </c>
      <c r="U28" s="16" t="n">
        <f aca="false">S28*24</f>
        <v>72</v>
      </c>
      <c r="V28" s="16" t="n">
        <f aca="false">MAX(0,(S28-1)*24)</f>
        <v>48</v>
      </c>
      <c r="W28" s="16" t="n">
        <f aca="false">(S28+1)*24</f>
        <v>96</v>
      </c>
      <c r="X28" s="16" t="n">
        <f aca="false">IF(ROW()-6&gt;=01_Inputs!$B$99,E28-INDEX($E$6:$E$61,ROW()-6+1-01_Inputs!$B$99),"")</f>
        <v>12</v>
      </c>
      <c r="Y28" s="15" t="n">
        <f aca="false">IF(ISNUMBER(X28),(X28+1)*24/01_Inputs!$B$99,"")</f>
        <v>78</v>
      </c>
      <c r="Z28" s="9" t="str">
        <f aca="false">IF(ISNUMBER(Y28),IF(Y28&lt;(01_Inputs!$B$15+01_Inputs!$B$16+N(01_Inputs!$B$22)),"확인 필요: 점유 하한 미만",""),"")</f>
        <v/>
      </c>
    </row>
    <row r="29" customFormat="false" ht="26.85" hidden="false" customHeight="false" outlineLevel="0" collapsed="false">
      <c r="A29" s="9" t="n">
        <v>24</v>
      </c>
      <c r="B29" s="9" t="s">
        <v>374</v>
      </c>
      <c r="C29" s="9" t="s">
        <v>375</v>
      </c>
      <c r="D29" s="3" t="n">
        <v>60</v>
      </c>
      <c r="E29" s="21" t="n">
        <v>46232</v>
      </c>
      <c r="F29" s="5"/>
      <c r="G29" s="5"/>
      <c r="H29" s="13" t="s">
        <v>376</v>
      </c>
      <c r="I29" s="42" t="s">
        <v>380</v>
      </c>
      <c r="J29" s="5"/>
      <c r="K29" s="3" t="s">
        <v>401</v>
      </c>
      <c r="L29" s="3" t="n">
        <v>29</v>
      </c>
      <c r="M29" s="21" t="n">
        <v>46232</v>
      </c>
      <c r="N29" s="13" t="str">
        <f aca="false">IF(AND(E29=M29,DAY(E29)=L29,K29=MONTH(E29)&amp;"/"&amp;DAY(E29)),"일치","차이 확인")</f>
        <v>일치</v>
      </c>
      <c r="O29" s="9" t="n">
        <f aca="false">MONTH(E29)</f>
        <v>7</v>
      </c>
      <c r="P29" s="9" t="n">
        <f aca="false">IF(AND(D29&gt;01_Inputs!$B$97,D29&lt;=01_Inputs!$B$98),1,0)</f>
        <v>1</v>
      </c>
      <c r="Q29" s="9" t="str">
        <f aca="false">IF(D29-D28=1,"연속","확인")</f>
        <v>연속</v>
      </c>
      <c r="R29" s="9" t="str">
        <f aca="false">IF(COUNTIF($D$6:$D$61,D29)&gt;1,"중복","-")</f>
        <v>-</v>
      </c>
      <c r="S29" s="16" t="n">
        <f aca="false">E29-E28</f>
        <v>3</v>
      </c>
      <c r="T29" s="9" t="str">
        <f aca="false">IF(MONTH(E29)&lt;&gt;MONTH(E28),"월 경계","")</f>
        <v/>
      </c>
      <c r="U29" s="16" t="n">
        <f aca="false">S29*24</f>
        <v>72</v>
      </c>
      <c r="V29" s="16" t="n">
        <f aca="false">MAX(0,(S29-1)*24)</f>
        <v>48</v>
      </c>
      <c r="W29" s="16" t="n">
        <f aca="false">(S29+1)*24</f>
        <v>96</v>
      </c>
      <c r="X29" s="16" t="n">
        <f aca="false">IF(ROW()-6&gt;=01_Inputs!$B$99,E29-INDEX($E$6:$E$61,ROW()-6+1-01_Inputs!$B$99),"")</f>
        <v>12</v>
      </c>
      <c r="Y29" s="15" t="n">
        <f aca="false">IF(ISNUMBER(X29),(X29+1)*24/01_Inputs!$B$99,"")</f>
        <v>78</v>
      </c>
      <c r="Z29" s="9" t="str">
        <f aca="false">IF(ISNUMBER(Y29),IF(Y29&lt;(01_Inputs!$B$15+01_Inputs!$B$16+N(01_Inputs!$B$22)),"확인 필요: 점유 하한 미만",""),"")</f>
        <v/>
      </c>
    </row>
    <row r="30" customFormat="false" ht="26.85" hidden="false" customHeight="false" outlineLevel="0" collapsed="false">
      <c r="A30" s="9" t="n">
        <v>25</v>
      </c>
      <c r="B30" s="9" t="s">
        <v>374</v>
      </c>
      <c r="C30" s="9" t="s">
        <v>375</v>
      </c>
      <c r="D30" s="3" t="n">
        <v>61</v>
      </c>
      <c r="E30" s="21" t="n">
        <v>46235</v>
      </c>
      <c r="F30" s="5"/>
      <c r="G30" s="5"/>
      <c r="H30" s="13" t="s">
        <v>376</v>
      </c>
      <c r="I30" s="42" t="s">
        <v>380</v>
      </c>
      <c r="J30" s="5"/>
      <c r="K30" s="3" t="s">
        <v>402</v>
      </c>
      <c r="L30" s="3" t="n">
        <v>1</v>
      </c>
      <c r="M30" s="21" t="n">
        <v>46235</v>
      </c>
      <c r="N30" s="13" t="str">
        <f aca="false">IF(AND(E30=M30,DAY(E30)=L30,K30=MONTH(E30)&amp;"/"&amp;DAY(E30)),"일치","차이 확인")</f>
        <v>일치</v>
      </c>
      <c r="O30" s="9" t="n">
        <f aca="false">MONTH(E30)</f>
        <v>8</v>
      </c>
      <c r="P30" s="9" t="n">
        <f aca="false">IF(AND(D30&gt;01_Inputs!$B$97,D30&lt;=01_Inputs!$B$98),1,0)</f>
        <v>1</v>
      </c>
      <c r="Q30" s="9" t="str">
        <f aca="false">IF(D30-D29=1,"연속","확인")</f>
        <v>연속</v>
      </c>
      <c r="R30" s="9" t="str">
        <f aca="false">IF(COUNTIF($D$6:$D$61,D30)&gt;1,"중복","-")</f>
        <v>-</v>
      </c>
      <c r="S30" s="16" t="n">
        <f aca="false">E30-E29</f>
        <v>3</v>
      </c>
      <c r="T30" s="9" t="str">
        <f aca="false">IF(MONTH(E30)&lt;&gt;MONTH(E29),"월 경계","")</f>
        <v>월 경계</v>
      </c>
      <c r="U30" s="16" t="n">
        <f aca="false">S30*24</f>
        <v>72</v>
      </c>
      <c r="V30" s="16" t="n">
        <f aca="false">MAX(0,(S30-1)*24)</f>
        <v>48</v>
      </c>
      <c r="W30" s="16" t="n">
        <f aca="false">(S30+1)*24</f>
        <v>96</v>
      </c>
      <c r="X30" s="16" t="n">
        <f aca="false">IF(ROW()-6&gt;=01_Inputs!$B$99,E30-INDEX($E$6:$E$61,ROW()-6+1-01_Inputs!$B$99),"")</f>
        <v>12</v>
      </c>
      <c r="Y30" s="15" t="n">
        <f aca="false">IF(ISNUMBER(X30),(X30+1)*24/01_Inputs!$B$99,"")</f>
        <v>78</v>
      </c>
      <c r="Z30" s="9" t="str">
        <f aca="false">IF(ISNUMBER(Y30),IF(Y30&lt;(01_Inputs!$B$15+01_Inputs!$B$16+N(01_Inputs!$B$22)),"확인 필요: 점유 하한 미만",""),"")</f>
        <v/>
      </c>
    </row>
    <row r="31" customFormat="false" ht="26.85" hidden="false" customHeight="false" outlineLevel="0" collapsed="false">
      <c r="A31" s="9" t="n">
        <v>26</v>
      </c>
      <c r="B31" s="9" t="s">
        <v>374</v>
      </c>
      <c r="C31" s="9" t="s">
        <v>375</v>
      </c>
      <c r="D31" s="3" t="n">
        <v>62</v>
      </c>
      <c r="E31" s="21" t="n">
        <v>46238</v>
      </c>
      <c r="F31" s="5"/>
      <c r="G31" s="5"/>
      <c r="H31" s="13" t="s">
        <v>376</v>
      </c>
      <c r="I31" s="42" t="s">
        <v>380</v>
      </c>
      <c r="J31" s="5"/>
      <c r="K31" s="3" t="s">
        <v>403</v>
      </c>
      <c r="L31" s="3" t="n">
        <v>4</v>
      </c>
      <c r="M31" s="21" t="n">
        <v>46238</v>
      </c>
      <c r="N31" s="13" t="str">
        <f aca="false">IF(AND(E31=M31,DAY(E31)=L31,K31=MONTH(E31)&amp;"/"&amp;DAY(E31)),"일치","차이 확인")</f>
        <v>일치</v>
      </c>
      <c r="O31" s="9" t="n">
        <f aca="false">MONTH(E31)</f>
        <v>8</v>
      </c>
      <c r="P31" s="9" t="n">
        <f aca="false">IF(AND(D31&gt;01_Inputs!$B$97,D31&lt;=01_Inputs!$B$98),1,0)</f>
        <v>1</v>
      </c>
      <c r="Q31" s="9" t="str">
        <f aca="false">IF(D31-D30=1,"연속","확인")</f>
        <v>연속</v>
      </c>
      <c r="R31" s="9" t="str">
        <f aca="false">IF(COUNTIF($D$6:$D$61,D31)&gt;1,"중복","-")</f>
        <v>-</v>
      </c>
      <c r="S31" s="16" t="n">
        <f aca="false">E31-E30</f>
        <v>3</v>
      </c>
      <c r="T31" s="9" t="str">
        <f aca="false">IF(MONTH(E31)&lt;&gt;MONTH(E30),"월 경계","")</f>
        <v/>
      </c>
      <c r="U31" s="16" t="n">
        <f aca="false">S31*24</f>
        <v>72</v>
      </c>
      <c r="V31" s="16" t="n">
        <f aca="false">MAX(0,(S31-1)*24)</f>
        <v>48</v>
      </c>
      <c r="W31" s="16" t="n">
        <f aca="false">(S31+1)*24</f>
        <v>96</v>
      </c>
      <c r="X31" s="16" t="n">
        <f aca="false">IF(ROW()-6&gt;=01_Inputs!$B$99,E31-INDEX($E$6:$E$61,ROW()-6+1-01_Inputs!$B$99),"")</f>
        <v>12</v>
      </c>
      <c r="Y31" s="15" t="n">
        <f aca="false">IF(ISNUMBER(X31),(X31+1)*24/01_Inputs!$B$99,"")</f>
        <v>78</v>
      </c>
      <c r="Z31" s="9" t="str">
        <f aca="false">IF(ISNUMBER(Y31),IF(Y31&lt;(01_Inputs!$B$15+01_Inputs!$B$16+N(01_Inputs!$B$22)),"확인 필요: 점유 하한 미만",""),"")</f>
        <v/>
      </c>
    </row>
    <row r="32" customFormat="false" ht="26.85" hidden="false" customHeight="false" outlineLevel="0" collapsed="false">
      <c r="A32" s="9" t="n">
        <v>27</v>
      </c>
      <c r="B32" s="9" t="s">
        <v>374</v>
      </c>
      <c r="C32" s="9" t="s">
        <v>375</v>
      </c>
      <c r="D32" s="3" t="n">
        <v>63</v>
      </c>
      <c r="E32" s="21" t="n">
        <v>46241</v>
      </c>
      <c r="F32" s="5"/>
      <c r="G32" s="5"/>
      <c r="H32" s="13" t="s">
        <v>376</v>
      </c>
      <c r="I32" s="42" t="s">
        <v>380</v>
      </c>
      <c r="J32" s="5"/>
      <c r="K32" s="3" t="s">
        <v>404</v>
      </c>
      <c r="L32" s="3" t="n">
        <v>7</v>
      </c>
      <c r="M32" s="21" t="n">
        <v>46241</v>
      </c>
      <c r="N32" s="13" t="str">
        <f aca="false">IF(AND(E32=M32,DAY(E32)=L32,K32=MONTH(E32)&amp;"/"&amp;DAY(E32)),"일치","차이 확인")</f>
        <v>일치</v>
      </c>
      <c r="O32" s="9" t="n">
        <f aca="false">MONTH(E32)</f>
        <v>8</v>
      </c>
      <c r="P32" s="9" t="n">
        <f aca="false">IF(AND(D32&gt;01_Inputs!$B$97,D32&lt;=01_Inputs!$B$98),1,0)</f>
        <v>1</v>
      </c>
      <c r="Q32" s="9" t="str">
        <f aca="false">IF(D32-D31=1,"연속","확인")</f>
        <v>연속</v>
      </c>
      <c r="R32" s="9" t="str">
        <f aca="false">IF(COUNTIF($D$6:$D$61,D32)&gt;1,"중복","-")</f>
        <v>-</v>
      </c>
      <c r="S32" s="16" t="n">
        <f aca="false">E32-E31</f>
        <v>3</v>
      </c>
      <c r="T32" s="9" t="str">
        <f aca="false">IF(MONTH(E32)&lt;&gt;MONTH(E31),"월 경계","")</f>
        <v/>
      </c>
      <c r="U32" s="16" t="n">
        <f aca="false">S32*24</f>
        <v>72</v>
      </c>
      <c r="V32" s="16" t="n">
        <f aca="false">MAX(0,(S32-1)*24)</f>
        <v>48</v>
      </c>
      <c r="W32" s="16" t="n">
        <f aca="false">(S32+1)*24</f>
        <v>96</v>
      </c>
      <c r="X32" s="16" t="n">
        <f aca="false">IF(ROW()-6&gt;=01_Inputs!$B$99,E32-INDEX($E$6:$E$61,ROW()-6+1-01_Inputs!$B$99),"")</f>
        <v>12</v>
      </c>
      <c r="Y32" s="15" t="n">
        <f aca="false">IF(ISNUMBER(X32),(X32+1)*24/01_Inputs!$B$99,"")</f>
        <v>78</v>
      </c>
      <c r="Z32" s="9" t="str">
        <f aca="false">IF(ISNUMBER(Y32),IF(Y32&lt;(01_Inputs!$B$15+01_Inputs!$B$16+N(01_Inputs!$B$22)),"확인 필요: 점유 하한 미만",""),"")</f>
        <v/>
      </c>
    </row>
    <row r="33" customFormat="false" ht="26.85" hidden="false" customHeight="false" outlineLevel="0" collapsed="false">
      <c r="A33" s="9" t="n">
        <v>28</v>
      </c>
      <c r="B33" s="9" t="s">
        <v>374</v>
      </c>
      <c r="C33" s="9" t="s">
        <v>375</v>
      </c>
      <c r="D33" s="3" t="n">
        <v>64</v>
      </c>
      <c r="E33" s="21" t="n">
        <v>46244</v>
      </c>
      <c r="F33" s="5"/>
      <c r="G33" s="5"/>
      <c r="H33" s="13" t="s">
        <v>376</v>
      </c>
      <c r="I33" s="42" t="s">
        <v>380</v>
      </c>
      <c r="J33" s="5"/>
      <c r="K33" s="3" t="s">
        <v>405</v>
      </c>
      <c r="L33" s="3" t="n">
        <v>10</v>
      </c>
      <c r="M33" s="21" t="n">
        <v>46244</v>
      </c>
      <c r="N33" s="13" t="str">
        <f aca="false">IF(AND(E33=M33,DAY(E33)=L33,K33=MONTH(E33)&amp;"/"&amp;DAY(E33)),"일치","차이 확인")</f>
        <v>일치</v>
      </c>
      <c r="O33" s="9" t="n">
        <f aca="false">MONTH(E33)</f>
        <v>8</v>
      </c>
      <c r="P33" s="9" t="n">
        <f aca="false">IF(AND(D33&gt;01_Inputs!$B$97,D33&lt;=01_Inputs!$B$98),1,0)</f>
        <v>1</v>
      </c>
      <c r="Q33" s="9" t="str">
        <f aca="false">IF(D33-D32=1,"연속","확인")</f>
        <v>연속</v>
      </c>
      <c r="R33" s="9" t="str">
        <f aca="false">IF(COUNTIF($D$6:$D$61,D33)&gt;1,"중복","-")</f>
        <v>-</v>
      </c>
      <c r="S33" s="16" t="n">
        <f aca="false">E33-E32</f>
        <v>3</v>
      </c>
      <c r="T33" s="9" t="str">
        <f aca="false">IF(MONTH(E33)&lt;&gt;MONTH(E32),"월 경계","")</f>
        <v/>
      </c>
      <c r="U33" s="16" t="n">
        <f aca="false">S33*24</f>
        <v>72</v>
      </c>
      <c r="V33" s="16" t="n">
        <f aca="false">MAX(0,(S33-1)*24)</f>
        <v>48</v>
      </c>
      <c r="W33" s="16" t="n">
        <f aca="false">(S33+1)*24</f>
        <v>96</v>
      </c>
      <c r="X33" s="16" t="n">
        <f aca="false">IF(ROW()-6&gt;=01_Inputs!$B$99,E33-INDEX($E$6:$E$61,ROW()-6+1-01_Inputs!$B$99),"")</f>
        <v>12</v>
      </c>
      <c r="Y33" s="15" t="n">
        <f aca="false">IF(ISNUMBER(X33),(X33+1)*24/01_Inputs!$B$99,"")</f>
        <v>78</v>
      </c>
      <c r="Z33" s="9" t="str">
        <f aca="false">IF(ISNUMBER(Y33),IF(Y33&lt;(01_Inputs!$B$15+01_Inputs!$B$16+N(01_Inputs!$B$22)),"확인 필요: 점유 하한 미만",""),"")</f>
        <v/>
      </c>
    </row>
    <row r="34" customFormat="false" ht="26.85" hidden="false" customHeight="false" outlineLevel="0" collapsed="false">
      <c r="A34" s="9" t="n">
        <v>29</v>
      </c>
      <c r="B34" s="9" t="s">
        <v>374</v>
      </c>
      <c r="C34" s="9" t="s">
        <v>375</v>
      </c>
      <c r="D34" s="3" t="n">
        <v>65</v>
      </c>
      <c r="E34" s="21" t="n">
        <v>46247</v>
      </c>
      <c r="F34" s="5"/>
      <c r="G34" s="5"/>
      <c r="H34" s="13" t="s">
        <v>376</v>
      </c>
      <c r="I34" s="42" t="s">
        <v>380</v>
      </c>
      <c r="J34" s="5"/>
      <c r="K34" s="3" t="s">
        <v>406</v>
      </c>
      <c r="L34" s="3" t="n">
        <v>13</v>
      </c>
      <c r="M34" s="21" t="n">
        <v>46247</v>
      </c>
      <c r="N34" s="13" t="str">
        <f aca="false">IF(AND(E34=M34,DAY(E34)=L34,K34=MONTH(E34)&amp;"/"&amp;DAY(E34)),"일치","차이 확인")</f>
        <v>일치</v>
      </c>
      <c r="O34" s="9" t="n">
        <f aca="false">MONTH(E34)</f>
        <v>8</v>
      </c>
      <c r="P34" s="9" t="n">
        <f aca="false">IF(AND(D34&gt;01_Inputs!$B$97,D34&lt;=01_Inputs!$B$98),1,0)</f>
        <v>1</v>
      </c>
      <c r="Q34" s="9" t="str">
        <f aca="false">IF(D34-D33=1,"연속","확인")</f>
        <v>연속</v>
      </c>
      <c r="R34" s="9" t="str">
        <f aca="false">IF(COUNTIF($D$6:$D$61,D34)&gt;1,"중복","-")</f>
        <v>-</v>
      </c>
      <c r="S34" s="16" t="n">
        <f aca="false">E34-E33</f>
        <v>3</v>
      </c>
      <c r="T34" s="9" t="str">
        <f aca="false">IF(MONTH(E34)&lt;&gt;MONTH(E33),"월 경계","")</f>
        <v/>
      </c>
      <c r="U34" s="16" t="n">
        <f aca="false">S34*24</f>
        <v>72</v>
      </c>
      <c r="V34" s="16" t="n">
        <f aca="false">MAX(0,(S34-1)*24)</f>
        <v>48</v>
      </c>
      <c r="W34" s="16" t="n">
        <f aca="false">(S34+1)*24</f>
        <v>96</v>
      </c>
      <c r="X34" s="16" t="n">
        <f aca="false">IF(ROW()-6&gt;=01_Inputs!$B$99,E34-INDEX($E$6:$E$61,ROW()-6+1-01_Inputs!$B$99),"")</f>
        <v>12</v>
      </c>
      <c r="Y34" s="15" t="n">
        <f aca="false">IF(ISNUMBER(X34),(X34+1)*24/01_Inputs!$B$99,"")</f>
        <v>78</v>
      </c>
      <c r="Z34" s="9" t="str">
        <f aca="false">IF(ISNUMBER(Y34),IF(Y34&lt;(01_Inputs!$B$15+01_Inputs!$B$16+N(01_Inputs!$B$22)),"확인 필요: 점유 하한 미만",""),"")</f>
        <v/>
      </c>
    </row>
    <row r="35" customFormat="false" ht="26.85" hidden="false" customHeight="false" outlineLevel="0" collapsed="false">
      <c r="A35" s="9" t="n">
        <v>30</v>
      </c>
      <c r="B35" s="9" t="s">
        <v>374</v>
      </c>
      <c r="C35" s="9" t="s">
        <v>375</v>
      </c>
      <c r="D35" s="3" t="n">
        <v>66</v>
      </c>
      <c r="E35" s="21" t="n">
        <v>46250</v>
      </c>
      <c r="F35" s="5"/>
      <c r="G35" s="5"/>
      <c r="H35" s="13" t="s">
        <v>376</v>
      </c>
      <c r="I35" s="42" t="s">
        <v>380</v>
      </c>
      <c r="J35" s="5"/>
      <c r="K35" s="3" t="s">
        <v>407</v>
      </c>
      <c r="L35" s="3" t="n">
        <v>16</v>
      </c>
      <c r="M35" s="21" t="n">
        <v>46250</v>
      </c>
      <c r="N35" s="13" t="str">
        <f aca="false">IF(AND(E35=M35,DAY(E35)=L35,K35=MONTH(E35)&amp;"/"&amp;DAY(E35)),"일치","차이 확인")</f>
        <v>일치</v>
      </c>
      <c r="O35" s="9" t="n">
        <f aca="false">MONTH(E35)</f>
        <v>8</v>
      </c>
      <c r="P35" s="9" t="n">
        <f aca="false">IF(AND(D35&gt;01_Inputs!$B$97,D35&lt;=01_Inputs!$B$98),1,0)</f>
        <v>1</v>
      </c>
      <c r="Q35" s="9" t="str">
        <f aca="false">IF(D35-D34=1,"연속","확인")</f>
        <v>연속</v>
      </c>
      <c r="R35" s="9" t="str">
        <f aca="false">IF(COUNTIF($D$6:$D$61,D35)&gt;1,"중복","-")</f>
        <v>-</v>
      </c>
      <c r="S35" s="16" t="n">
        <f aca="false">E35-E34</f>
        <v>3</v>
      </c>
      <c r="T35" s="9" t="str">
        <f aca="false">IF(MONTH(E35)&lt;&gt;MONTH(E34),"월 경계","")</f>
        <v/>
      </c>
      <c r="U35" s="16" t="n">
        <f aca="false">S35*24</f>
        <v>72</v>
      </c>
      <c r="V35" s="16" t="n">
        <f aca="false">MAX(0,(S35-1)*24)</f>
        <v>48</v>
      </c>
      <c r="W35" s="16" t="n">
        <f aca="false">(S35+1)*24</f>
        <v>96</v>
      </c>
      <c r="X35" s="16" t="n">
        <f aca="false">IF(ROW()-6&gt;=01_Inputs!$B$99,E35-INDEX($E$6:$E$61,ROW()-6+1-01_Inputs!$B$99),"")</f>
        <v>12</v>
      </c>
      <c r="Y35" s="15" t="n">
        <f aca="false">IF(ISNUMBER(X35),(X35+1)*24/01_Inputs!$B$99,"")</f>
        <v>78</v>
      </c>
      <c r="Z35" s="9" t="str">
        <f aca="false">IF(ISNUMBER(Y35),IF(Y35&lt;(01_Inputs!$B$15+01_Inputs!$B$16+N(01_Inputs!$B$22)),"확인 필요: 점유 하한 미만",""),"")</f>
        <v/>
      </c>
    </row>
    <row r="36" customFormat="false" ht="26.85" hidden="false" customHeight="false" outlineLevel="0" collapsed="false">
      <c r="A36" s="9" t="n">
        <v>31</v>
      </c>
      <c r="B36" s="9" t="s">
        <v>374</v>
      </c>
      <c r="C36" s="9" t="s">
        <v>375</v>
      </c>
      <c r="D36" s="3" t="n">
        <v>67</v>
      </c>
      <c r="E36" s="21" t="n">
        <v>46253</v>
      </c>
      <c r="F36" s="5"/>
      <c r="G36" s="5"/>
      <c r="H36" s="13" t="s">
        <v>376</v>
      </c>
      <c r="I36" s="42" t="s">
        <v>380</v>
      </c>
      <c r="J36" s="5"/>
      <c r="K36" s="3" t="s">
        <v>408</v>
      </c>
      <c r="L36" s="3" t="n">
        <v>19</v>
      </c>
      <c r="M36" s="21" t="n">
        <v>46253</v>
      </c>
      <c r="N36" s="13" t="str">
        <f aca="false">IF(AND(E36=M36,DAY(E36)=L36,K36=MONTH(E36)&amp;"/"&amp;DAY(E36)),"일치","차이 확인")</f>
        <v>일치</v>
      </c>
      <c r="O36" s="9" t="n">
        <f aca="false">MONTH(E36)</f>
        <v>8</v>
      </c>
      <c r="P36" s="9" t="n">
        <f aca="false">IF(AND(D36&gt;01_Inputs!$B$97,D36&lt;=01_Inputs!$B$98),1,0)</f>
        <v>1</v>
      </c>
      <c r="Q36" s="9" t="str">
        <f aca="false">IF(D36-D35=1,"연속","확인")</f>
        <v>연속</v>
      </c>
      <c r="R36" s="9" t="str">
        <f aca="false">IF(COUNTIF($D$6:$D$61,D36)&gt;1,"중복","-")</f>
        <v>-</v>
      </c>
      <c r="S36" s="16" t="n">
        <f aca="false">E36-E35</f>
        <v>3</v>
      </c>
      <c r="T36" s="9" t="str">
        <f aca="false">IF(MONTH(E36)&lt;&gt;MONTH(E35),"월 경계","")</f>
        <v/>
      </c>
      <c r="U36" s="16" t="n">
        <f aca="false">S36*24</f>
        <v>72</v>
      </c>
      <c r="V36" s="16" t="n">
        <f aca="false">MAX(0,(S36-1)*24)</f>
        <v>48</v>
      </c>
      <c r="W36" s="16" t="n">
        <f aca="false">(S36+1)*24</f>
        <v>96</v>
      </c>
      <c r="X36" s="16" t="n">
        <f aca="false">IF(ROW()-6&gt;=01_Inputs!$B$99,E36-INDEX($E$6:$E$61,ROW()-6+1-01_Inputs!$B$99),"")</f>
        <v>12</v>
      </c>
      <c r="Y36" s="15" t="n">
        <f aca="false">IF(ISNUMBER(X36),(X36+1)*24/01_Inputs!$B$99,"")</f>
        <v>78</v>
      </c>
      <c r="Z36" s="9" t="str">
        <f aca="false">IF(ISNUMBER(Y36),IF(Y36&lt;(01_Inputs!$B$15+01_Inputs!$B$16+N(01_Inputs!$B$22)),"확인 필요: 점유 하한 미만",""),"")</f>
        <v/>
      </c>
    </row>
    <row r="37" customFormat="false" ht="26.85" hidden="false" customHeight="false" outlineLevel="0" collapsed="false">
      <c r="A37" s="9" t="n">
        <v>32</v>
      </c>
      <c r="B37" s="9" t="s">
        <v>374</v>
      </c>
      <c r="C37" s="9" t="s">
        <v>375</v>
      </c>
      <c r="D37" s="3" t="n">
        <v>68</v>
      </c>
      <c r="E37" s="21" t="n">
        <v>46256</v>
      </c>
      <c r="F37" s="5"/>
      <c r="G37" s="5"/>
      <c r="H37" s="13" t="s">
        <v>376</v>
      </c>
      <c r="I37" s="42" t="s">
        <v>380</v>
      </c>
      <c r="J37" s="5"/>
      <c r="K37" s="3" t="s">
        <v>409</v>
      </c>
      <c r="L37" s="3" t="n">
        <v>22</v>
      </c>
      <c r="M37" s="21" t="n">
        <v>46256</v>
      </c>
      <c r="N37" s="13" t="str">
        <f aca="false">IF(AND(E37=M37,DAY(E37)=L37,K37=MONTH(E37)&amp;"/"&amp;DAY(E37)),"일치","차이 확인")</f>
        <v>일치</v>
      </c>
      <c r="O37" s="9" t="n">
        <f aca="false">MONTH(E37)</f>
        <v>8</v>
      </c>
      <c r="P37" s="9" t="n">
        <f aca="false">IF(AND(D37&gt;01_Inputs!$B$97,D37&lt;=01_Inputs!$B$98),1,0)</f>
        <v>1</v>
      </c>
      <c r="Q37" s="9" t="str">
        <f aca="false">IF(D37-D36=1,"연속","확인")</f>
        <v>연속</v>
      </c>
      <c r="R37" s="9" t="str">
        <f aca="false">IF(COUNTIF($D$6:$D$61,D37)&gt;1,"중복","-")</f>
        <v>-</v>
      </c>
      <c r="S37" s="16" t="n">
        <f aca="false">E37-E36</f>
        <v>3</v>
      </c>
      <c r="T37" s="9" t="str">
        <f aca="false">IF(MONTH(E37)&lt;&gt;MONTH(E36),"월 경계","")</f>
        <v/>
      </c>
      <c r="U37" s="16" t="n">
        <f aca="false">S37*24</f>
        <v>72</v>
      </c>
      <c r="V37" s="16" t="n">
        <f aca="false">MAX(0,(S37-1)*24)</f>
        <v>48</v>
      </c>
      <c r="W37" s="16" t="n">
        <f aca="false">(S37+1)*24</f>
        <v>96</v>
      </c>
      <c r="X37" s="16" t="n">
        <f aca="false">IF(ROW()-6&gt;=01_Inputs!$B$99,E37-INDEX($E$6:$E$61,ROW()-6+1-01_Inputs!$B$99),"")</f>
        <v>12</v>
      </c>
      <c r="Y37" s="15" t="n">
        <f aca="false">IF(ISNUMBER(X37),(X37+1)*24/01_Inputs!$B$99,"")</f>
        <v>78</v>
      </c>
      <c r="Z37" s="9" t="str">
        <f aca="false">IF(ISNUMBER(Y37),IF(Y37&lt;(01_Inputs!$B$15+01_Inputs!$B$16+N(01_Inputs!$B$22)),"확인 필요: 점유 하한 미만",""),"")</f>
        <v/>
      </c>
    </row>
    <row r="38" customFormat="false" ht="26.85" hidden="false" customHeight="false" outlineLevel="0" collapsed="false">
      <c r="A38" s="9" t="n">
        <v>33</v>
      </c>
      <c r="B38" s="9" t="s">
        <v>374</v>
      </c>
      <c r="C38" s="9" t="s">
        <v>375</v>
      </c>
      <c r="D38" s="3" t="n">
        <v>69</v>
      </c>
      <c r="E38" s="21" t="n">
        <v>46259</v>
      </c>
      <c r="F38" s="5"/>
      <c r="G38" s="5"/>
      <c r="H38" s="13" t="s">
        <v>376</v>
      </c>
      <c r="I38" s="42" t="s">
        <v>380</v>
      </c>
      <c r="J38" s="5"/>
      <c r="K38" s="3" t="s">
        <v>410</v>
      </c>
      <c r="L38" s="3" t="n">
        <v>25</v>
      </c>
      <c r="M38" s="21" t="n">
        <v>46259</v>
      </c>
      <c r="N38" s="13" t="str">
        <f aca="false">IF(AND(E38=M38,DAY(E38)=L38,K38=MONTH(E38)&amp;"/"&amp;DAY(E38)),"일치","차이 확인")</f>
        <v>일치</v>
      </c>
      <c r="O38" s="9" t="n">
        <f aca="false">MONTH(E38)</f>
        <v>8</v>
      </c>
      <c r="P38" s="9" t="n">
        <f aca="false">IF(AND(D38&gt;01_Inputs!$B$97,D38&lt;=01_Inputs!$B$98),1,0)</f>
        <v>1</v>
      </c>
      <c r="Q38" s="9" t="str">
        <f aca="false">IF(D38-D37=1,"연속","확인")</f>
        <v>연속</v>
      </c>
      <c r="R38" s="9" t="str">
        <f aca="false">IF(COUNTIF($D$6:$D$61,D38)&gt;1,"중복","-")</f>
        <v>-</v>
      </c>
      <c r="S38" s="16" t="n">
        <f aca="false">E38-E37</f>
        <v>3</v>
      </c>
      <c r="T38" s="9" t="str">
        <f aca="false">IF(MONTH(E38)&lt;&gt;MONTH(E37),"월 경계","")</f>
        <v/>
      </c>
      <c r="U38" s="16" t="n">
        <f aca="false">S38*24</f>
        <v>72</v>
      </c>
      <c r="V38" s="16" t="n">
        <f aca="false">MAX(0,(S38-1)*24)</f>
        <v>48</v>
      </c>
      <c r="W38" s="16" t="n">
        <f aca="false">(S38+1)*24</f>
        <v>96</v>
      </c>
      <c r="X38" s="16" t="n">
        <f aca="false">IF(ROW()-6&gt;=01_Inputs!$B$99,E38-INDEX($E$6:$E$61,ROW()-6+1-01_Inputs!$B$99),"")</f>
        <v>12</v>
      </c>
      <c r="Y38" s="15" t="n">
        <f aca="false">IF(ISNUMBER(X38),(X38+1)*24/01_Inputs!$B$99,"")</f>
        <v>78</v>
      </c>
      <c r="Z38" s="9" t="str">
        <f aca="false">IF(ISNUMBER(Y38),IF(Y38&lt;(01_Inputs!$B$15+01_Inputs!$B$16+N(01_Inputs!$B$22)),"확인 필요: 점유 하한 미만",""),"")</f>
        <v/>
      </c>
    </row>
    <row r="39" customFormat="false" ht="26.85" hidden="false" customHeight="false" outlineLevel="0" collapsed="false">
      <c r="A39" s="9" t="n">
        <v>34</v>
      </c>
      <c r="B39" s="9" t="s">
        <v>374</v>
      </c>
      <c r="C39" s="9" t="s">
        <v>375</v>
      </c>
      <c r="D39" s="3" t="n">
        <v>70</v>
      </c>
      <c r="E39" s="21" t="n">
        <v>46262</v>
      </c>
      <c r="F39" s="5"/>
      <c r="G39" s="5"/>
      <c r="H39" s="13" t="s">
        <v>376</v>
      </c>
      <c r="I39" s="42" t="s">
        <v>380</v>
      </c>
      <c r="J39" s="5"/>
      <c r="K39" s="3" t="s">
        <v>411</v>
      </c>
      <c r="L39" s="3" t="n">
        <v>28</v>
      </c>
      <c r="M39" s="21" t="n">
        <v>46262</v>
      </c>
      <c r="N39" s="13" t="str">
        <f aca="false">IF(AND(E39=M39,DAY(E39)=L39,K39=MONTH(E39)&amp;"/"&amp;DAY(E39)),"일치","차이 확인")</f>
        <v>일치</v>
      </c>
      <c r="O39" s="9" t="n">
        <f aca="false">MONTH(E39)</f>
        <v>8</v>
      </c>
      <c r="P39" s="9" t="n">
        <f aca="false">IF(AND(D39&gt;01_Inputs!$B$97,D39&lt;=01_Inputs!$B$98),1,0)</f>
        <v>1</v>
      </c>
      <c r="Q39" s="9" t="str">
        <f aca="false">IF(D39-D38=1,"연속","확인")</f>
        <v>연속</v>
      </c>
      <c r="R39" s="9" t="str">
        <f aca="false">IF(COUNTIF($D$6:$D$61,D39)&gt;1,"중복","-")</f>
        <v>-</v>
      </c>
      <c r="S39" s="16" t="n">
        <f aca="false">E39-E38</f>
        <v>3</v>
      </c>
      <c r="T39" s="9" t="str">
        <f aca="false">IF(MONTH(E39)&lt;&gt;MONTH(E38),"월 경계","")</f>
        <v/>
      </c>
      <c r="U39" s="16" t="n">
        <f aca="false">S39*24</f>
        <v>72</v>
      </c>
      <c r="V39" s="16" t="n">
        <f aca="false">MAX(0,(S39-1)*24)</f>
        <v>48</v>
      </c>
      <c r="W39" s="16" t="n">
        <f aca="false">(S39+1)*24</f>
        <v>96</v>
      </c>
      <c r="X39" s="16" t="n">
        <f aca="false">IF(ROW()-6&gt;=01_Inputs!$B$99,E39-INDEX($E$6:$E$61,ROW()-6+1-01_Inputs!$B$99),"")</f>
        <v>12</v>
      </c>
      <c r="Y39" s="15" t="n">
        <f aca="false">IF(ISNUMBER(X39),(X39+1)*24/01_Inputs!$B$99,"")</f>
        <v>78</v>
      </c>
      <c r="Z39" s="9" t="str">
        <f aca="false">IF(ISNUMBER(Y39),IF(Y39&lt;(01_Inputs!$B$15+01_Inputs!$B$16+N(01_Inputs!$B$22)),"확인 필요: 점유 하한 미만",""),"")</f>
        <v/>
      </c>
    </row>
    <row r="40" customFormat="false" ht="26.85" hidden="false" customHeight="false" outlineLevel="0" collapsed="false">
      <c r="A40" s="9" t="n">
        <v>35</v>
      </c>
      <c r="B40" s="9" t="s">
        <v>374</v>
      </c>
      <c r="C40" s="9" t="s">
        <v>375</v>
      </c>
      <c r="D40" s="3" t="n">
        <v>71</v>
      </c>
      <c r="E40" s="21" t="n">
        <v>46265</v>
      </c>
      <c r="F40" s="5"/>
      <c r="G40" s="5"/>
      <c r="H40" s="13" t="s">
        <v>376</v>
      </c>
      <c r="I40" s="42" t="s">
        <v>380</v>
      </c>
      <c r="J40" s="5"/>
      <c r="K40" s="3" t="s">
        <v>412</v>
      </c>
      <c r="L40" s="3" t="n">
        <v>31</v>
      </c>
      <c r="M40" s="21" t="n">
        <v>46265</v>
      </c>
      <c r="N40" s="13" t="str">
        <f aca="false">IF(AND(E40=M40,DAY(E40)=L40,K40=MONTH(E40)&amp;"/"&amp;DAY(E40)),"일치","차이 확인")</f>
        <v>일치</v>
      </c>
      <c r="O40" s="9" t="n">
        <f aca="false">MONTH(E40)</f>
        <v>8</v>
      </c>
      <c r="P40" s="9" t="n">
        <f aca="false">IF(AND(D40&gt;01_Inputs!$B$97,D40&lt;=01_Inputs!$B$98),1,0)</f>
        <v>1</v>
      </c>
      <c r="Q40" s="9" t="str">
        <f aca="false">IF(D40-D39=1,"연속","확인")</f>
        <v>연속</v>
      </c>
      <c r="R40" s="9" t="str">
        <f aca="false">IF(COUNTIF($D$6:$D$61,D40)&gt;1,"중복","-")</f>
        <v>-</v>
      </c>
      <c r="S40" s="16" t="n">
        <f aca="false">E40-E39</f>
        <v>3</v>
      </c>
      <c r="T40" s="9" t="str">
        <f aca="false">IF(MONTH(E40)&lt;&gt;MONTH(E39),"월 경계","")</f>
        <v/>
      </c>
      <c r="U40" s="16" t="n">
        <f aca="false">S40*24</f>
        <v>72</v>
      </c>
      <c r="V40" s="16" t="n">
        <f aca="false">MAX(0,(S40-1)*24)</f>
        <v>48</v>
      </c>
      <c r="W40" s="16" t="n">
        <f aca="false">(S40+1)*24</f>
        <v>96</v>
      </c>
      <c r="X40" s="16" t="n">
        <f aca="false">IF(ROW()-6&gt;=01_Inputs!$B$99,E40-INDEX($E$6:$E$61,ROW()-6+1-01_Inputs!$B$99),"")</f>
        <v>12</v>
      </c>
      <c r="Y40" s="15" t="n">
        <f aca="false">IF(ISNUMBER(X40),(X40+1)*24/01_Inputs!$B$99,"")</f>
        <v>78</v>
      </c>
      <c r="Z40" s="9" t="str">
        <f aca="false">IF(ISNUMBER(Y40),IF(Y40&lt;(01_Inputs!$B$15+01_Inputs!$B$16+N(01_Inputs!$B$22)),"확인 필요: 점유 하한 미만",""),"")</f>
        <v/>
      </c>
    </row>
    <row r="41" customFormat="false" ht="26.85" hidden="false" customHeight="false" outlineLevel="0" collapsed="false">
      <c r="A41" s="9" t="n">
        <v>36</v>
      </c>
      <c r="B41" s="9" t="s">
        <v>374</v>
      </c>
      <c r="C41" s="9" t="s">
        <v>375</v>
      </c>
      <c r="D41" s="3" t="n">
        <v>72</v>
      </c>
      <c r="E41" s="21" t="n">
        <v>46268</v>
      </c>
      <c r="F41" s="5"/>
      <c r="G41" s="5"/>
      <c r="H41" s="13" t="s">
        <v>376</v>
      </c>
      <c r="I41" s="42" t="s">
        <v>380</v>
      </c>
      <c r="J41" s="5"/>
      <c r="K41" s="3" t="s">
        <v>413</v>
      </c>
      <c r="L41" s="3" t="n">
        <v>3</v>
      </c>
      <c r="M41" s="21" t="n">
        <v>46268</v>
      </c>
      <c r="N41" s="13" t="str">
        <f aca="false">IF(AND(E41=M41,DAY(E41)=L41,K41=MONTH(E41)&amp;"/"&amp;DAY(E41)),"일치","차이 확인")</f>
        <v>일치</v>
      </c>
      <c r="O41" s="9" t="n">
        <f aca="false">MONTH(E41)</f>
        <v>9</v>
      </c>
      <c r="P41" s="9" t="n">
        <f aca="false">IF(AND(D41&gt;01_Inputs!$B$97,D41&lt;=01_Inputs!$B$98),1,0)</f>
        <v>1</v>
      </c>
      <c r="Q41" s="9" t="str">
        <f aca="false">IF(D41-D40=1,"연속","확인")</f>
        <v>연속</v>
      </c>
      <c r="R41" s="9" t="str">
        <f aca="false">IF(COUNTIF($D$6:$D$61,D41)&gt;1,"중복","-")</f>
        <v>-</v>
      </c>
      <c r="S41" s="16" t="n">
        <f aca="false">E41-E40</f>
        <v>3</v>
      </c>
      <c r="T41" s="9" t="str">
        <f aca="false">IF(MONTH(E41)&lt;&gt;MONTH(E40),"월 경계","")</f>
        <v>월 경계</v>
      </c>
      <c r="U41" s="16" t="n">
        <f aca="false">S41*24</f>
        <v>72</v>
      </c>
      <c r="V41" s="16" t="n">
        <f aca="false">MAX(0,(S41-1)*24)</f>
        <v>48</v>
      </c>
      <c r="W41" s="16" t="n">
        <f aca="false">(S41+1)*24</f>
        <v>96</v>
      </c>
      <c r="X41" s="16" t="n">
        <f aca="false">IF(ROW()-6&gt;=01_Inputs!$B$99,E41-INDEX($E$6:$E$61,ROW()-6+1-01_Inputs!$B$99),"")</f>
        <v>12</v>
      </c>
      <c r="Y41" s="15" t="n">
        <f aca="false">IF(ISNUMBER(X41),(X41+1)*24/01_Inputs!$B$99,"")</f>
        <v>78</v>
      </c>
      <c r="Z41" s="9" t="str">
        <f aca="false">IF(ISNUMBER(Y41),IF(Y41&lt;(01_Inputs!$B$15+01_Inputs!$B$16+N(01_Inputs!$B$22)),"확인 필요: 점유 하한 미만",""),"")</f>
        <v/>
      </c>
    </row>
    <row r="42" customFormat="false" ht="26.85" hidden="false" customHeight="false" outlineLevel="0" collapsed="false">
      <c r="A42" s="9" t="n">
        <v>37</v>
      </c>
      <c r="B42" s="9" t="s">
        <v>374</v>
      </c>
      <c r="C42" s="9" t="s">
        <v>375</v>
      </c>
      <c r="D42" s="3" t="n">
        <v>73</v>
      </c>
      <c r="E42" s="21" t="n">
        <v>46270</v>
      </c>
      <c r="F42" s="5"/>
      <c r="G42" s="5"/>
      <c r="H42" s="13" t="s">
        <v>376</v>
      </c>
      <c r="I42" s="42" t="s">
        <v>380</v>
      </c>
      <c r="J42" s="5"/>
      <c r="K42" s="3" t="s">
        <v>414</v>
      </c>
      <c r="L42" s="3" t="n">
        <v>5</v>
      </c>
      <c r="M42" s="21" t="n">
        <v>46270</v>
      </c>
      <c r="N42" s="13" t="str">
        <f aca="false">IF(AND(E42=M42,DAY(E42)=L42,K42=MONTH(E42)&amp;"/"&amp;DAY(E42)),"일치","차이 확인")</f>
        <v>일치</v>
      </c>
      <c r="O42" s="9" t="n">
        <f aca="false">MONTH(E42)</f>
        <v>9</v>
      </c>
      <c r="P42" s="9" t="n">
        <f aca="false">IF(AND(D42&gt;01_Inputs!$B$97,D42&lt;=01_Inputs!$B$98),1,0)</f>
        <v>1</v>
      </c>
      <c r="Q42" s="9" t="str">
        <f aca="false">IF(D42-D41=1,"연속","확인")</f>
        <v>연속</v>
      </c>
      <c r="R42" s="9" t="str">
        <f aca="false">IF(COUNTIF($D$6:$D$61,D42)&gt;1,"중복","-")</f>
        <v>-</v>
      </c>
      <c r="S42" s="16" t="n">
        <f aca="false">E42-E41</f>
        <v>2</v>
      </c>
      <c r="T42" s="9" t="str">
        <f aca="false">IF(MONTH(E42)&lt;&gt;MONTH(E41),"월 경계","")</f>
        <v/>
      </c>
      <c r="U42" s="16" t="n">
        <f aca="false">S42*24</f>
        <v>48</v>
      </c>
      <c r="V42" s="16" t="n">
        <f aca="false">MAX(0,(S42-1)*24)</f>
        <v>24</v>
      </c>
      <c r="W42" s="16" t="n">
        <f aca="false">(S42+1)*24</f>
        <v>72</v>
      </c>
      <c r="X42" s="16" t="n">
        <f aca="false">IF(ROW()-6&gt;=01_Inputs!$B$99,E42-INDEX($E$6:$E$61,ROW()-6+1-01_Inputs!$B$99),"")</f>
        <v>11</v>
      </c>
      <c r="Y42" s="15" t="n">
        <f aca="false">IF(ISNUMBER(X42),(X42+1)*24/01_Inputs!$B$99,"")</f>
        <v>72</v>
      </c>
      <c r="Z42" s="9" t="str">
        <f aca="false">IF(ISNUMBER(Y42),IF(Y42&lt;(01_Inputs!$B$15+01_Inputs!$B$16+N(01_Inputs!$B$22)),"확인 필요: 점유 하한 미만",""),"")</f>
        <v/>
      </c>
    </row>
    <row r="43" customFormat="false" ht="26.85" hidden="false" customHeight="false" outlineLevel="0" collapsed="false">
      <c r="A43" s="9" t="n">
        <v>38</v>
      </c>
      <c r="B43" s="9" t="s">
        <v>374</v>
      </c>
      <c r="C43" s="9" t="s">
        <v>375</v>
      </c>
      <c r="D43" s="3" t="n">
        <v>74</v>
      </c>
      <c r="E43" s="21" t="n">
        <v>46272</v>
      </c>
      <c r="F43" s="5"/>
      <c r="G43" s="5"/>
      <c r="H43" s="13" t="s">
        <v>376</v>
      </c>
      <c r="I43" s="42" t="s">
        <v>380</v>
      </c>
      <c r="J43" s="5"/>
      <c r="K43" s="3" t="s">
        <v>415</v>
      </c>
      <c r="L43" s="3" t="n">
        <v>7</v>
      </c>
      <c r="M43" s="21" t="n">
        <v>46272</v>
      </c>
      <c r="N43" s="13" t="str">
        <f aca="false">IF(AND(E43=M43,DAY(E43)=L43,K43=MONTH(E43)&amp;"/"&amp;DAY(E43)),"일치","차이 확인")</f>
        <v>일치</v>
      </c>
      <c r="O43" s="9" t="n">
        <f aca="false">MONTH(E43)</f>
        <v>9</v>
      </c>
      <c r="P43" s="9" t="n">
        <f aca="false">IF(AND(D43&gt;01_Inputs!$B$97,D43&lt;=01_Inputs!$B$98),1,0)</f>
        <v>1</v>
      </c>
      <c r="Q43" s="9" t="str">
        <f aca="false">IF(D43-D42=1,"연속","확인")</f>
        <v>연속</v>
      </c>
      <c r="R43" s="9" t="str">
        <f aca="false">IF(COUNTIF($D$6:$D$61,D43)&gt;1,"중복","-")</f>
        <v>-</v>
      </c>
      <c r="S43" s="16" t="n">
        <f aca="false">E43-E42</f>
        <v>2</v>
      </c>
      <c r="T43" s="9" t="str">
        <f aca="false">IF(MONTH(E43)&lt;&gt;MONTH(E42),"월 경계","")</f>
        <v/>
      </c>
      <c r="U43" s="16" t="n">
        <f aca="false">S43*24</f>
        <v>48</v>
      </c>
      <c r="V43" s="16" t="n">
        <f aca="false">MAX(0,(S43-1)*24)</f>
        <v>24</v>
      </c>
      <c r="W43" s="16" t="n">
        <f aca="false">(S43+1)*24</f>
        <v>72</v>
      </c>
      <c r="X43" s="16" t="n">
        <f aca="false">IF(ROW()-6&gt;=01_Inputs!$B$99,E43-INDEX($E$6:$E$61,ROW()-6+1-01_Inputs!$B$99),"")</f>
        <v>10</v>
      </c>
      <c r="Y43" s="15" t="n">
        <f aca="false">IF(ISNUMBER(X43),(X43+1)*24/01_Inputs!$B$99,"")</f>
        <v>66</v>
      </c>
      <c r="Z43" s="9" t="str">
        <f aca="false">IF(ISNUMBER(Y43),IF(Y43&lt;(01_Inputs!$B$15+01_Inputs!$B$16+N(01_Inputs!$B$22)),"확인 필요: 점유 하한 미만",""),"")</f>
        <v/>
      </c>
    </row>
    <row r="44" customFormat="false" ht="26.85" hidden="false" customHeight="false" outlineLevel="0" collapsed="false">
      <c r="A44" s="9" t="n">
        <v>39</v>
      </c>
      <c r="B44" s="9" t="s">
        <v>374</v>
      </c>
      <c r="C44" s="9" t="s">
        <v>375</v>
      </c>
      <c r="D44" s="3" t="n">
        <v>75</v>
      </c>
      <c r="E44" s="21" t="n">
        <v>46274</v>
      </c>
      <c r="F44" s="5"/>
      <c r="G44" s="5"/>
      <c r="H44" s="13" t="s">
        <v>376</v>
      </c>
      <c r="I44" s="42" t="s">
        <v>380</v>
      </c>
      <c r="J44" s="5"/>
      <c r="K44" s="3" t="s">
        <v>416</v>
      </c>
      <c r="L44" s="3" t="n">
        <v>9</v>
      </c>
      <c r="M44" s="21" t="n">
        <v>46274</v>
      </c>
      <c r="N44" s="13" t="str">
        <f aca="false">IF(AND(E44=M44,DAY(E44)=L44,K44=MONTH(E44)&amp;"/"&amp;DAY(E44)),"일치","차이 확인")</f>
        <v>일치</v>
      </c>
      <c r="O44" s="9" t="n">
        <f aca="false">MONTH(E44)</f>
        <v>9</v>
      </c>
      <c r="P44" s="9" t="n">
        <f aca="false">IF(AND(D44&gt;01_Inputs!$B$97,D44&lt;=01_Inputs!$B$98),1,0)</f>
        <v>1</v>
      </c>
      <c r="Q44" s="9" t="str">
        <f aca="false">IF(D44-D43=1,"연속","확인")</f>
        <v>연속</v>
      </c>
      <c r="R44" s="9" t="str">
        <f aca="false">IF(COUNTIF($D$6:$D$61,D44)&gt;1,"중복","-")</f>
        <v>-</v>
      </c>
      <c r="S44" s="16" t="n">
        <f aca="false">E44-E43</f>
        <v>2</v>
      </c>
      <c r="T44" s="9" t="str">
        <f aca="false">IF(MONTH(E44)&lt;&gt;MONTH(E43),"월 경계","")</f>
        <v/>
      </c>
      <c r="U44" s="16" t="n">
        <f aca="false">S44*24</f>
        <v>48</v>
      </c>
      <c r="V44" s="16" t="n">
        <f aca="false">MAX(0,(S44-1)*24)</f>
        <v>24</v>
      </c>
      <c r="W44" s="16" t="n">
        <f aca="false">(S44+1)*24</f>
        <v>72</v>
      </c>
      <c r="X44" s="16" t="n">
        <f aca="false">IF(ROW()-6&gt;=01_Inputs!$B$99,E44-INDEX($E$6:$E$61,ROW()-6+1-01_Inputs!$B$99),"")</f>
        <v>9</v>
      </c>
      <c r="Y44" s="15" t="n">
        <f aca="false">IF(ISNUMBER(X44),(X44+1)*24/01_Inputs!$B$99,"")</f>
        <v>60</v>
      </c>
      <c r="Z44" s="9" t="str">
        <f aca="false">IF(ISNUMBER(Y44),IF(Y44&lt;(01_Inputs!$B$15+01_Inputs!$B$16+N(01_Inputs!$B$22)),"확인 필요: 점유 하한 미만",""),"")</f>
        <v/>
      </c>
    </row>
    <row r="45" customFormat="false" ht="26.85" hidden="false" customHeight="false" outlineLevel="0" collapsed="false">
      <c r="A45" s="9" t="n">
        <v>40</v>
      </c>
      <c r="B45" s="9" t="s">
        <v>374</v>
      </c>
      <c r="C45" s="9" t="s">
        <v>375</v>
      </c>
      <c r="D45" s="3" t="n">
        <v>76</v>
      </c>
      <c r="E45" s="21" t="n">
        <v>46276</v>
      </c>
      <c r="F45" s="5"/>
      <c r="G45" s="5"/>
      <c r="H45" s="13" t="s">
        <v>376</v>
      </c>
      <c r="I45" s="42" t="s">
        <v>380</v>
      </c>
      <c r="J45" s="5"/>
      <c r="K45" s="3" t="s">
        <v>417</v>
      </c>
      <c r="L45" s="3" t="n">
        <v>11</v>
      </c>
      <c r="M45" s="21" t="n">
        <v>46276</v>
      </c>
      <c r="N45" s="13" t="str">
        <f aca="false">IF(AND(E45=M45,DAY(E45)=L45,K45=MONTH(E45)&amp;"/"&amp;DAY(E45)),"일치","차이 확인")</f>
        <v>일치</v>
      </c>
      <c r="O45" s="9" t="n">
        <f aca="false">MONTH(E45)</f>
        <v>9</v>
      </c>
      <c r="P45" s="9" t="n">
        <f aca="false">IF(AND(D45&gt;01_Inputs!$B$97,D45&lt;=01_Inputs!$B$98),1,0)</f>
        <v>1</v>
      </c>
      <c r="Q45" s="9" t="str">
        <f aca="false">IF(D45-D44=1,"연속","확인")</f>
        <v>연속</v>
      </c>
      <c r="R45" s="9" t="str">
        <f aca="false">IF(COUNTIF($D$6:$D$61,D45)&gt;1,"중복","-")</f>
        <v>-</v>
      </c>
      <c r="S45" s="16" t="n">
        <f aca="false">E45-E44</f>
        <v>2</v>
      </c>
      <c r="T45" s="9" t="str">
        <f aca="false">IF(MONTH(E45)&lt;&gt;MONTH(E44),"월 경계","")</f>
        <v/>
      </c>
      <c r="U45" s="16" t="n">
        <f aca="false">S45*24</f>
        <v>48</v>
      </c>
      <c r="V45" s="16" t="n">
        <f aca="false">MAX(0,(S45-1)*24)</f>
        <v>24</v>
      </c>
      <c r="W45" s="16" t="n">
        <f aca="false">(S45+1)*24</f>
        <v>72</v>
      </c>
      <c r="X45" s="16" t="n">
        <f aca="false">IF(ROW()-6&gt;=01_Inputs!$B$99,E45-INDEX($E$6:$E$61,ROW()-6+1-01_Inputs!$B$99),"")</f>
        <v>8</v>
      </c>
      <c r="Y45" s="15" t="n">
        <f aca="false">IF(ISNUMBER(X45),(X45+1)*24/01_Inputs!$B$99,"")</f>
        <v>54</v>
      </c>
      <c r="Z45" s="9" t="str">
        <f aca="false">IF(ISNUMBER(Y45),IF(Y45&lt;(01_Inputs!$B$15+01_Inputs!$B$16+N(01_Inputs!$B$22)),"확인 필요: 점유 하한 미만",""),"")</f>
        <v/>
      </c>
    </row>
    <row r="46" customFormat="false" ht="26.85" hidden="false" customHeight="false" outlineLevel="0" collapsed="false">
      <c r="A46" s="9" t="n">
        <v>41</v>
      </c>
      <c r="B46" s="9" t="s">
        <v>374</v>
      </c>
      <c r="C46" s="9" t="s">
        <v>375</v>
      </c>
      <c r="D46" s="3" t="n">
        <v>77</v>
      </c>
      <c r="E46" s="21" t="n">
        <v>46279</v>
      </c>
      <c r="F46" s="5"/>
      <c r="G46" s="5"/>
      <c r="H46" s="13" t="s">
        <v>376</v>
      </c>
      <c r="I46" s="42" t="s">
        <v>380</v>
      </c>
      <c r="J46" s="5"/>
      <c r="K46" s="3" t="s">
        <v>418</v>
      </c>
      <c r="L46" s="3" t="n">
        <v>14</v>
      </c>
      <c r="M46" s="21" t="n">
        <v>46279</v>
      </c>
      <c r="N46" s="13" t="str">
        <f aca="false">IF(AND(E46=M46,DAY(E46)=L46,K46=MONTH(E46)&amp;"/"&amp;DAY(E46)),"일치","차이 확인")</f>
        <v>일치</v>
      </c>
      <c r="O46" s="9" t="n">
        <f aca="false">MONTH(E46)</f>
        <v>9</v>
      </c>
      <c r="P46" s="9" t="n">
        <f aca="false">IF(AND(D46&gt;01_Inputs!$B$97,D46&lt;=01_Inputs!$B$98),1,0)</f>
        <v>1</v>
      </c>
      <c r="Q46" s="9" t="str">
        <f aca="false">IF(D46-D45=1,"연속","확인")</f>
        <v>연속</v>
      </c>
      <c r="R46" s="9" t="str">
        <f aca="false">IF(COUNTIF($D$6:$D$61,D46)&gt;1,"중복","-")</f>
        <v>-</v>
      </c>
      <c r="S46" s="16" t="n">
        <f aca="false">E46-E45</f>
        <v>3</v>
      </c>
      <c r="T46" s="9" t="str">
        <f aca="false">IF(MONTH(E46)&lt;&gt;MONTH(E45),"월 경계","")</f>
        <v/>
      </c>
      <c r="U46" s="16" t="n">
        <f aca="false">S46*24</f>
        <v>72</v>
      </c>
      <c r="V46" s="16" t="n">
        <f aca="false">MAX(0,(S46-1)*24)</f>
        <v>48</v>
      </c>
      <c r="W46" s="16" t="n">
        <f aca="false">(S46+1)*24</f>
        <v>96</v>
      </c>
      <c r="X46" s="16" t="n">
        <f aca="false">IF(ROW()-6&gt;=01_Inputs!$B$99,E46-INDEX($E$6:$E$61,ROW()-6+1-01_Inputs!$B$99),"")</f>
        <v>9</v>
      </c>
      <c r="Y46" s="15" t="n">
        <f aca="false">IF(ISNUMBER(X46),(X46+1)*24/01_Inputs!$B$99,"")</f>
        <v>60</v>
      </c>
      <c r="Z46" s="9" t="str">
        <f aca="false">IF(ISNUMBER(Y46),IF(Y46&lt;(01_Inputs!$B$15+01_Inputs!$B$16+N(01_Inputs!$B$22)),"확인 필요: 점유 하한 미만",""),"")</f>
        <v/>
      </c>
    </row>
    <row r="47" customFormat="false" ht="26.85" hidden="false" customHeight="false" outlineLevel="0" collapsed="false">
      <c r="A47" s="9" t="n">
        <v>42</v>
      </c>
      <c r="B47" s="9" t="s">
        <v>374</v>
      </c>
      <c r="C47" s="9" t="s">
        <v>375</v>
      </c>
      <c r="D47" s="3" t="n">
        <v>78</v>
      </c>
      <c r="E47" s="21" t="n">
        <v>46284</v>
      </c>
      <c r="F47" s="5"/>
      <c r="G47" s="5"/>
      <c r="H47" s="13" t="s">
        <v>376</v>
      </c>
      <c r="I47" s="42" t="s">
        <v>380</v>
      </c>
      <c r="J47" s="5"/>
      <c r="K47" s="3" t="s">
        <v>419</v>
      </c>
      <c r="L47" s="3" t="n">
        <v>19</v>
      </c>
      <c r="M47" s="21" t="n">
        <v>46284</v>
      </c>
      <c r="N47" s="13" t="str">
        <f aca="false">IF(AND(E47=M47,DAY(E47)=L47,K47=MONTH(E47)&amp;"/"&amp;DAY(E47)),"일치","차이 확인")</f>
        <v>일치</v>
      </c>
      <c r="O47" s="9" t="n">
        <f aca="false">MONTH(E47)</f>
        <v>9</v>
      </c>
      <c r="P47" s="9" t="n">
        <f aca="false">IF(AND(D47&gt;01_Inputs!$B$97,D47&lt;=01_Inputs!$B$98),1,0)</f>
        <v>1</v>
      </c>
      <c r="Q47" s="9" t="str">
        <f aca="false">IF(D47-D46=1,"연속","확인")</f>
        <v>연속</v>
      </c>
      <c r="R47" s="9" t="str">
        <f aca="false">IF(COUNTIF($D$6:$D$61,D47)&gt;1,"중복","-")</f>
        <v>-</v>
      </c>
      <c r="S47" s="16" t="n">
        <f aca="false">E47-E46</f>
        <v>5</v>
      </c>
      <c r="T47" s="9" t="str">
        <f aca="false">IF(MONTH(E47)&lt;&gt;MONTH(E46),"월 경계","")</f>
        <v/>
      </c>
      <c r="U47" s="16" t="n">
        <f aca="false">S47*24</f>
        <v>120</v>
      </c>
      <c r="V47" s="16" t="n">
        <f aca="false">MAX(0,(S47-1)*24)</f>
        <v>96</v>
      </c>
      <c r="W47" s="16" t="n">
        <f aca="false">(S47+1)*24</f>
        <v>144</v>
      </c>
      <c r="X47" s="16" t="n">
        <f aca="false">IF(ROW()-6&gt;=01_Inputs!$B$99,E47-INDEX($E$6:$E$61,ROW()-6+1-01_Inputs!$B$99),"")</f>
        <v>12</v>
      </c>
      <c r="Y47" s="15" t="n">
        <f aca="false">IF(ISNUMBER(X47),(X47+1)*24/01_Inputs!$B$99,"")</f>
        <v>78</v>
      </c>
      <c r="Z47" s="9" t="str">
        <f aca="false">IF(ISNUMBER(Y47),IF(Y47&lt;(01_Inputs!$B$15+01_Inputs!$B$16+N(01_Inputs!$B$22)),"확인 필요: 점유 하한 미만",""),"")</f>
        <v/>
      </c>
    </row>
    <row r="48" customFormat="false" ht="26.85" hidden="false" customHeight="false" outlineLevel="0" collapsed="false">
      <c r="A48" s="9" t="n">
        <v>43</v>
      </c>
      <c r="B48" s="9" t="s">
        <v>374</v>
      </c>
      <c r="C48" s="9" t="s">
        <v>375</v>
      </c>
      <c r="D48" s="3" t="n">
        <v>79</v>
      </c>
      <c r="E48" s="21" t="n">
        <v>46288</v>
      </c>
      <c r="F48" s="5"/>
      <c r="G48" s="5"/>
      <c r="H48" s="13" t="s">
        <v>376</v>
      </c>
      <c r="I48" s="42" t="s">
        <v>380</v>
      </c>
      <c r="J48" s="5"/>
      <c r="K48" s="3" t="s">
        <v>420</v>
      </c>
      <c r="L48" s="3" t="n">
        <v>23</v>
      </c>
      <c r="M48" s="21" t="n">
        <v>46288</v>
      </c>
      <c r="N48" s="13" t="str">
        <f aca="false">IF(AND(E48=M48,DAY(E48)=L48,K48=MONTH(E48)&amp;"/"&amp;DAY(E48)),"일치","차이 확인")</f>
        <v>일치</v>
      </c>
      <c r="O48" s="9" t="n">
        <f aca="false">MONTH(E48)</f>
        <v>9</v>
      </c>
      <c r="P48" s="9" t="n">
        <f aca="false">IF(AND(D48&gt;01_Inputs!$B$97,D48&lt;=01_Inputs!$B$98),1,0)</f>
        <v>1</v>
      </c>
      <c r="Q48" s="9" t="str">
        <f aca="false">IF(D48-D47=1,"연속","확인")</f>
        <v>연속</v>
      </c>
      <c r="R48" s="9" t="str">
        <f aca="false">IF(COUNTIF($D$6:$D$61,D48)&gt;1,"중복","-")</f>
        <v>-</v>
      </c>
      <c r="S48" s="16" t="n">
        <f aca="false">E48-E47</f>
        <v>4</v>
      </c>
      <c r="T48" s="9" t="str">
        <f aca="false">IF(MONTH(E48)&lt;&gt;MONTH(E47),"월 경계","")</f>
        <v/>
      </c>
      <c r="U48" s="16" t="n">
        <f aca="false">S48*24</f>
        <v>96</v>
      </c>
      <c r="V48" s="16" t="n">
        <f aca="false">MAX(0,(S48-1)*24)</f>
        <v>72</v>
      </c>
      <c r="W48" s="16" t="n">
        <f aca="false">(S48+1)*24</f>
        <v>120</v>
      </c>
      <c r="X48" s="16" t="n">
        <f aca="false">IF(ROW()-6&gt;=01_Inputs!$B$99,E48-INDEX($E$6:$E$61,ROW()-6+1-01_Inputs!$B$99),"")</f>
        <v>14</v>
      </c>
      <c r="Y48" s="15" t="n">
        <f aca="false">IF(ISNUMBER(X48),(X48+1)*24/01_Inputs!$B$99,"")</f>
        <v>90</v>
      </c>
      <c r="Z48" s="9" t="str">
        <f aca="false">IF(ISNUMBER(Y48),IF(Y48&lt;(01_Inputs!$B$15+01_Inputs!$B$16+N(01_Inputs!$B$22)),"확인 필요: 점유 하한 미만",""),"")</f>
        <v/>
      </c>
    </row>
    <row r="49" customFormat="false" ht="26.85" hidden="false" customHeight="false" outlineLevel="0" collapsed="false">
      <c r="A49" s="9" t="n">
        <v>44</v>
      </c>
      <c r="B49" s="9" t="s">
        <v>374</v>
      </c>
      <c r="C49" s="9" t="s">
        <v>375</v>
      </c>
      <c r="D49" s="3" t="n">
        <v>80</v>
      </c>
      <c r="E49" s="21" t="n">
        <v>46291</v>
      </c>
      <c r="F49" s="5"/>
      <c r="G49" s="5"/>
      <c r="H49" s="13" t="s">
        <v>376</v>
      </c>
      <c r="I49" s="42" t="s">
        <v>380</v>
      </c>
      <c r="J49" s="5"/>
      <c r="K49" s="3" t="s">
        <v>421</v>
      </c>
      <c r="L49" s="3" t="n">
        <v>26</v>
      </c>
      <c r="M49" s="21" t="n">
        <v>46291</v>
      </c>
      <c r="N49" s="13" t="str">
        <f aca="false">IF(AND(E49=M49,DAY(E49)=L49,K49=MONTH(E49)&amp;"/"&amp;DAY(E49)),"일치","차이 확인")</f>
        <v>일치</v>
      </c>
      <c r="O49" s="9" t="n">
        <f aca="false">MONTH(E49)</f>
        <v>9</v>
      </c>
      <c r="P49" s="9" t="n">
        <f aca="false">IF(AND(D49&gt;01_Inputs!$B$97,D49&lt;=01_Inputs!$B$98),1,0)</f>
        <v>1</v>
      </c>
      <c r="Q49" s="9" t="str">
        <f aca="false">IF(D49-D48=1,"연속","확인")</f>
        <v>연속</v>
      </c>
      <c r="R49" s="9" t="str">
        <f aca="false">IF(COUNTIF($D$6:$D$61,D49)&gt;1,"중복","-")</f>
        <v>-</v>
      </c>
      <c r="S49" s="16" t="n">
        <f aca="false">E49-E48</f>
        <v>3</v>
      </c>
      <c r="T49" s="9" t="str">
        <f aca="false">IF(MONTH(E49)&lt;&gt;MONTH(E48),"월 경계","")</f>
        <v/>
      </c>
      <c r="U49" s="16" t="n">
        <f aca="false">S49*24</f>
        <v>72</v>
      </c>
      <c r="V49" s="16" t="n">
        <f aca="false">MAX(0,(S49-1)*24)</f>
        <v>48</v>
      </c>
      <c r="W49" s="16" t="n">
        <f aca="false">(S49+1)*24</f>
        <v>96</v>
      </c>
      <c r="X49" s="16" t="n">
        <f aca="false">IF(ROW()-6&gt;=01_Inputs!$B$99,E49-INDEX($E$6:$E$61,ROW()-6+1-01_Inputs!$B$99),"")</f>
        <v>15</v>
      </c>
      <c r="Y49" s="15" t="n">
        <f aca="false">IF(ISNUMBER(X49),(X49+1)*24/01_Inputs!$B$99,"")</f>
        <v>96</v>
      </c>
      <c r="Z49" s="9" t="str">
        <f aca="false">IF(ISNUMBER(Y49),IF(Y49&lt;(01_Inputs!$B$15+01_Inputs!$B$16+N(01_Inputs!$B$22)),"확인 필요: 점유 하한 미만",""),"")</f>
        <v/>
      </c>
    </row>
    <row r="50" customFormat="false" ht="26.85" hidden="false" customHeight="false" outlineLevel="0" collapsed="false">
      <c r="A50" s="9" t="n">
        <v>45</v>
      </c>
      <c r="B50" s="9" t="s">
        <v>374</v>
      </c>
      <c r="C50" s="9" t="s">
        <v>375</v>
      </c>
      <c r="D50" s="3" t="n">
        <v>81</v>
      </c>
      <c r="E50" s="21" t="n">
        <v>46293</v>
      </c>
      <c r="F50" s="5"/>
      <c r="G50" s="5"/>
      <c r="H50" s="13" t="s">
        <v>376</v>
      </c>
      <c r="I50" s="42" t="s">
        <v>380</v>
      </c>
      <c r="J50" s="5"/>
      <c r="K50" s="3" t="s">
        <v>422</v>
      </c>
      <c r="L50" s="3" t="n">
        <v>28</v>
      </c>
      <c r="M50" s="21" t="n">
        <v>46293</v>
      </c>
      <c r="N50" s="13" t="str">
        <f aca="false">IF(AND(E50=M50,DAY(E50)=L50,K50=MONTH(E50)&amp;"/"&amp;DAY(E50)),"일치","차이 확인")</f>
        <v>일치</v>
      </c>
      <c r="O50" s="9" t="n">
        <f aca="false">MONTH(E50)</f>
        <v>9</v>
      </c>
      <c r="P50" s="9" t="n">
        <f aca="false">IF(AND(D50&gt;01_Inputs!$B$97,D50&lt;=01_Inputs!$B$98),1,0)</f>
        <v>1</v>
      </c>
      <c r="Q50" s="9" t="str">
        <f aca="false">IF(D50-D49=1,"연속","확인")</f>
        <v>연속</v>
      </c>
      <c r="R50" s="9" t="str">
        <f aca="false">IF(COUNTIF($D$6:$D$61,D50)&gt;1,"중복","-")</f>
        <v>-</v>
      </c>
      <c r="S50" s="16" t="n">
        <f aca="false">E50-E49</f>
        <v>2</v>
      </c>
      <c r="T50" s="9" t="str">
        <f aca="false">IF(MONTH(E50)&lt;&gt;MONTH(E49),"월 경계","")</f>
        <v/>
      </c>
      <c r="U50" s="16" t="n">
        <f aca="false">S50*24</f>
        <v>48</v>
      </c>
      <c r="V50" s="16" t="n">
        <f aca="false">MAX(0,(S50-1)*24)</f>
        <v>24</v>
      </c>
      <c r="W50" s="16" t="n">
        <f aca="false">(S50+1)*24</f>
        <v>72</v>
      </c>
      <c r="X50" s="16" t="n">
        <f aca="false">IF(ROW()-6&gt;=01_Inputs!$B$99,E50-INDEX($E$6:$E$61,ROW()-6+1-01_Inputs!$B$99),"")</f>
        <v>14</v>
      </c>
      <c r="Y50" s="15" t="n">
        <f aca="false">IF(ISNUMBER(X50),(X50+1)*24/01_Inputs!$B$99,"")</f>
        <v>90</v>
      </c>
      <c r="Z50" s="9" t="str">
        <f aca="false">IF(ISNUMBER(Y50),IF(Y50&lt;(01_Inputs!$B$15+01_Inputs!$B$16+N(01_Inputs!$B$22)),"확인 필요: 점유 하한 미만",""),"")</f>
        <v/>
      </c>
    </row>
    <row r="51" customFormat="false" ht="26.85" hidden="false" customHeight="false" outlineLevel="0" collapsed="false">
      <c r="A51" s="9" t="n">
        <v>46</v>
      </c>
      <c r="B51" s="9" t="s">
        <v>374</v>
      </c>
      <c r="C51" s="9" t="s">
        <v>375</v>
      </c>
      <c r="D51" s="3" t="n">
        <v>82</v>
      </c>
      <c r="E51" s="21" t="n">
        <v>46296</v>
      </c>
      <c r="F51" s="5"/>
      <c r="G51" s="5"/>
      <c r="H51" s="13" t="s">
        <v>376</v>
      </c>
      <c r="I51" s="42" t="s">
        <v>380</v>
      </c>
      <c r="J51" s="5"/>
      <c r="K51" s="3" t="s">
        <v>423</v>
      </c>
      <c r="L51" s="3" t="n">
        <v>1</v>
      </c>
      <c r="M51" s="21" t="n">
        <v>46296</v>
      </c>
      <c r="N51" s="13" t="str">
        <f aca="false">IF(AND(E51=M51,DAY(E51)=L51,K51=MONTH(E51)&amp;"/"&amp;DAY(E51)),"일치","차이 확인")</f>
        <v>일치</v>
      </c>
      <c r="O51" s="9" t="n">
        <f aca="false">MONTH(E51)</f>
        <v>10</v>
      </c>
      <c r="P51" s="9" t="n">
        <f aca="false">IF(AND(D51&gt;01_Inputs!$B$97,D51&lt;=01_Inputs!$B$98),1,0)</f>
        <v>1</v>
      </c>
      <c r="Q51" s="9" t="str">
        <f aca="false">IF(D51-D50=1,"연속","확인")</f>
        <v>연속</v>
      </c>
      <c r="R51" s="9" t="str">
        <f aca="false">IF(COUNTIF($D$6:$D$61,D51)&gt;1,"중복","-")</f>
        <v>-</v>
      </c>
      <c r="S51" s="16" t="n">
        <f aca="false">E51-E50</f>
        <v>3</v>
      </c>
      <c r="T51" s="9" t="str">
        <f aca="false">IF(MONTH(E51)&lt;&gt;MONTH(E50),"월 경계","")</f>
        <v>월 경계</v>
      </c>
      <c r="U51" s="16" t="n">
        <f aca="false">S51*24</f>
        <v>72</v>
      </c>
      <c r="V51" s="16" t="n">
        <f aca="false">MAX(0,(S51-1)*24)</f>
        <v>48</v>
      </c>
      <c r="W51" s="16" t="n">
        <f aca="false">(S51+1)*24</f>
        <v>96</v>
      </c>
      <c r="X51" s="16" t="n">
        <f aca="false">IF(ROW()-6&gt;=01_Inputs!$B$99,E51-INDEX($E$6:$E$61,ROW()-6+1-01_Inputs!$B$99),"")</f>
        <v>12</v>
      </c>
      <c r="Y51" s="15" t="n">
        <f aca="false">IF(ISNUMBER(X51),(X51+1)*24/01_Inputs!$B$99,"")</f>
        <v>78</v>
      </c>
      <c r="Z51" s="9" t="str">
        <f aca="false">IF(ISNUMBER(Y51),IF(Y51&lt;(01_Inputs!$B$15+01_Inputs!$B$16+N(01_Inputs!$B$22)),"확인 필요: 점유 하한 미만",""),"")</f>
        <v/>
      </c>
    </row>
    <row r="52" customFormat="false" ht="26.85" hidden="false" customHeight="false" outlineLevel="0" collapsed="false">
      <c r="A52" s="9" t="n">
        <v>47</v>
      </c>
      <c r="B52" s="9" t="s">
        <v>374</v>
      </c>
      <c r="C52" s="9" t="s">
        <v>375</v>
      </c>
      <c r="D52" s="3" t="n">
        <v>83</v>
      </c>
      <c r="E52" s="21" t="n">
        <v>46299</v>
      </c>
      <c r="F52" s="5"/>
      <c r="G52" s="5"/>
      <c r="H52" s="13" t="s">
        <v>376</v>
      </c>
      <c r="I52" s="42" t="s">
        <v>380</v>
      </c>
      <c r="J52" s="5"/>
      <c r="K52" s="3" t="s">
        <v>424</v>
      </c>
      <c r="L52" s="3" t="n">
        <v>4</v>
      </c>
      <c r="M52" s="21" t="n">
        <v>46299</v>
      </c>
      <c r="N52" s="13" t="str">
        <f aca="false">IF(AND(E52=M52,DAY(E52)=L52,K52=MONTH(E52)&amp;"/"&amp;DAY(E52)),"일치","차이 확인")</f>
        <v>일치</v>
      </c>
      <c r="O52" s="9" t="n">
        <f aca="false">MONTH(E52)</f>
        <v>10</v>
      </c>
      <c r="P52" s="9" t="n">
        <f aca="false">IF(AND(D52&gt;01_Inputs!$B$97,D52&lt;=01_Inputs!$B$98),1,0)</f>
        <v>1</v>
      </c>
      <c r="Q52" s="9" t="str">
        <f aca="false">IF(D52-D51=1,"연속","확인")</f>
        <v>연속</v>
      </c>
      <c r="R52" s="9" t="str">
        <f aca="false">IF(COUNTIF($D$6:$D$61,D52)&gt;1,"중복","-")</f>
        <v>-</v>
      </c>
      <c r="S52" s="16" t="n">
        <f aca="false">E52-E51</f>
        <v>3</v>
      </c>
      <c r="T52" s="9" t="str">
        <f aca="false">IF(MONTH(E52)&lt;&gt;MONTH(E51),"월 경계","")</f>
        <v/>
      </c>
      <c r="U52" s="16" t="n">
        <f aca="false">S52*24</f>
        <v>72</v>
      </c>
      <c r="V52" s="16" t="n">
        <f aca="false">MAX(0,(S52-1)*24)</f>
        <v>48</v>
      </c>
      <c r="W52" s="16" t="n">
        <f aca="false">(S52+1)*24</f>
        <v>96</v>
      </c>
      <c r="X52" s="16" t="n">
        <f aca="false">IF(ROW()-6&gt;=01_Inputs!$B$99,E52-INDEX($E$6:$E$61,ROW()-6+1-01_Inputs!$B$99),"")</f>
        <v>11</v>
      </c>
      <c r="Y52" s="15" t="n">
        <f aca="false">IF(ISNUMBER(X52),(X52+1)*24/01_Inputs!$B$99,"")</f>
        <v>72</v>
      </c>
      <c r="Z52" s="9" t="str">
        <f aca="false">IF(ISNUMBER(Y52),IF(Y52&lt;(01_Inputs!$B$15+01_Inputs!$B$16+N(01_Inputs!$B$22)),"확인 필요: 점유 하한 미만",""),"")</f>
        <v/>
      </c>
    </row>
    <row r="53" customFormat="false" ht="26.85" hidden="false" customHeight="false" outlineLevel="0" collapsed="false">
      <c r="A53" s="9" t="n">
        <v>48</v>
      </c>
      <c r="B53" s="9" t="s">
        <v>374</v>
      </c>
      <c r="C53" s="9" t="s">
        <v>375</v>
      </c>
      <c r="D53" s="3" t="n">
        <v>84</v>
      </c>
      <c r="E53" s="21" t="n">
        <v>46302</v>
      </c>
      <c r="F53" s="5"/>
      <c r="G53" s="5"/>
      <c r="H53" s="13" t="s">
        <v>376</v>
      </c>
      <c r="I53" s="42" t="s">
        <v>380</v>
      </c>
      <c r="J53" s="5"/>
      <c r="K53" s="3" t="s">
        <v>425</v>
      </c>
      <c r="L53" s="3" t="n">
        <v>7</v>
      </c>
      <c r="M53" s="21" t="n">
        <v>46302</v>
      </c>
      <c r="N53" s="13" t="str">
        <f aca="false">IF(AND(E53=M53,DAY(E53)=L53,K53=MONTH(E53)&amp;"/"&amp;DAY(E53)),"일치","차이 확인")</f>
        <v>일치</v>
      </c>
      <c r="O53" s="9" t="n">
        <f aca="false">MONTH(E53)</f>
        <v>10</v>
      </c>
      <c r="P53" s="9" t="n">
        <f aca="false">IF(AND(D53&gt;01_Inputs!$B$97,D53&lt;=01_Inputs!$B$98),1,0)</f>
        <v>1</v>
      </c>
      <c r="Q53" s="9" t="str">
        <f aca="false">IF(D53-D52=1,"연속","확인")</f>
        <v>연속</v>
      </c>
      <c r="R53" s="9" t="str">
        <f aca="false">IF(COUNTIF($D$6:$D$61,D53)&gt;1,"중복","-")</f>
        <v>-</v>
      </c>
      <c r="S53" s="16" t="n">
        <f aca="false">E53-E52</f>
        <v>3</v>
      </c>
      <c r="T53" s="9" t="str">
        <f aca="false">IF(MONTH(E53)&lt;&gt;MONTH(E52),"월 경계","")</f>
        <v/>
      </c>
      <c r="U53" s="16" t="n">
        <f aca="false">S53*24</f>
        <v>72</v>
      </c>
      <c r="V53" s="16" t="n">
        <f aca="false">MAX(0,(S53-1)*24)</f>
        <v>48</v>
      </c>
      <c r="W53" s="16" t="n">
        <f aca="false">(S53+1)*24</f>
        <v>96</v>
      </c>
      <c r="X53" s="16" t="n">
        <f aca="false">IF(ROW()-6&gt;=01_Inputs!$B$99,E53-INDEX($E$6:$E$61,ROW()-6+1-01_Inputs!$B$99),"")</f>
        <v>11</v>
      </c>
      <c r="Y53" s="15" t="n">
        <f aca="false">IF(ISNUMBER(X53),(X53+1)*24/01_Inputs!$B$99,"")</f>
        <v>72</v>
      </c>
      <c r="Z53" s="9" t="str">
        <f aca="false">IF(ISNUMBER(Y53),IF(Y53&lt;(01_Inputs!$B$15+01_Inputs!$B$16+N(01_Inputs!$B$22)),"확인 필요: 점유 하한 미만",""),"")</f>
        <v/>
      </c>
    </row>
    <row r="54" customFormat="false" ht="26.85" hidden="false" customHeight="false" outlineLevel="0" collapsed="false">
      <c r="A54" s="9" t="n">
        <v>49</v>
      </c>
      <c r="B54" s="9" t="s">
        <v>374</v>
      </c>
      <c r="C54" s="9" t="s">
        <v>375</v>
      </c>
      <c r="D54" s="3" t="n">
        <v>85</v>
      </c>
      <c r="E54" s="21" t="n">
        <v>46305</v>
      </c>
      <c r="F54" s="5"/>
      <c r="G54" s="5"/>
      <c r="H54" s="13" t="s">
        <v>376</v>
      </c>
      <c r="I54" s="42" t="s">
        <v>380</v>
      </c>
      <c r="J54" s="5"/>
      <c r="K54" s="3" t="s">
        <v>426</v>
      </c>
      <c r="L54" s="3" t="n">
        <v>10</v>
      </c>
      <c r="M54" s="21" t="n">
        <v>46305</v>
      </c>
      <c r="N54" s="13" t="str">
        <f aca="false">IF(AND(E54=M54,DAY(E54)=L54,K54=MONTH(E54)&amp;"/"&amp;DAY(E54)),"일치","차이 확인")</f>
        <v>일치</v>
      </c>
      <c r="O54" s="9" t="n">
        <f aca="false">MONTH(E54)</f>
        <v>10</v>
      </c>
      <c r="P54" s="9" t="n">
        <f aca="false">IF(AND(D54&gt;01_Inputs!$B$97,D54&lt;=01_Inputs!$B$98),1,0)</f>
        <v>1</v>
      </c>
      <c r="Q54" s="9" t="str">
        <f aca="false">IF(D54-D53=1,"연속","확인")</f>
        <v>연속</v>
      </c>
      <c r="R54" s="9" t="str">
        <f aca="false">IF(COUNTIF($D$6:$D$61,D54)&gt;1,"중복","-")</f>
        <v>-</v>
      </c>
      <c r="S54" s="16" t="n">
        <f aca="false">E54-E53</f>
        <v>3</v>
      </c>
      <c r="T54" s="9" t="str">
        <f aca="false">IF(MONTH(E54)&lt;&gt;MONTH(E53),"월 경계","")</f>
        <v/>
      </c>
      <c r="U54" s="16" t="n">
        <f aca="false">S54*24</f>
        <v>72</v>
      </c>
      <c r="V54" s="16" t="n">
        <f aca="false">MAX(0,(S54-1)*24)</f>
        <v>48</v>
      </c>
      <c r="W54" s="16" t="n">
        <f aca="false">(S54+1)*24</f>
        <v>96</v>
      </c>
      <c r="X54" s="16" t="n">
        <f aca="false">IF(ROW()-6&gt;=01_Inputs!$B$99,E54-INDEX($E$6:$E$61,ROW()-6+1-01_Inputs!$B$99),"")</f>
        <v>12</v>
      </c>
      <c r="Y54" s="15" t="n">
        <f aca="false">IF(ISNUMBER(X54),(X54+1)*24/01_Inputs!$B$99,"")</f>
        <v>78</v>
      </c>
      <c r="Z54" s="9" t="str">
        <f aca="false">IF(ISNUMBER(Y54),IF(Y54&lt;(01_Inputs!$B$15+01_Inputs!$B$16+N(01_Inputs!$B$22)),"확인 필요: 점유 하한 미만",""),"")</f>
        <v/>
      </c>
    </row>
    <row r="55" customFormat="false" ht="26.85" hidden="false" customHeight="false" outlineLevel="0" collapsed="false">
      <c r="A55" s="9" t="n">
        <v>50</v>
      </c>
      <c r="B55" s="9" t="s">
        <v>374</v>
      </c>
      <c r="C55" s="9" t="s">
        <v>375</v>
      </c>
      <c r="D55" s="3" t="n">
        <v>86</v>
      </c>
      <c r="E55" s="21" t="n">
        <v>46307</v>
      </c>
      <c r="F55" s="5"/>
      <c r="G55" s="5"/>
      <c r="H55" s="13" t="s">
        <v>376</v>
      </c>
      <c r="I55" s="42" t="s">
        <v>380</v>
      </c>
      <c r="J55" s="5"/>
      <c r="K55" s="3" t="s">
        <v>427</v>
      </c>
      <c r="L55" s="3" t="n">
        <v>12</v>
      </c>
      <c r="M55" s="21" t="n">
        <v>46307</v>
      </c>
      <c r="N55" s="13" t="str">
        <f aca="false">IF(AND(E55=M55,DAY(E55)=L55,K55=MONTH(E55)&amp;"/"&amp;DAY(E55)),"일치","차이 확인")</f>
        <v>일치</v>
      </c>
      <c r="O55" s="9" t="n">
        <f aca="false">MONTH(E55)</f>
        <v>10</v>
      </c>
      <c r="P55" s="9" t="n">
        <f aca="false">IF(AND(D55&gt;01_Inputs!$B$97,D55&lt;=01_Inputs!$B$98),1,0)</f>
        <v>1</v>
      </c>
      <c r="Q55" s="9" t="str">
        <f aca="false">IF(D55-D54=1,"연속","확인")</f>
        <v>연속</v>
      </c>
      <c r="R55" s="9" t="str">
        <f aca="false">IF(COUNTIF($D$6:$D$61,D55)&gt;1,"중복","-")</f>
        <v>-</v>
      </c>
      <c r="S55" s="16" t="n">
        <f aca="false">E55-E54</f>
        <v>2</v>
      </c>
      <c r="T55" s="9" t="str">
        <f aca="false">IF(MONTH(E55)&lt;&gt;MONTH(E54),"월 경계","")</f>
        <v/>
      </c>
      <c r="U55" s="16" t="n">
        <f aca="false">S55*24</f>
        <v>48</v>
      </c>
      <c r="V55" s="16" t="n">
        <f aca="false">MAX(0,(S55-1)*24)</f>
        <v>24</v>
      </c>
      <c r="W55" s="16" t="n">
        <f aca="false">(S55+1)*24</f>
        <v>72</v>
      </c>
      <c r="X55" s="16" t="n">
        <f aca="false">IF(ROW()-6&gt;=01_Inputs!$B$99,E55-INDEX($E$6:$E$61,ROW()-6+1-01_Inputs!$B$99),"")</f>
        <v>11</v>
      </c>
      <c r="Y55" s="15" t="n">
        <f aca="false">IF(ISNUMBER(X55),(X55+1)*24/01_Inputs!$B$99,"")</f>
        <v>72</v>
      </c>
      <c r="Z55" s="9" t="str">
        <f aca="false">IF(ISNUMBER(Y55),IF(Y55&lt;(01_Inputs!$B$15+01_Inputs!$B$16+N(01_Inputs!$B$22)),"확인 필요: 점유 하한 미만",""),"")</f>
        <v/>
      </c>
    </row>
    <row r="56" customFormat="false" ht="26.85" hidden="false" customHeight="false" outlineLevel="0" collapsed="false">
      <c r="A56" s="9" t="n">
        <v>51</v>
      </c>
      <c r="B56" s="9" t="s">
        <v>374</v>
      </c>
      <c r="C56" s="9" t="s">
        <v>375</v>
      </c>
      <c r="D56" s="3" t="n">
        <v>87</v>
      </c>
      <c r="E56" s="21" t="n">
        <v>46310</v>
      </c>
      <c r="F56" s="5"/>
      <c r="G56" s="5"/>
      <c r="H56" s="13" t="s">
        <v>376</v>
      </c>
      <c r="I56" s="42" t="s">
        <v>380</v>
      </c>
      <c r="J56" s="5"/>
      <c r="K56" s="3" t="s">
        <v>428</v>
      </c>
      <c r="L56" s="3" t="n">
        <v>15</v>
      </c>
      <c r="M56" s="21" t="n">
        <v>46310</v>
      </c>
      <c r="N56" s="13" t="str">
        <f aca="false">IF(AND(E56=M56,DAY(E56)=L56,K56=MONTH(E56)&amp;"/"&amp;DAY(E56)),"일치","차이 확인")</f>
        <v>일치</v>
      </c>
      <c r="O56" s="9" t="n">
        <f aca="false">MONTH(E56)</f>
        <v>10</v>
      </c>
      <c r="P56" s="9" t="n">
        <f aca="false">IF(AND(D56&gt;01_Inputs!$B$97,D56&lt;=01_Inputs!$B$98),1,0)</f>
        <v>1</v>
      </c>
      <c r="Q56" s="9" t="str">
        <f aca="false">IF(D56-D55=1,"연속","확인")</f>
        <v>연속</v>
      </c>
      <c r="R56" s="9" t="str">
        <f aca="false">IF(COUNTIF($D$6:$D$61,D56)&gt;1,"중복","-")</f>
        <v>-</v>
      </c>
      <c r="S56" s="16" t="n">
        <f aca="false">E56-E55</f>
        <v>3</v>
      </c>
      <c r="T56" s="9" t="str">
        <f aca="false">IF(MONTH(E56)&lt;&gt;MONTH(E55),"월 경계","")</f>
        <v/>
      </c>
      <c r="U56" s="16" t="n">
        <f aca="false">S56*24</f>
        <v>72</v>
      </c>
      <c r="V56" s="16" t="n">
        <f aca="false">MAX(0,(S56-1)*24)</f>
        <v>48</v>
      </c>
      <c r="W56" s="16" t="n">
        <f aca="false">(S56+1)*24</f>
        <v>96</v>
      </c>
      <c r="X56" s="16" t="n">
        <f aca="false">IF(ROW()-6&gt;=01_Inputs!$B$99,E56-INDEX($E$6:$E$61,ROW()-6+1-01_Inputs!$B$99),"")</f>
        <v>11</v>
      </c>
      <c r="Y56" s="15" t="n">
        <f aca="false">IF(ISNUMBER(X56),(X56+1)*24/01_Inputs!$B$99,"")</f>
        <v>72</v>
      </c>
      <c r="Z56" s="9" t="str">
        <f aca="false">IF(ISNUMBER(Y56),IF(Y56&lt;(01_Inputs!$B$15+01_Inputs!$B$16+N(01_Inputs!$B$22)),"확인 필요: 점유 하한 미만",""),"")</f>
        <v/>
      </c>
    </row>
    <row r="57" customFormat="false" ht="26.85" hidden="false" customHeight="false" outlineLevel="0" collapsed="false">
      <c r="A57" s="9" t="n">
        <v>52</v>
      </c>
      <c r="B57" s="9" t="s">
        <v>374</v>
      </c>
      <c r="C57" s="9" t="s">
        <v>375</v>
      </c>
      <c r="D57" s="3" t="n">
        <v>88</v>
      </c>
      <c r="E57" s="21" t="n">
        <v>46313</v>
      </c>
      <c r="F57" s="5"/>
      <c r="G57" s="5"/>
      <c r="H57" s="13" t="s">
        <v>376</v>
      </c>
      <c r="I57" s="42" t="s">
        <v>380</v>
      </c>
      <c r="J57" s="5"/>
      <c r="K57" s="3" t="s">
        <v>429</v>
      </c>
      <c r="L57" s="3" t="n">
        <v>18</v>
      </c>
      <c r="M57" s="21" t="n">
        <v>46313</v>
      </c>
      <c r="N57" s="13" t="str">
        <f aca="false">IF(AND(E57=M57,DAY(E57)=L57,K57=MONTH(E57)&amp;"/"&amp;DAY(E57)),"일치","차이 확인")</f>
        <v>일치</v>
      </c>
      <c r="O57" s="9" t="n">
        <f aca="false">MONTH(E57)</f>
        <v>10</v>
      </c>
      <c r="P57" s="9" t="n">
        <f aca="false">IF(AND(D57&gt;01_Inputs!$B$97,D57&lt;=01_Inputs!$B$98),1,0)</f>
        <v>1</v>
      </c>
      <c r="Q57" s="9" t="str">
        <f aca="false">IF(D57-D56=1,"연속","확인")</f>
        <v>연속</v>
      </c>
      <c r="R57" s="9" t="str">
        <f aca="false">IF(COUNTIF($D$6:$D$61,D57)&gt;1,"중복","-")</f>
        <v>-</v>
      </c>
      <c r="S57" s="16" t="n">
        <f aca="false">E57-E56</f>
        <v>3</v>
      </c>
      <c r="T57" s="9" t="str">
        <f aca="false">IF(MONTH(E57)&lt;&gt;MONTH(E56),"월 경계","")</f>
        <v/>
      </c>
      <c r="U57" s="16" t="n">
        <f aca="false">S57*24</f>
        <v>72</v>
      </c>
      <c r="V57" s="16" t="n">
        <f aca="false">MAX(0,(S57-1)*24)</f>
        <v>48</v>
      </c>
      <c r="W57" s="16" t="n">
        <f aca="false">(S57+1)*24</f>
        <v>96</v>
      </c>
      <c r="X57" s="16" t="n">
        <f aca="false">IF(ROW()-6&gt;=01_Inputs!$B$99,E57-INDEX($E$6:$E$61,ROW()-6+1-01_Inputs!$B$99),"")</f>
        <v>11</v>
      </c>
      <c r="Y57" s="15" t="n">
        <f aca="false">IF(ISNUMBER(X57),(X57+1)*24/01_Inputs!$B$99,"")</f>
        <v>72</v>
      </c>
      <c r="Z57" s="9" t="str">
        <f aca="false">IF(ISNUMBER(Y57),IF(Y57&lt;(01_Inputs!$B$15+01_Inputs!$B$16+N(01_Inputs!$B$22)),"확인 필요: 점유 하한 미만",""),"")</f>
        <v/>
      </c>
    </row>
    <row r="58" customFormat="false" ht="26.85" hidden="false" customHeight="false" outlineLevel="0" collapsed="false">
      <c r="A58" s="9" t="n">
        <v>53</v>
      </c>
      <c r="B58" s="9" t="s">
        <v>374</v>
      </c>
      <c r="C58" s="9" t="s">
        <v>375</v>
      </c>
      <c r="D58" s="3" t="n">
        <v>89</v>
      </c>
      <c r="E58" s="21" t="n">
        <v>46315</v>
      </c>
      <c r="F58" s="5"/>
      <c r="G58" s="5"/>
      <c r="H58" s="13" t="s">
        <v>376</v>
      </c>
      <c r="I58" s="42" t="s">
        <v>380</v>
      </c>
      <c r="J58" s="5"/>
      <c r="K58" s="3" t="s">
        <v>430</v>
      </c>
      <c r="L58" s="3" t="n">
        <v>20</v>
      </c>
      <c r="M58" s="21" t="n">
        <v>46315</v>
      </c>
      <c r="N58" s="13" t="str">
        <f aca="false">IF(AND(E58=M58,DAY(E58)=L58,K58=MONTH(E58)&amp;"/"&amp;DAY(E58)),"일치","차이 확인")</f>
        <v>일치</v>
      </c>
      <c r="O58" s="9" t="n">
        <f aca="false">MONTH(E58)</f>
        <v>10</v>
      </c>
      <c r="P58" s="9" t="n">
        <f aca="false">IF(AND(D58&gt;01_Inputs!$B$97,D58&lt;=01_Inputs!$B$98),1,0)</f>
        <v>1</v>
      </c>
      <c r="Q58" s="9" t="str">
        <f aca="false">IF(D58-D57=1,"연속","확인")</f>
        <v>연속</v>
      </c>
      <c r="R58" s="9" t="str">
        <f aca="false">IF(COUNTIF($D$6:$D$61,D58)&gt;1,"중복","-")</f>
        <v>-</v>
      </c>
      <c r="S58" s="16" t="n">
        <f aca="false">E58-E57</f>
        <v>2</v>
      </c>
      <c r="T58" s="9" t="str">
        <f aca="false">IF(MONTH(E58)&lt;&gt;MONTH(E57),"월 경계","")</f>
        <v/>
      </c>
      <c r="U58" s="16" t="n">
        <f aca="false">S58*24</f>
        <v>48</v>
      </c>
      <c r="V58" s="16" t="n">
        <f aca="false">MAX(0,(S58-1)*24)</f>
        <v>24</v>
      </c>
      <c r="W58" s="16" t="n">
        <f aca="false">(S58+1)*24</f>
        <v>72</v>
      </c>
      <c r="X58" s="16" t="n">
        <f aca="false">IF(ROW()-6&gt;=01_Inputs!$B$99,E58-INDEX($E$6:$E$61,ROW()-6+1-01_Inputs!$B$99),"")</f>
        <v>10</v>
      </c>
      <c r="Y58" s="15" t="n">
        <f aca="false">IF(ISNUMBER(X58),(X58+1)*24/01_Inputs!$B$99,"")</f>
        <v>66</v>
      </c>
      <c r="Z58" s="9" t="str">
        <f aca="false">IF(ISNUMBER(Y58),IF(Y58&lt;(01_Inputs!$B$15+01_Inputs!$B$16+N(01_Inputs!$B$22)),"확인 필요: 점유 하한 미만",""),"")</f>
        <v/>
      </c>
    </row>
    <row r="59" customFormat="false" ht="26.85" hidden="false" customHeight="false" outlineLevel="0" collapsed="false">
      <c r="A59" s="9" t="n">
        <v>54</v>
      </c>
      <c r="B59" s="9" t="s">
        <v>374</v>
      </c>
      <c r="C59" s="9" t="s">
        <v>375</v>
      </c>
      <c r="D59" s="3" t="n">
        <v>90</v>
      </c>
      <c r="E59" s="21" t="n">
        <v>46318</v>
      </c>
      <c r="F59" s="5"/>
      <c r="G59" s="5"/>
      <c r="H59" s="13" t="s">
        <v>376</v>
      </c>
      <c r="I59" s="42" t="s">
        <v>380</v>
      </c>
      <c r="J59" s="5"/>
      <c r="K59" s="3" t="s">
        <v>431</v>
      </c>
      <c r="L59" s="3" t="n">
        <v>23</v>
      </c>
      <c r="M59" s="21" t="n">
        <v>46318</v>
      </c>
      <c r="N59" s="13" t="str">
        <f aca="false">IF(AND(E59=M59,DAY(E59)=L59,K59=MONTH(E59)&amp;"/"&amp;DAY(E59)),"일치","차이 확인")</f>
        <v>일치</v>
      </c>
      <c r="O59" s="9" t="n">
        <f aca="false">MONTH(E59)</f>
        <v>10</v>
      </c>
      <c r="P59" s="9" t="n">
        <f aca="false">IF(AND(D59&gt;01_Inputs!$B$97,D59&lt;=01_Inputs!$B$98),1,0)</f>
        <v>1</v>
      </c>
      <c r="Q59" s="9" t="str">
        <f aca="false">IF(D59-D58=1,"연속","확인")</f>
        <v>연속</v>
      </c>
      <c r="R59" s="9" t="str">
        <f aca="false">IF(COUNTIF($D$6:$D$61,D59)&gt;1,"중복","-")</f>
        <v>-</v>
      </c>
      <c r="S59" s="16" t="n">
        <f aca="false">E59-E58</f>
        <v>3</v>
      </c>
      <c r="T59" s="9" t="str">
        <f aca="false">IF(MONTH(E59)&lt;&gt;MONTH(E58),"월 경계","")</f>
        <v/>
      </c>
      <c r="U59" s="16" t="n">
        <f aca="false">S59*24</f>
        <v>72</v>
      </c>
      <c r="V59" s="16" t="n">
        <f aca="false">MAX(0,(S59-1)*24)</f>
        <v>48</v>
      </c>
      <c r="W59" s="16" t="n">
        <f aca="false">(S59+1)*24</f>
        <v>96</v>
      </c>
      <c r="X59" s="16" t="n">
        <f aca="false">IF(ROW()-6&gt;=01_Inputs!$B$99,E59-INDEX($E$6:$E$61,ROW()-6+1-01_Inputs!$B$99),"")</f>
        <v>11</v>
      </c>
      <c r="Y59" s="15" t="n">
        <f aca="false">IF(ISNUMBER(X59),(X59+1)*24/01_Inputs!$B$99,"")</f>
        <v>72</v>
      </c>
      <c r="Z59" s="9" t="str">
        <f aca="false">IF(ISNUMBER(Y59),IF(Y59&lt;(01_Inputs!$B$15+01_Inputs!$B$16+N(01_Inputs!$B$22)),"확인 필요: 점유 하한 미만",""),"")</f>
        <v/>
      </c>
    </row>
    <row r="60" customFormat="false" ht="26.85" hidden="false" customHeight="false" outlineLevel="0" collapsed="false">
      <c r="A60" s="9" t="n">
        <v>55</v>
      </c>
      <c r="B60" s="9" t="s">
        <v>374</v>
      </c>
      <c r="C60" s="9" t="s">
        <v>375</v>
      </c>
      <c r="D60" s="3" t="n">
        <v>91</v>
      </c>
      <c r="E60" s="21" t="n">
        <v>46321</v>
      </c>
      <c r="F60" s="5"/>
      <c r="G60" s="5"/>
      <c r="H60" s="13" t="s">
        <v>376</v>
      </c>
      <c r="I60" s="42" t="s">
        <v>380</v>
      </c>
      <c r="J60" s="5"/>
      <c r="K60" s="3" t="s">
        <v>432</v>
      </c>
      <c r="L60" s="3" t="n">
        <v>26</v>
      </c>
      <c r="M60" s="21" t="n">
        <v>46321</v>
      </c>
      <c r="N60" s="13" t="str">
        <f aca="false">IF(AND(E60=M60,DAY(E60)=L60,K60=MONTH(E60)&amp;"/"&amp;DAY(E60)),"일치","차이 확인")</f>
        <v>일치</v>
      </c>
      <c r="O60" s="9" t="n">
        <f aca="false">MONTH(E60)</f>
        <v>10</v>
      </c>
      <c r="P60" s="9" t="n">
        <f aca="false">IF(AND(D60&gt;01_Inputs!$B$97,D60&lt;=01_Inputs!$B$98),1,0)</f>
        <v>1</v>
      </c>
      <c r="Q60" s="9" t="str">
        <f aca="false">IF(D60-D59=1,"연속","확인")</f>
        <v>연속</v>
      </c>
      <c r="R60" s="9" t="str">
        <f aca="false">IF(COUNTIF($D$6:$D$61,D60)&gt;1,"중복","-")</f>
        <v>-</v>
      </c>
      <c r="S60" s="16" t="n">
        <f aca="false">E60-E59</f>
        <v>3</v>
      </c>
      <c r="T60" s="9" t="str">
        <f aca="false">IF(MONTH(E60)&lt;&gt;MONTH(E59),"월 경계","")</f>
        <v/>
      </c>
      <c r="U60" s="16" t="n">
        <f aca="false">S60*24</f>
        <v>72</v>
      </c>
      <c r="V60" s="16" t="n">
        <f aca="false">MAX(0,(S60-1)*24)</f>
        <v>48</v>
      </c>
      <c r="W60" s="16" t="n">
        <f aca="false">(S60+1)*24</f>
        <v>96</v>
      </c>
      <c r="X60" s="16" t="n">
        <f aca="false">IF(ROW()-6&gt;=01_Inputs!$B$99,E60-INDEX($E$6:$E$61,ROW()-6+1-01_Inputs!$B$99),"")</f>
        <v>11</v>
      </c>
      <c r="Y60" s="15" t="n">
        <f aca="false">IF(ISNUMBER(X60),(X60+1)*24/01_Inputs!$B$99,"")</f>
        <v>72</v>
      </c>
      <c r="Z60" s="9" t="str">
        <f aca="false">IF(ISNUMBER(Y60),IF(Y60&lt;(01_Inputs!$B$15+01_Inputs!$B$16+N(01_Inputs!$B$22)),"확인 필요: 점유 하한 미만",""),"")</f>
        <v/>
      </c>
    </row>
    <row r="61" customFormat="false" ht="26.85" hidden="false" customHeight="false" outlineLevel="0" collapsed="false">
      <c r="A61" s="9" t="n">
        <v>56</v>
      </c>
      <c r="B61" s="9" t="s">
        <v>374</v>
      </c>
      <c r="C61" s="9" t="s">
        <v>375</v>
      </c>
      <c r="D61" s="3" t="n">
        <v>92</v>
      </c>
      <c r="E61" s="21" t="n">
        <v>46324</v>
      </c>
      <c r="F61" s="5"/>
      <c r="G61" s="5"/>
      <c r="H61" s="13" t="s">
        <v>376</v>
      </c>
      <c r="I61" s="42" t="s">
        <v>380</v>
      </c>
      <c r="J61" s="5"/>
      <c r="K61" s="3" t="s">
        <v>258</v>
      </c>
      <c r="L61" s="3" t="n">
        <v>29</v>
      </c>
      <c r="M61" s="21" t="n">
        <v>46324</v>
      </c>
      <c r="N61" s="13" t="str">
        <f aca="false">IF(AND(E61=M61,DAY(E61)=L61,K61=MONTH(E61)&amp;"/"&amp;DAY(E61)),"일치","차이 확인")</f>
        <v>일치</v>
      </c>
      <c r="O61" s="9" t="n">
        <f aca="false">MONTH(E61)</f>
        <v>10</v>
      </c>
      <c r="P61" s="9" t="n">
        <f aca="false">IF(AND(D61&gt;01_Inputs!$B$97,D61&lt;=01_Inputs!$B$98),1,0)</f>
        <v>1</v>
      </c>
      <c r="Q61" s="9" t="str">
        <f aca="false">IF(D61-D60=1,"연속","확인")</f>
        <v>연속</v>
      </c>
      <c r="R61" s="9" t="str">
        <f aca="false">IF(COUNTIF($D$6:$D$61,D61)&gt;1,"중복","-")</f>
        <v>-</v>
      </c>
      <c r="S61" s="16" t="n">
        <f aca="false">E61-E60</f>
        <v>3</v>
      </c>
      <c r="T61" s="9" t="str">
        <f aca="false">IF(MONTH(E61)&lt;&gt;MONTH(E60),"월 경계","")</f>
        <v/>
      </c>
      <c r="U61" s="16" t="n">
        <f aca="false">S61*24</f>
        <v>72</v>
      </c>
      <c r="V61" s="16" t="n">
        <f aca="false">MAX(0,(S61-1)*24)</f>
        <v>48</v>
      </c>
      <c r="W61" s="16" t="n">
        <f aca="false">(S61+1)*24</f>
        <v>96</v>
      </c>
      <c r="X61" s="16" t="n">
        <f aca="false">IF(ROW()-6&gt;=01_Inputs!$B$99,E61-INDEX($E$6:$E$61,ROW()-6+1-01_Inputs!$B$99),"")</f>
        <v>11</v>
      </c>
      <c r="Y61" s="15" t="n">
        <f aca="false">IF(ISNUMBER(X61),(X61+1)*24/01_Inputs!$B$99,"")</f>
        <v>72</v>
      </c>
      <c r="Z61" s="9" t="str">
        <f aca="false">IF(ISNUMBER(Y61),IF(Y61&lt;(01_Inputs!$B$15+01_Inputs!$B$16+N(01_Inputs!$B$22)),"확인 필요: 점유 하한 미만",""),"")</f>
        <v/>
      </c>
    </row>
    <row r="63" customFormat="false" ht="15" hidden="false" customHeight="false" outlineLevel="0" collapsed="false">
      <c r="A63" s="32" t="s">
        <v>433</v>
      </c>
    </row>
    <row r="64" customFormat="false" ht="39.75" hidden="false" customHeight="true" outlineLevel="0" collapsed="false">
      <c r="A64" s="11" t="s">
        <v>362</v>
      </c>
      <c r="B64" s="11" t="s">
        <v>434</v>
      </c>
      <c r="C64" s="11" t="s">
        <v>435</v>
      </c>
      <c r="D64" s="11" t="s">
        <v>436</v>
      </c>
      <c r="E64" s="11" t="s">
        <v>437</v>
      </c>
      <c r="F64" s="11" t="s">
        <v>438</v>
      </c>
      <c r="G64" s="33" t="s">
        <v>439</v>
      </c>
      <c r="H64" s="11" t="s">
        <v>440</v>
      </c>
      <c r="I64" s="11" t="s">
        <v>441</v>
      </c>
      <c r="J64" s="11" t="s">
        <v>442</v>
      </c>
      <c r="K64" s="11" t="s">
        <v>443</v>
      </c>
      <c r="L64" s="11" t="s">
        <v>444</v>
      </c>
      <c r="M64" s="11" t="s">
        <v>445</v>
      </c>
      <c r="N64" s="11" t="s">
        <v>446</v>
      </c>
      <c r="O64" s="33" t="s">
        <v>447</v>
      </c>
      <c r="P64" s="33" t="s">
        <v>448</v>
      </c>
      <c r="Q64" s="33" t="s">
        <v>449</v>
      </c>
      <c r="R64" s="33" t="s">
        <v>450</v>
      </c>
      <c r="S64" s="33" t="s">
        <v>451</v>
      </c>
      <c r="T64" s="33" t="s">
        <v>452</v>
      </c>
      <c r="U64" s="11" t="s">
        <v>453</v>
      </c>
      <c r="V64" s="11" t="s">
        <v>16</v>
      </c>
    </row>
    <row r="65" customFormat="false" ht="39.55" hidden="false" customHeight="false" outlineLevel="0" collapsed="false">
      <c r="A65" s="9" t="s">
        <v>454</v>
      </c>
      <c r="B65" s="9" t="str">
        <f aca="false">"#"&amp;_xlfn.MINIFS($D$6:$D$61,$O$6:$O$61,5)&amp;"~#"&amp;_xlfn.MAXIFS($D$6:$D$61,$O$6:$O$61,5)</f>
        <v>#37~#38</v>
      </c>
      <c r="C65" s="9" t="n">
        <f aca="false">COUNTIF($O$6:$O$61,5)</f>
        <v>2</v>
      </c>
      <c r="D65" s="5"/>
      <c r="E65" s="9" t="str">
        <f aca="false">IF(ISNUMBER(D65),C65-D65,"원자료 Total 없음")</f>
        <v>원자료 Total 없음</v>
      </c>
      <c r="F65" s="22" t="n">
        <f aca="false">C65*01_Inputs!$B$49</f>
        <v>380</v>
      </c>
      <c r="G65" s="22" t="str">
        <f aca="false">IF(ISNUMBER(D65),D65*01_Inputs!$B$49,"-")</f>
        <v>-</v>
      </c>
      <c r="H65" s="43" t="n">
        <f aca="false">_xlfn.MINIFS($E$6:$E$61,$O$6:$O$61,5)</f>
        <v>46165</v>
      </c>
      <c r="I65" s="43" t="n">
        <f aca="false">_xlfn.MAXIFS($E$6:$E$61,$O$6:$O$61,5)</f>
        <v>46168</v>
      </c>
      <c r="J65" s="9" t="n">
        <f aca="false">COUNTIFS($O$6:$O$61,5,$P$6:$P$61,1)</f>
        <v>0</v>
      </c>
      <c r="K65" s="27" t="str">
        <f aca="false">IF(J65&gt;0,AVERAGEIFS($S$6:$S$61,$O$6:$O$61,5,$P$6:$P$61,1),"-")</f>
        <v>-</v>
      </c>
      <c r="L65" s="27" t="str">
        <f aca="false" t="array" ref="L65:L65">IF(J65&gt;0,MEDIAN(IF(($O$6:$O$61=5)*($P$6:$P$61=1),$S$6:$S$61)),"-")</f>
        <v>-</v>
      </c>
      <c r="M65" s="9" t="str">
        <f aca="false">IF(J65&gt;0,_xlfn.MINIFS($S$6:$S$61,$O$6:$O$61,5,$P$6:$P$61,1),"-")</f>
        <v>-</v>
      </c>
      <c r="N65" s="9" t="str">
        <f aca="false">IF(J65&gt;0,_xlfn.MAXIFS($S$6:$S$61,$O$6:$O$61,5,$P$6:$P$61,1),"-")</f>
        <v>-</v>
      </c>
      <c r="O65" s="9" t="n">
        <f aca="false">COUNTIFS($O$6:$O$61,5,$P$6:$P$61,1,$S$6:$S$61,1)</f>
        <v>0</v>
      </c>
      <c r="P65" s="9" t="n">
        <f aca="false">COUNTIFS($O$6:$O$61,5,$P$6:$P$61,1,$S$6:$S$61,2)</f>
        <v>0</v>
      </c>
      <c r="Q65" s="9" t="n">
        <f aca="false">COUNTIFS($O$6:$O$61,5,$P$6:$P$61,1,$S$6:$S$61,3)</f>
        <v>0</v>
      </c>
      <c r="R65" s="9" t="n">
        <f aca="false">COUNTIFS($O$6:$O$61,5,$P$6:$P$61,1,$S$6:$S$61,4)</f>
        <v>0</v>
      </c>
      <c r="S65" s="9" t="n">
        <f aca="false">COUNTIFS($O$6:$O$61,5,$P$6:$P$61,1,$S$6:$S$61,5)</f>
        <v>0</v>
      </c>
      <c r="T65" s="9" t="n">
        <f aca="false">COUNTIFS($O$6:$O$61,5,$P$6:$P$61,1,$S$6:$S$61,"&gt;=6")</f>
        <v>0</v>
      </c>
      <c r="U65" s="9" t="n">
        <f aca="false">COUNTIFS($O$6:$O$61,5,$P$6:$P$61,1,$T$6:$T$61,"월 경계")</f>
        <v>0</v>
      </c>
      <c r="V65" s="9" t="s">
        <v>455</v>
      </c>
    </row>
    <row r="66" customFormat="false" ht="15" hidden="false" customHeight="false" outlineLevel="0" collapsed="false">
      <c r="A66" s="9" t="s">
        <v>456</v>
      </c>
      <c r="B66" s="9" t="str">
        <f aca="false">"#"&amp;_xlfn.MINIFS($D$6:$D$61,$O$6:$O$61,6)&amp;"~#"&amp;_xlfn.MAXIFS($D$6:$D$61,$O$6:$O$61,6)</f>
        <v>#39~#49</v>
      </c>
      <c r="C66" s="44" t="n">
        <f aca="false">COUNTIF($O$6:$O$61,6)</f>
        <v>11</v>
      </c>
      <c r="D66" s="3" t="n">
        <v>8</v>
      </c>
      <c r="E66" s="44" t="n">
        <f aca="false">IF(ISNUMBER(D66),C66-D66,"원자료 Total 없음")</f>
        <v>3</v>
      </c>
      <c r="F66" s="22" t="n">
        <f aca="false">C66*01_Inputs!$B$49</f>
        <v>2090</v>
      </c>
      <c r="G66" s="22" t="n">
        <f aca="false">IF(ISNUMBER(D66),D66*01_Inputs!$B$49,"-")</f>
        <v>1520</v>
      </c>
      <c r="H66" s="43" t="n">
        <f aca="false">_xlfn.MINIFS($E$6:$E$61,$O$6:$O$61,6)</f>
        <v>46175</v>
      </c>
      <c r="I66" s="43" t="n">
        <f aca="false">_xlfn.MAXIFS($E$6:$E$61,$O$6:$O$61,6)</f>
        <v>46201</v>
      </c>
      <c r="J66" s="9" t="n">
        <f aca="false">COUNTIFS($O$6:$O$61,6,$P$6:$P$61,1)</f>
        <v>10</v>
      </c>
      <c r="K66" s="27" t="n">
        <f aca="false">IF(J66&gt;0,AVERAGEIFS($S$6:$S$61,$O$6:$O$61,6,$P$6:$P$61,1),"-")</f>
        <v>2.6</v>
      </c>
      <c r="L66" s="27" t="n">
        <f aca="false" t="array" ref="L66:L66">IF(J66&gt;0,MEDIAN(IF(($O$6:$O$61=6)*($P$6:$P$61=1),$S$6:$S$61)),"-")</f>
        <v>3</v>
      </c>
      <c r="M66" s="9" t="n">
        <f aca="false">IF(J66&gt;0,_xlfn.MINIFS($S$6:$S$61,$O$6:$O$61,6,$P$6:$P$61,1),"-")</f>
        <v>1</v>
      </c>
      <c r="N66" s="9" t="n">
        <f aca="false">IF(J66&gt;0,_xlfn.MAXIFS($S$6:$S$61,$O$6:$O$61,6,$P$6:$P$61,1),"-")</f>
        <v>3</v>
      </c>
      <c r="O66" s="9" t="n">
        <f aca="false">COUNTIFS($O$6:$O$61,6,$P$6:$P$61,1,$S$6:$S$61,1)</f>
        <v>1</v>
      </c>
      <c r="P66" s="9" t="n">
        <f aca="false">COUNTIFS($O$6:$O$61,6,$P$6:$P$61,1,$S$6:$S$61,2)</f>
        <v>2</v>
      </c>
      <c r="Q66" s="9" t="n">
        <f aca="false">COUNTIFS($O$6:$O$61,6,$P$6:$P$61,1,$S$6:$S$61,3)</f>
        <v>7</v>
      </c>
      <c r="R66" s="9" t="n">
        <f aca="false">COUNTIFS($O$6:$O$61,6,$P$6:$P$61,1,$S$6:$S$61,4)</f>
        <v>0</v>
      </c>
      <c r="S66" s="9" t="n">
        <f aca="false">COUNTIFS($O$6:$O$61,6,$P$6:$P$61,1,$S$6:$S$61,5)</f>
        <v>0</v>
      </c>
      <c r="T66" s="9" t="n">
        <f aca="false">COUNTIFS($O$6:$O$61,6,$P$6:$P$61,1,$S$6:$S$61,"&gt;=6")</f>
        <v>0</v>
      </c>
      <c r="U66" s="9" t="n">
        <f aca="false">COUNTIFS($O$6:$O$61,6,$P$6:$P$61,1,$T$6:$T$61,"월 경계")</f>
        <v>0</v>
      </c>
      <c r="V66" s="9"/>
    </row>
    <row r="67" customFormat="false" ht="15" hidden="false" customHeight="false" outlineLevel="0" collapsed="false">
      <c r="A67" s="9" t="s">
        <v>457</v>
      </c>
      <c r="B67" s="9" t="str">
        <f aca="false">"#"&amp;_xlfn.MINIFS($D$6:$D$61,$O$6:$O$61,7)&amp;"~#"&amp;_xlfn.MAXIFS($D$6:$D$61,$O$6:$O$61,7)</f>
        <v>#50~#60</v>
      </c>
      <c r="C67" s="44" t="n">
        <f aca="false">COUNTIF($O$6:$O$61,7)</f>
        <v>11</v>
      </c>
      <c r="D67" s="3" t="n">
        <v>11</v>
      </c>
      <c r="E67" s="44" t="n">
        <f aca="false">IF(ISNUMBER(D67),C67-D67,"원자료 Total 없음")</f>
        <v>0</v>
      </c>
      <c r="F67" s="22" t="n">
        <f aca="false">C67*01_Inputs!$B$49</f>
        <v>2090</v>
      </c>
      <c r="G67" s="22" t="n">
        <f aca="false">IF(ISNUMBER(D67),D67*01_Inputs!$B$49,"-")</f>
        <v>2090</v>
      </c>
      <c r="H67" s="43" t="n">
        <f aca="false">_xlfn.MINIFS($E$6:$E$61,$O$6:$O$61,7)</f>
        <v>46204</v>
      </c>
      <c r="I67" s="43" t="n">
        <f aca="false">_xlfn.MAXIFS($E$6:$E$61,$O$6:$O$61,7)</f>
        <v>46232</v>
      </c>
      <c r="J67" s="9" t="n">
        <f aca="false">COUNTIFS($O$6:$O$61,7,$P$6:$P$61,1)</f>
        <v>11</v>
      </c>
      <c r="K67" s="27" t="n">
        <f aca="false">IF(J67&gt;0,AVERAGEIFS($S$6:$S$61,$O$6:$O$61,7,$P$6:$P$61,1),"-")</f>
        <v>2.81818181818182</v>
      </c>
      <c r="L67" s="27" t="n">
        <f aca="false" t="array" ref="L67:L67">IF(J67&gt;0,MEDIAN(IF(($O$6:$O$61=7)*($P$6:$P$61=1),$S$6:$S$61)),"-")</f>
        <v>3</v>
      </c>
      <c r="M67" s="9" t="n">
        <f aca="false">IF(J67&gt;0,_xlfn.MINIFS($S$6:$S$61,$O$6:$O$61,7,$P$6:$P$61,1),"-")</f>
        <v>2</v>
      </c>
      <c r="N67" s="9" t="n">
        <f aca="false">IF(J67&gt;0,_xlfn.MAXIFS($S$6:$S$61,$O$6:$O$61,7,$P$6:$P$61,1),"-")</f>
        <v>3</v>
      </c>
      <c r="O67" s="9" t="n">
        <f aca="false">COUNTIFS($O$6:$O$61,7,$P$6:$P$61,1,$S$6:$S$61,1)</f>
        <v>0</v>
      </c>
      <c r="P67" s="9" t="n">
        <f aca="false">COUNTIFS($O$6:$O$61,7,$P$6:$P$61,1,$S$6:$S$61,2)</f>
        <v>2</v>
      </c>
      <c r="Q67" s="9" t="n">
        <f aca="false">COUNTIFS($O$6:$O$61,7,$P$6:$P$61,1,$S$6:$S$61,3)</f>
        <v>9</v>
      </c>
      <c r="R67" s="9" t="n">
        <f aca="false">COUNTIFS($O$6:$O$61,7,$P$6:$P$61,1,$S$6:$S$61,4)</f>
        <v>0</v>
      </c>
      <c r="S67" s="9" t="n">
        <f aca="false">COUNTIFS($O$6:$O$61,7,$P$6:$P$61,1,$S$6:$S$61,5)</f>
        <v>0</v>
      </c>
      <c r="T67" s="9" t="n">
        <f aca="false">COUNTIFS($O$6:$O$61,7,$P$6:$P$61,1,$S$6:$S$61,"&gt;=6")</f>
        <v>0</v>
      </c>
      <c r="U67" s="9" t="n">
        <f aca="false">COUNTIFS($O$6:$O$61,7,$P$6:$P$61,1,$T$6:$T$61,"월 경계")</f>
        <v>1</v>
      </c>
      <c r="V67" s="9"/>
    </row>
    <row r="68" customFormat="false" ht="15" hidden="false" customHeight="false" outlineLevel="0" collapsed="false">
      <c r="A68" s="9" t="s">
        <v>458</v>
      </c>
      <c r="B68" s="9" t="str">
        <f aca="false">"#"&amp;_xlfn.MINIFS($D$6:$D$61,$O$6:$O$61,8)&amp;"~#"&amp;_xlfn.MAXIFS($D$6:$D$61,$O$6:$O$61,8)</f>
        <v>#61~#71</v>
      </c>
      <c r="C68" s="44" t="n">
        <f aca="false">COUNTIF($O$6:$O$61,8)</f>
        <v>11</v>
      </c>
      <c r="D68" s="3" t="n">
        <v>8</v>
      </c>
      <c r="E68" s="44" t="n">
        <f aca="false">IF(ISNUMBER(D68),C68-D68,"원자료 Total 없음")</f>
        <v>3</v>
      </c>
      <c r="F68" s="22" t="n">
        <f aca="false">C68*01_Inputs!$B$49</f>
        <v>2090</v>
      </c>
      <c r="G68" s="22" t="n">
        <f aca="false">IF(ISNUMBER(D68),D68*01_Inputs!$B$49,"-")</f>
        <v>1520</v>
      </c>
      <c r="H68" s="43" t="n">
        <f aca="false">_xlfn.MINIFS($E$6:$E$61,$O$6:$O$61,8)</f>
        <v>46235</v>
      </c>
      <c r="I68" s="43" t="n">
        <f aca="false">_xlfn.MAXIFS($E$6:$E$61,$O$6:$O$61,8)</f>
        <v>46265</v>
      </c>
      <c r="J68" s="9" t="n">
        <f aca="false">COUNTIFS($O$6:$O$61,8,$P$6:$P$61,1)</f>
        <v>11</v>
      </c>
      <c r="K68" s="27" t="n">
        <f aca="false">IF(J68&gt;0,AVERAGEIFS($S$6:$S$61,$O$6:$O$61,8,$P$6:$P$61,1),"-")</f>
        <v>3</v>
      </c>
      <c r="L68" s="27" t="n">
        <f aca="false" t="array" ref="L68:L68">IF(J68&gt;0,MEDIAN(IF(($O$6:$O$61=8)*($P$6:$P$61=1),$S$6:$S$61)),"-")</f>
        <v>3</v>
      </c>
      <c r="M68" s="9" t="n">
        <f aca="false">IF(J68&gt;0,_xlfn.MINIFS($S$6:$S$61,$O$6:$O$61,8,$P$6:$P$61,1),"-")</f>
        <v>3</v>
      </c>
      <c r="N68" s="9" t="n">
        <f aca="false">IF(J68&gt;0,_xlfn.MAXIFS($S$6:$S$61,$O$6:$O$61,8,$P$6:$P$61,1),"-")</f>
        <v>3</v>
      </c>
      <c r="O68" s="9" t="n">
        <f aca="false">COUNTIFS($O$6:$O$61,8,$P$6:$P$61,1,$S$6:$S$61,1)</f>
        <v>0</v>
      </c>
      <c r="P68" s="9" t="n">
        <f aca="false">COUNTIFS($O$6:$O$61,8,$P$6:$P$61,1,$S$6:$S$61,2)</f>
        <v>0</v>
      </c>
      <c r="Q68" s="9" t="n">
        <f aca="false">COUNTIFS($O$6:$O$61,8,$P$6:$P$61,1,$S$6:$S$61,3)</f>
        <v>11</v>
      </c>
      <c r="R68" s="9" t="n">
        <f aca="false">COUNTIFS($O$6:$O$61,8,$P$6:$P$61,1,$S$6:$S$61,4)</f>
        <v>0</v>
      </c>
      <c r="S68" s="9" t="n">
        <f aca="false">COUNTIFS($O$6:$O$61,8,$P$6:$P$61,1,$S$6:$S$61,5)</f>
        <v>0</v>
      </c>
      <c r="T68" s="9" t="n">
        <f aca="false">COUNTIFS($O$6:$O$61,8,$P$6:$P$61,1,$S$6:$S$61,"&gt;=6")</f>
        <v>0</v>
      </c>
      <c r="U68" s="9" t="n">
        <f aca="false">COUNTIFS($O$6:$O$61,8,$P$6:$P$61,1,$T$6:$T$61,"월 경계")</f>
        <v>1</v>
      </c>
      <c r="V68" s="9"/>
    </row>
    <row r="69" customFormat="false" ht="15" hidden="false" customHeight="false" outlineLevel="0" collapsed="false">
      <c r="A69" s="9" t="s">
        <v>459</v>
      </c>
      <c r="B69" s="9" t="str">
        <f aca="false">"#"&amp;_xlfn.MINIFS($D$6:$D$61,$O$6:$O$61,9)&amp;"~#"&amp;_xlfn.MAXIFS($D$6:$D$61,$O$6:$O$61,9)</f>
        <v>#72~#81</v>
      </c>
      <c r="C69" s="44" t="n">
        <f aca="false">COUNTIF($O$6:$O$61,9)</f>
        <v>10</v>
      </c>
      <c r="D69" s="3" t="n">
        <v>8</v>
      </c>
      <c r="E69" s="44" t="n">
        <f aca="false">IF(ISNUMBER(D69),C69-D69,"원자료 Total 없음")</f>
        <v>2</v>
      </c>
      <c r="F69" s="22" t="n">
        <f aca="false">C69*01_Inputs!$B$49</f>
        <v>1900</v>
      </c>
      <c r="G69" s="22" t="n">
        <f aca="false">IF(ISNUMBER(D69),D69*01_Inputs!$B$49,"-")</f>
        <v>1520</v>
      </c>
      <c r="H69" s="43" t="n">
        <f aca="false">_xlfn.MINIFS($E$6:$E$61,$O$6:$O$61,9)</f>
        <v>46268</v>
      </c>
      <c r="I69" s="43" t="n">
        <f aca="false">_xlfn.MAXIFS($E$6:$E$61,$O$6:$O$61,9)</f>
        <v>46293</v>
      </c>
      <c r="J69" s="9" t="n">
        <f aca="false">COUNTIFS($O$6:$O$61,9,$P$6:$P$61,1)</f>
        <v>10</v>
      </c>
      <c r="K69" s="27" t="n">
        <f aca="false">IF(J69&gt;0,AVERAGEIFS($S$6:$S$61,$O$6:$O$61,9,$P$6:$P$61,1),"-")</f>
        <v>2.8</v>
      </c>
      <c r="L69" s="27" t="n">
        <f aca="false" t="array" ref="L69:L69">IF(J69&gt;0,MEDIAN(IF(($O$6:$O$61=9)*($P$6:$P$61=1),$S$6:$S$61)),"-")</f>
        <v>2.5</v>
      </c>
      <c r="M69" s="9" t="n">
        <f aca="false">IF(J69&gt;0,_xlfn.MINIFS($S$6:$S$61,$O$6:$O$61,9,$P$6:$P$61,1),"-")</f>
        <v>2</v>
      </c>
      <c r="N69" s="9" t="n">
        <f aca="false">IF(J69&gt;0,_xlfn.MAXIFS($S$6:$S$61,$O$6:$O$61,9,$P$6:$P$61,1),"-")</f>
        <v>5</v>
      </c>
      <c r="O69" s="9" t="n">
        <f aca="false">COUNTIFS($O$6:$O$61,9,$P$6:$P$61,1,$S$6:$S$61,1)</f>
        <v>0</v>
      </c>
      <c r="P69" s="9" t="n">
        <f aca="false">COUNTIFS($O$6:$O$61,9,$P$6:$P$61,1,$S$6:$S$61,2)</f>
        <v>5</v>
      </c>
      <c r="Q69" s="9" t="n">
        <f aca="false">COUNTIFS($O$6:$O$61,9,$P$6:$P$61,1,$S$6:$S$61,3)</f>
        <v>3</v>
      </c>
      <c r="R69" s="9" t="n">
        <f aca="false">COUNTIFS($O$6:$O$61,9,$P$6:$P$61,1,$S$6:$S$61,4)</f>
        <v>1</v>
      </c>
      <c r="S69" s="9" t="n">
        <f aca="false">COUNTIFS($O$6:$O$61,9,$P$6:$P$61,1,$S$6:$S$61,5)</f>
        <v>1</v>
      </c>
      <c r="T69" s="9" t="n">
        <f aca="false">COUNTIFS($O$6:$O$61,9,$P$6:$P$61,1,$S$6:$S$61,"&gt;=6")</f>
        <v>0</v>
      </c>
      <c r="U69" s="9" t="n">
        <f aca="false">COUNTIFS($O$6:$O$61,9,$P$6:$P$61,1,$T$6:$T$61,"월 경계")</f>
        <v>1</v>
      </c>
      <c r="V69" s="9"/>
    </row>
    <row r="70" customFormat="false" ht="15" hidden="false" customHeight="false" outlineLevel="0" collapsed="false">
      <c r="A70" s="9" t="s">
        <v>460</v>
      </c>
      <c r="B70" s="9" t="str">
        <f aca="false">"#"&amp;_xlfn.MINIFS($D$6:$D$61,$O$6:$O$61,10)&amp;"~#"&amp;_xlfn.MAXIFS($D$6:$D$61,$O$6:$O$61,10)</f>
        <v>#82~#92</v>
      </c>
      <c r="C70" s="44" t="n">
        <f aca="false">COUNTIF($O$6:$O$61,10)</f>
        <v>11</v>
      </c>
      <c r="D70" s="3" t="n">
        <v>11</v>
      </c>
      <c r="E70" s="44" t="n">
        <f aca="false">IF(ISNUMBER(D70),C70-D70,"원자료 Total 없음")</f>
        <v>0</v>
      </c>
      <c r="F70" s="22" t="n">
        <f aca="false">C70*01_Inputs!$B$49</f>
        <v>2090</v>
      </c>
      <c r="G70" s="22" t="n">
        <f aca="false">IF(ISNUMBER(D70),D70*01_Inputs!$B$49,"-")</f>
        <v>2090</v>
      </c>
      <c r="H70" s="43" t="n">
        <f aca="false">_xlfn.MINIFS($E$6:$E$61,$O$6:$O$61,10)</f>
        <v>46296</v>
      </c>
      <c r="I70" s="43" t="n">
        <f aca="false">_xlfn.MAXIFS($E$6:$E$61,$O$6:$O$61,10)</f>
        <v>46324</v>
      </c>
      <c r="J70" s="9" t="n">
        <f aca="false">COUNTIFS($O$6:$O$61,10,$P$6:$P$61,1)</f>
        <v>11</v>
      </c>
      <c r="K70" s="27" t="n">
        <f aca="false">IF(J70&gt;0,AVERAGEIFS($S$6:$S$61,$O$6:$O$61,10,$P$6:$P$61,1),"-")</f>
        <v>2.81818181818182</v>
      </c>
      <c r="L70" s="27" t="n">
        <f aca="false" t="array" ref="L70:L70">IF(J70&gt;0,MEDIAN(IF(($O$6:$O$61=10)*($P$6:$P$61=1),$S$6:$S$61)),"-")</f>
        <v>3</v>
      </c>
      <c r="M70" s="9" t="n">
        <f aca="false">IF(J70&gt;0,_xlfn.MINIFS($S$6:$S$61,$O$6:$O$61,10,$P$6:$P$61,1),"-")</f>
        <v>2</v>
      </c>
      <c r="N70" s="9" t="n">
        <f aca="false">IF(J70&gt;0,_xlfn.MAXIFS($S$6:$S$61,$O$6:$O$61,10,$P$6:$P$61,1),"-")</f>
        <v>3</v>
      </c>
      <c r="O70" s="9" t="n">
        <f aca="false">COUNTIFS($O$6:$O$61,10,$P$6:$P$61,1,$S$6:$S$61,1)</f>
        <v>0</v>
      </c>
      <c r="P70" s="9" t="n">
        <f aca="false">COUNTIFS($O$6:$O$61,10,$P$6:$P$61,1,$S$6:$S$61,2)</f>
        <v>2</v>
      </c>
      <c r="Q70" s="9" t="n">
        <f aca="false">COUNTIFS($O$6:$O$61,10,$P$6:$P$61,1,$S$6:$S$61,3)</f>
        <v>9</v>
      </c>
      <c r="R70" s="9" t="n">
        <f aca="false">COUNTIFS($O$6:$O$61,10,$P$6:$P$61,1,$S$6:$S$61,4)</f>
        <v>0</v>
      </c>
      <c r="S70" s="9" t="n">
        <f aca="false">COUNTIFS($O$6:$O$61,10,$P$6:$P$61,1,$S$6:$S$61,5)</f>
        <v>0</v>
      </c>
      <c r="T70" s="9" t="n">
        <f aca="false">COUNTIFS($O$6:$O$61,10,$P$6:$P$61,1,$S$6:$S$61,"&gt;=6")</f>
        <v>0</v>
      </c>
      <c r="U70" s="9" t="n">
        <f aca="false">COUNTIFS($O$6:$O$61,10,$P$6:$P$61,1,$T$6:$T$61,"월 경계")</f>
        <v>1</v>
      </c>
      <c r="V70" s="9"/>
    </row>
    <row r="71" customFormat="false" ht="39.55" hidden="false" customHeight="false" outlineLevel="0" collapsed="false">
      <c r="A71" s="38" t="s">
        <v>461</v>
      </c>
      <c r="B71" s="10" t="str">
        <f aca="false">"#"&amp;_xlfn.MINIFS($D$6:$D$61,$O$6:$O$61,"&gt;=6")&amp;"~#"&amp;_xlfn.MAXIFS($D$6:$D$61,$O$6:$O$61,"&lt;=10")</f>
        <v>#39~#92</v>
      </c>
      <c r="C71" s="10" t="n">
        <f aca="false">SUM(C66:C70)</f>
        <v>54</v>
      </c>
      <c r="D71" s="10" t="n">
        <f aca="false">SUM(D66:D70)</f>
        <v>46</v>
      </c>
      <c r="E71" s="39" t="n">
        <f aca="false">C71-D71</f>
        <v>8</v>
      </c>
      <c r="F71" s="45" t="n">
        <f aca="false">SUM(F66:F70)</f>
        <v>10260</v>
      </c>
      <c r="G71" s="45" t="n">
        <f aca="false">SUM(G66:G70)</f>
        <v>8740</v>
      </c>
      <c r="H71" s="46" t="n">
        <f aca="false">H66</f>
        <v>46175</v>
      </c>
      <c r="I71" s="46" t="n">
        <f aca="false">I70</f>
        <v>46324</v>
      </c>
      <c r="J71" s="10" t="n">
        <f aca="false">SUM(J66:J70)</f>
        <v>53</v>
      </c>
      <c r="K71" s="47" t="n">
        <f aca="false">AVERAGEIFS($S$6:$S$61,$P$6:$P$61,1)</f>
        <v>2.81132075471698</v>
      </c>
      <c r="L71" s="47" t="n">
        <f aca="false" t="array" ref="L71:L71">MEDIAN(IF($P$6:$P$61=1,$S$6:$S$61))</f>
        <v>3</v>
      </c>
      <c r="M71" s="10" t="n">
        <f aca="false">_xlfn.MINIFS($S$6:$S$61,$P$6:$P$61,1)</f>
        <v>1</v>
      </c>
      <c r="N71" s="10" t="n">
        <f aca="false">_xlfn.MAXIFS($S$6:$S$61,$P$6:$P$61,1)</f>
        <v>5</v>
      </c>
      <c r="O71" s="10" t="n">
        <f aca="false">SUM(O66:O70)</f>
        <v>1</v>
      </c>
      <c r="P71" s="10" t="n">
        <f aca="false">SUM(P66:P70)</f>
        <v>11</v>
      </c>
      <c r="Q71" s="10" t="n">
        <f aca="false">SUM(Q66:Q70)</f>
        <v>39</v>
      </c>
      <c r="R71" s="10" t="n">
        <f aca="false">SUM(R66:R70)</f>
        <v>1</v>
      </c>
      <c r="S71" s="10" t="n">
        <f aca="false">SUM(S66:S70)</f>
        <v>1</v>
      </c>
      <c r="T71" s="10" t="n">
        <f aca="false">SUM(T66:T70)</f>
        <v>0</v>
      </c>
      <c r="U71" s="10" t="n">
        <f aca="false">SUM(U66:U70)</f>
        <v>4</v>
      </c>
      <c r="V71" s="38" t="s">
        <v>462</v>
      </c>
    </row>
    <row r="73" customFormat="false" ht="15" hidden="false" customHeight="true" outlineLevel="0" collapsed="false">
      <c r="A73" s="13" t="s">
        <v>463</v>
      </c>
      <c r="B73" s="13"/>
      <c r="C73" s="13"/>
      <c r="D73" s="13"/>
      <c r="E73" s="48" t="n">
        <f aca="false">COUNTIF($N$6:$N$61,"차이 확인")</f>
        <v>0</v>
      </c>
    </row>
    <row r="74" customFormat="false" ht="15" hidden="false" customHeight="true" outlineLevel="0" collapsed="false">
      <c r="A74" s="13" t="s">
        <v>464</v>
      </c>
      <c r="B74" s="13"/>
      <c r="C74" s="13"/>
      <c r="D74" s="13"/>
      <c r="E74" s="48" t="n">
        <f aca="false">COUNTIF($Q$6:$Q$61,"확인")</f>
        <v>0</v>
      </c>
    </row>
    <row r="75" customFormat="false" ht="15" hidden="false" customHeight="true" outlineLevel="0" collapsed="false">
      <c r="A75" s="13" t="s">
        <v>465</v>
      </c>
      <c r="B75" s="13"/>
      <c r="C75" s="13"/>
      <c r="D75" s="13"/>
      <c r="E75" s="48" t="n">
        <f aca="false">COUNTIF($R$6:$R$61,"중복")</f>
        <v>0</v>
      </c>
    </row>
    <row r="76" customFormat="false" ht="15" hidden="false" customHeight="true" outlineLevel="0" collapsed="false">
      <c r="A76" s="9" t="s">
        <v>466</v>
      </c>
      <c r="B76" s="9"/>
      <c r="C76" s="9"/>
      <c r="D76" s="9"/>
      <c r="E76" s="48" t="n">
        <f aca="false">SUMPRODUCT(--(E66:E70&lt;&gt;0))</f>
        <v>3</v>
      </c>
    </row>
    <row r="77" customFormat="false" ht="15" hidden="false" customHeight="true" outlineLevel="0" collapsed="false">
      <c r="A77" s="13" t="s">
        <v>467</v>
      </c>
      <c r="B77" s="13"/>
      <c r="C77" s="13"/>
      <c r="D77" s="13"/>
      <c r="E77" s="48" t="n">
        <f aca="false">COUNTIF($Z$6:$Z$61,"확인*")</f>
        <v>0</v>
      </c>
    </row>
    <row r="79" customFormat="false" ht="15" hidden="false" customHeight="false" outlineLevel="0" collapsed="false">
      <c r="A79" s="2" t="s">
        <v>468</v>
      </c>
    </row>
    <row r="80" customFormat="false" ht="15" hidden="false" customHeight="false" outlineLevel="0" collapsed="false">
      <c r="A80" s="40" t="s">
        <v>469</v>
      </c>
    </row>
    <row r="81" customFormat="false" ht="15" hidden="false" customHeight="false" outlineLevel="0" collapsed="false">
      <c r="A81" s="2" t="s">
        <v>470</v>
      </c>
    </row>
    <row r="82" customFormat="false" ht="15" hidden="false" customHeight="false" outlineLevel="0" collapsed="false">
      <c r="A82" s="2" t="s">
        <v>471</v>
      </c>
    </row>
  </sheetData>
  <autoFilter ref="A5:Z61"/>
  <mergeCells count="5">
    <mergeCell ref="A73:D73"/>
    <mergeCell ref="A74:D74"/>
    <mergeCell ref="A75:D75"/>
    <mergeCell ref="A76:D76"/>
    <mergeCell ref="A77:D77"/>
  </mergeCells>
  <conditionalFormatting sqref="E66:E71">
    <cfRule type="expression" priority="2" aboveAverage="0" equalAverage="0" bottom="0" percent="0" rank="0" text="" dxfId="11">
      <formula>AND(ISNUMBER(E66),E66&lt;&gt;0)</formula>
    </cfRule>
  </conditionalFormatting>
  <conditionalFormatting sqref="C66:D70">
    <cfRule type="expression" priority="3" aboveAverage="0" equalAverage="0" bottom="0" percent="0" rank="0" text="" dxfId="11">
      <formula>AND(ISNUMBER($D66),$C66&lt;&gt;$D66)</formula>
    </cfRule>
  </conditionalFormatting>
  <conditionalFormatting sqref="N6:N61">
    <cfRule type="expression" priority="4" aboveAverage="0" equalAverage="0" bottom="0" percent="0" rank="0" text="" dxfId="11">
      <formula>N6="차이 확인"</formula>
    </cfRule>
  </conditionalFormatting>
  <conditionalFormatting sqref="Z6:Z61">
    <cfRule type="expression" priority="5" aboveAverage="0" equalAverage="0" bottom="0" percent="0" rank="0" text="" dxfId="11">
      <formula>LEFT(Z6,2)="확인"</formula>
    </cfRule>
  </conditionalFormatting>
  <conditionalFormatting sqref="S6:S61">
    <cfRule type="expression" priority="6" aboveAverage="0" equalAverage="0" bottom="0" percent="0" rank="0" text="" dxfId="14">
      <formula>AND(ISNUMBER(S6),S6&lt;=2)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002C"/>
    <pageSetUpPr fitToPage="false"/>
  </sheetPr>
  <dimension ref="A1:AX1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4"/>
    <col collapsed="false" customWidth="true" hidden="false" outlineLevel="0" max="8" min="8" style="0" width="46"/>
    <col collapsed="false" customWidth="true" hidden="false" outlineLevel="0" max="50" min="10" style="0" width="3.2"/>
  </cols>
  <sheetData>
    <row r="1" customFormat="false" ht="21.6" hidden="false" customHeight="false" outlineLevel="0" collapsed="false">
      <c r="A1" s="1" t="s">
        <v>472</v>
      </c>
    </row>
    <row r="2" customFormat="false" ht="15" hidden="false" customHeight="false" outlineLevel="0" collapsed="false">
      <c r="A2" s="40" t="s">
        <v>473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2</v>
      </c>
      <c r="D3" s="4" t="s">
        <v>4</v>
      </c>
      <c r="E3" s="6" t="s">
        <v>2</v>
      </c>
      <c r="F3" s="4" t="s">
        <v>5</v>
      </c>
      <c r="G3" s="7" t="s">
        <v>2</v>
      </c>
      <c r="H3" s="4" t="s">
        <v>6</v>
      </c>
      <c r="I3" s="8" t="s">
        <v>2</v>
      </c>
      <c r="J3" s="4" t="s">
        <v>7</v>
      </c>
      <c r="K3" s="9" t="s">
        <v>2</v>
      </c>
      <c r="L3" s="4" t="s">
        <v>8</v>
      </c>
      <c r="M3" s="10" t="s">
        <v>2</v>
      </c>
      <c r="N3" s="4" t="s">
        <v>9</v>
      </c>
    </row>
    <row r="6" customFormat="false" ht="17.15" hidden="false" customHeight="false" outlineLevel="0" collapsed="false">
      <c r="A6" s="49" t="s">
        <v>474</v>
      </c>
    </row>
    <row r="7" customFormat="false" ht="30" hidden="false" customHeight="true" outlineLevel="0" collapsed="false">
      <c r="A7" s="11" t="s">
        <v>475</v>
      </c>
      <c r="B7" s="33" t="s">
        <v>476</v>
      </c>
      <c r="C7" s="11" t="s">
        <v>477</v>
      </c>
      <c r="D7" s="11" t="s">
        <v>478</v>
      </c>
      <c r="E7" s="11"/>
      <c r="F7" s="11"/>
      <c r="G7" s="11"/>
      <c r="H7" s="11" t="s">
        <v>16</v>
      </c>
    </row>
    <row r="8" customFormat="false" ht="15" hidden="false" customHeight="false" outlineLevel="0" collapsed="false">
      <c r="A8" s="13" t="s">
        <v>41</v>
      </c>
      <c r="B8" s="50" t="n">
        <f aca="false">IF(ISNUMBER(01_Inputs!$B$14),01_Inputs!$B$14,"미확인")</f>
        <v>2</v>
      </c>
      <c r="C8" s="50" t="n">
        <f aca="false">IF(ISNUMBER(01_Inputs!$B$14),01_Inputs!$B$14,"미확인")</f>
        <v>2</v>
      </c>
      <c r="D8" s="50" t="n">
        <f aca="false">IF(ISNUMBER(01_Inputs!$B$14),01_Inputs!$B$14,"미확인")</f>
        <v>2</v>
      </c>
      <c r="H8" s="51" t="s">
        <v>479</v>
      </c>
    </row>
    <row r="9" customFormat="false" ht="15" hidden="false" customHeight="false" outlineLevel="0" collapsed="false">
      <c r="A9" s="13" t="s">
        <v>46</v>
      </c>
      <c r="B9" s="50" t="n">
        <f aca="false">IF(ISNUMBER(01_Inputs!$B$15),01_Inputs!$B$15,"미확인")</f>
        <v>2</v>
      </c>
      <c r="C9" s="50" t="n">
        <f aca="false">IF(ISNUMBER(01_Inputs!$B$15),01_Inputs!$B$15,"미확인")</f>
        <v>2</v>
      </c>
      <c r="D9" s="50" t="n">
        <f aca="false">IF(ISNUMBER(01_Inputs!$B$15),01_Inputs!$B$15,"미확인")</f>
        <v>2</v>
      </c>
      <c r="H9" s="51" t="s">
        <v>480</v>
      </c>
    </row>
    <row r="10" customFormat="false" ht="15" hidden="false" customHeight="false" outlineLevel="0" collapsed="false">
      <c r="A10" s="13" t="s">
        <v>49</v>
      </c>
      <c r="B10" s="50" t="n">
        <f aca="false">IF(ISNUMBER(01_Inputs!$B$16),01_Inputs!$B$16,"미확인")</f>
        <v>45</v>
      </c>
      <c r="C10" s="50" t="n">
        <f aca="false">IF(ISNUMBER(01_Inputs!$B$16),01_Inputs!$B$16,"미확인")</f>
        <v>45</v>
      </c>
      <c r="D10" s="50" t="n">
        <f aca="false">IF(ISNUMBER(01_Inputs!$B$16),01_Inputs!$B$16,"미확인")</f>
        <v>45</v>
      </c>
      <c r="H10" s="51" t="s">
        <v>480</v>
      </c>
    </row>
    <row r="11" customFormat="false" ht="15" hidden="false" customHeight="false" outlineLevel="0" collapsed="false">
      <c r="A11" s="9" t="s">
        <v>481</v>
      </c>
      <c r="B11" s="50" t="n">
        <f aca="false">IF(ISNUMBER(01_Inputs!$B$17),01_Inputs!$B$17,"미확인")</f>
        <v>6</v>
      </c>
      <c r="C11" s="50" t="n">
        <f aca="false">IF(ISNUMBER(01_Inputs!$B$17),01_Inputs!$B$17,"미확인")</f>
        <v>6</v>
      </c>
      <c r="D11" s="50" t="n">
        <f aca="false">IF(ISNUMBER(01_Inputs!$B$17),01_Inputs!$B$17,"미확인")</f>
        <v>6</v>
      </c>
      <c r="H11" s="51" t="s">
        <v>482</v>
      </c>
    </row>
    <row r="12" customFormat="false" ht="15" hidden="false" customHeight="false" outlineLevel="0" collapsed="false">
      <c r="A12" s="13" t="s">
        <v>55</v>
      </c>
      <c r="B12" s="50" t="n">
        <f aca="false">IF(ISNUMBER(01_Inputs!$B$18),01_Inputs!$B$18,"미확인")</f>
        <v>2</v>
      </c>
      <c r="C12" s="50" t="n">
        <f aca="false">IF(ISNUMBER(01_Inputs!$B$18),01_Inputs!$B$18,"미확인")</f>
        <v>2</v>
      </c>
      <c r="D12" s="50" t="n">
        <f aca="false">IF(ISNUMBER(01_Inputs!$B$18),01_Inputs!$B$18,"미확인")</f>
        <v>2</v>
      </c>
      <c r="H12" s="51" t="s">
        <v>483</v>
      </c>
    </row>
    <row r="13" customFormat="false" ht="15" hidden="false" customHeight="false" outlineLevel="0" collapsed="false">
      <c r="A13" s="13" t="s">
        <v>484</v>
      </c>
      <c r="B13" s="50" t="n">
        <f aca="false">IF(ISNUMBER(01_Inputs!$B$30),01_Inputs!$B$30,"미확인")</f>
        <v>18</v>
      </c>
      <c r="C13" s="50" t="n">
        <f aca="false">IF(ISNUMBER(01_Inputs!$B$34),01_Inputs!$B$34,"미확인")</f>
        <v>8</v>
      </c>
      <c r="D13" s="50" t="str">
        <f aca="false">IF(ISNUMBER(01_Inputs!$B$35),01_Inputs!$B$35,"미확인")</f>
        <v>미확인</v>
      </c>
      <c r="H13" s="51" t="s">
        <v>485</v>
      </c>
    </row>
    <row r="14" customFormat="false" ht="15" hidden="false" customHeight="false" outlineLevel="0" collapsed="false">
      <c r="A14" s="9" t="s">
        <v>486</v>
      </c>
      <c r="B14" s="50" t="n">
        <f aca="false">IF(ISNUMBER(01_Inputs!$B$32),01_Inputs!$B$32,"미확인")</f>
        <v>2</v>
      </c>
      <c r="C14" s="50" t="n">
        <f aca="false">IF(ISNUMBER(01_Inputs!$B$33),01_Inputs!$B$33,"미확인")</f>
        <v>2</v>
      </c>
      <c r="D14" s="50" t="n">
        <f aca="false">IF(ISNUMBER(01_Inputs!$B$33),01_Inputs!$B$33,"미확인")</f>
        <v>2</v>
      </c>
      <c r="H14" s="51" t="s">
        <v>487</v>
      </c>
    </row>
    <row r="15" customFormat="false" ht="15" hidden="false" customHeight="false" outlineLevel="0" collapsed="false">
      <c r="A15" s="52" t="s">
        <v>488</v>
      </c>
      <c r="B15" s="53" t="n">
        <f aca="false">SUM(B8:B12)</f>
        <v>57</v>
      </c>
      <c r="C15" s="53" t="n">
        <f aca="false">SUM(C8:C12)</f>
        <v>57</v>
      </c>
      <c r="D15" s="53" t="n">
        <f aca="false">SUM(D8:D12)</f>
        <v>57</v>
      </c>
    </row>
    <row r="16" customFormat="false" ht="15" hidden="false" customHeight="false" outlineLevel="0" collapsed="false">
      <c r="A16" s="52" t="s">
        <v>489</v>
      </c>
      <c r="B16" s="53" t="n">
        <f aca="false">SUM(B8:B14)</f>
        <v>77</v>
      </c>
      <c r="C16" s="53" t="n">
        <f aca="false">SUM(C8:C14)</f>
        <v>67</v>
      </c>
      <c r="D16" s="53" t="str">
        <f aca="false">SUM(D8:D14)&amp;IF(COUNTIF(D8:D14,"미확인")&gt;0," + 미확인","")</f>
        <v>59 + 미확인</v>
      </c>
      <c r="H16" s="54" t="s">
        <v>490</v>
      </c>
    </row>
    <row r="17" customFormat="false" ht="15" hidden="false" customHeight="true" outlineLevel="0" collapsed="false">
      <c r="A17" s="9" t="s">
        <v>491</v>
      </c>
      <c r="B17" s="27" t="n">
        <f aca="false">01_Inputs!$B$30/01_Inputs!$B$39</f>
        <v>2.25</v>
      </c>
      <c r="C17" s="13" t="s">
        <v>492</v>
      </c>
      <c r="D17" s="55" t="s">
        <v>493</v>
      </c>
      <c r="E17" s="55"/>
      <c r="F17" s="55"/>
      <c r="G17" s="55"/>
      <c r="H17" s="55"/>
    </row>
    <row r="18" customFormat="false" ht="15" hidden="false" customHeight="true" outlineLevel="0" collapsed="false">
      <c r="A18" s="9" t="s">
        <v>494</v>
      </c>
      <c r="B18" s="15" t="n">
        <f aca="false">ROUNDUP(03_Capacity_Model!$B$17,0)*24</f>
        <v>72</v>
      </c>
      <c r="C18" s="9" t="s">
        <v>42</v>
      </c>
      <c r="D18" s="56" t="s">
        <v>495</v>
      </c>
      <c r="E18" s="56"/>
      <c r="F18" s="56"/>
      <c r="G18" s="56"/>
      <c r="H18" s="56"/>
    </row>
    <row r="20" customFormat="false" ht="17.15" hidden="false" customHeight="false" outlineLevel="0" collapsed="false">
      <c r="A20" s="49" t="s">
        <v>496</v>
      </c>
    </row>
    <row r="21" customFormat="false" ht="15" hidden="false" customHeight="true" outlineLevel="0" collapsed="false">
      <c r="A21" s="13" t="s">
        <v>497</v>
      </c>
      <c r="B21" s="53" t="n">
        <f aca="false">01_Inputs!$B$15+01_Inputs!$B$16</f>
        <v>47</v>
      </c>
      <c r="C21" s="9" t="s">
        <v>47</v>
      </c>
      <c r="D21" s="55" t="s">
        <v>498</v>
      </c>
      <c r="E21" s="55"/>
      <c r="F21" s="55"/>
      <c r="G21" s="55"/>
      <c r="H21" s="55"/>
    </row>
    <row r="22" customFormat="false" ht="15" hidden="false" customHeight="true" outlineLevel="0" collapsed="false">
      <c r="A22" s="13" t="s">
        <v>499</v>
      </c>
      <c r="B22" s="15" t="n">
        <f aca="false">03_Capacity_Model!$B$21+01_Inputs!$B$17</f>
        <v>53</v>
      </c>
      <c r="C22" s="9" t="s">
        <v>47</v>
      </c>
      <c r="D22" s="56" t="s">
        <v>500</v>
      </c>
      <c r="E22" s="56"/>
      <c r="F22" s="56"/>
      <c r="G22" s="56"/>
      <c r="H22" s="56"/>
    </row>
    <row r="23" customFormat="false" ht="15" hidden="false" customHeight="true" outlineLevel="0" collapsed="false">
      <c r="A23" s="13" t="s">
        <v>501</v>
      </c>
      <c r="B23" s="15" t="n">
        <f aca="false">03_Capacity_Model!$B$21+N(01_Inputs!$B$22)</f>
        <v>47</v>
      </c>
      <c r="C23" s="9" t="s">
        <v>47</v>
      </c>
      <c r="D23" s="56" t="s">
        <v>502</v>
      </c>
      <c r="E23" s="56"/>
      <c r="F23" s="56"/>
      <c r="G23" s="56"/>
      <c r="H23" s="56"/>
    </row>
    <row r="25" customFormat="false" ht="17.15" hidden="false" customHeight="false" outlineLevel="0" collapsed="false">
      <c r="A25" s="49" t="s">
        <v>503</v>
      </c>
    </row>
    <row r="26" customFormat="false" ht="15" hidden="false" customHeight="true" outlineLevel="0" collapsed="false">
      <c r="A26" s="13" t="s">
        <v>504</v>
      </c>
      <c r="B26" s="50" t="n">
        <f aca="false">01_Inputs!$B$16</f>
        <v>45</v>
      </c>
      <c r="C26" s="9" t="s">
        <v>47</v>
      </c>
      <c r="D26" s="55" t="s">
        <v>505</v>
      </c>
      <c r="E26" s="55"/>
      <c r="F26" s="55"/>
      <c r="G26" s="55"/>
      <c r="H26" s="55"/>
    </row>
    <row r="27" customFormat="false" ht="15" hidden="false" customHeight="true" outlineLevel="0" collapsed="false">
      <c r="A27" s="9" t="s">
        <v>506</v>
      </c>
      <c r="B27" s="27" t="n">
        <f aca="false">01_Inputs!$B$11/03_Capacity_Model!$B$26</f>
        <v>16</v>
      </c>
      <c r="C27" s="9" t="s">
        <v>201</v>
      </c>
      <c r="D27" s="56" t="s">
        <v>507</v>
      </c>
      <c r="E27" s="56"/>
      <c r="F27" s="56"/>
      <c r="G27" s="56"/>
      <c r="H27" s="56"/>
    </row>
    <row r="28" customFormat="false" ht="15" hidden="false" customHeight="false" outlineLevel="0" collapsed="false">
      <c r="A28" s="13" t="s">
        <v>508</v>
      </c>
      <c r="B28" s="48" t="n">
        <f aca="false">INT(03_Capacity_Model!$B$27)</f>
        <v>16</v>
      </c>
      <c r="C28" s="9" t="s">
        <v>201</v>
      </c>
      <c r="D28" s="56"/>
      <c r="E28" s="56"/>
      <c r="F28" s="56"/>
      <c r="G28" s="56"/>
      <c r="H28" s="56"/>
    </row>
    <row r="29" customFormat="false" ht="15" hidden="false" customHeight="false" outlineLevel="0" collapsed="false">
      <c r="A29" s="13" t="s">
        <v>509</v>
      </c>
      <c r="B29" s="15" t="n">
        <f aca="false">01_Inputs!$B$11-03_Capacity_Model!$B$28*03_Capacity_Model!$B$26</f>
        <v>0</v>
      </c>
      <c r="C29" s="9" t="s">
        <v>42</v>
      </c>
      <c r="D29" s="56"/>
      <c r="E29" s="56"/>
      <c r="F29" s="56"/>
      <c r="G29" s="56"/>
      <c r="H29" s="56"/>
    </row>
    <row r="30" customFormat="false" ht="15" hidden="false" customHeight="true" outlineLevel="0" collapsed="false">
      <c r="A30" s="13" t="s">
        <v>510</v>
      </c>
      <c r="B30" s="45" t="n">
        <f aca="false">03_Capacity_Model!$B$28*01_Inputs!$B$49</f>
        <v>3040</v>
      </c>
      <c r="C30" s="9" t="s">
        <v>292</v>
      </c>
      <c r="D30" s="55" t="s">
        <v>511</v>
      </c>
      <c r="E30" s="55"/>
      <c r="F30" s="55"/>
      <c r="G30" s="55"/>
      <c r="H30" s="55"/>
    </row>
    <row r="31" customFormat="false" ht="15" hidden="false" customHeight="true" outlineLevel="0" collapsed="false">
      <c r="A31" s="13" t="s">
        <v>512</v>
      </c>
      <c r="B31" s="27" t="n">
        <f aca="false">01_Inputs!$B$11/03_Capacity_Model!$B$21</f>
        <v>15.3191489361702</v>
      </c>
      <c r="C31" s="9" t="s">
        <v>201</v>
      </c>
      <c r="D31" s="56" t="s">
        <v>513</v>
      </c>
      <c r="E31" s="56"/>
      <c r="F31" s="56"/>
      <c r="G31" s="56"/>
      <c r="H31" s="56"/>
    </row>
    <row r="32" customFormat="false" ht="15" hidden="false" customHeight="true" outlineLevel="0" collapsed="false">
      <c r="A32" s="13" t="s">
        <v>514</v>
      </c>
      <c r="B32" s="16" t="n">
        <f aca="false">INT(01_Inputs!$B$12/03_Capacity_Model!$B$26)</f>
        <v>194</v>
      </c>
      <c r="C32" s="9" t="s">
        <v>515</v>
      </c>
      <c r="D32" s="56" t="s">
        <v>516</v>
      </c>
      <c r="E32" s="56"/>
      <c r="F32" s="56"/>
      <c r="G32" s="56"/>
      <c r="H32" s="56"/>
    </row>
    <row r="33" customFormat="false" ht="15" hidden="false" customHeight="false" outlineLevel="0" collapsed="false">
      <c r="A33" s="13" t="s">
        <v>517</v>
      </c>
      <c r="B33" s="22" t="n">
        <f aca="false">03_Capacity_Model!$B$32*01_Inputs!$B$49</f>
        <v>36860</v>
      </c>
      <c r="C33" s="9" t="s">
        <v>289</v>
      </c>
      <c r="D33" s="56"/>
      <c r="E33" s="56"/>
      <c r="F33" s="56"/>
      <c r="G33" s="56"/>
      <c r="H33" s="56"/>
    </row>
    <row r="35" customFormat="false" ht="17.15" hidden="false" customHeight="false" outlineLevel="0" collapsed="false">
      <c r="A35" s="49" t="s">
        <v>518</v>
      </c>
    </row>
    <row r="36" customFormat="false" ht="15" hidden="false" customHeight="false" outlineLevel="0" collapsed="false">
      <c r="A36" s="13" t="s">
        <v>519</v>
      </c>
      <c r="B36" s="57" t="n">
        <f aca="false">01_Inputs!$B$70</f>
        <v>11</v>
      </c>
      <c r="C36" s="9" t="s">
        <v>201</v>
      </c>
      <c r="D36" s="56"/>
      <c r="E36" s="56"/>
      <c r="F36" s="56"/>
      <c r="G36" s="56"/>
      <c r="H36" s="56"/>
    </row>
    <row r="37" customFormat="false" ht="15" hidden="false" customHeight="false" outlineLevel="0" collapsed="false">
      <c r="A37" s="13" t="s">
        <v>520</v>
      </c>
      <c r="B37" s="15" t="n">
        <f aca="false">03_Capacity_Model!$B$36*03_Capacity_Model!$B$26</f>
        <v>495</v>
      </c>
      <c r="C37" s="9" t="s">
        <v>33</v>
      </c>
      <c r="D37" s="56"/>
      <c r="E37" s="56"/>
      <c r="F37" s="56"/>
      <c r="G37" s="56"/>
      <c r="H37" s="56"/>
    </row>
    <row r="38" customFormat="false" ht="15" hidden="false" customHeight="true" outlineLevel="0" collapsed="false">
      <c r="A38" s="9" t="s">
        <v>521</v>
      </c>
      <c r="B38" s="53" t="n">
        <f aca="false">01_Inputs!$B$11-03_Capacity_Model!$B$37</f>
        <v>225</v>
      </c>
      <c r="C38" s="9" t="s">
        <v>33</v>
      </c>
      <c r="D38" s="56" t="s">
        <v>522</v>
      </c>
      <c r="E38" s="56"/>
      <c r="F38" s="56"/>
      <c r="G38" s="56"/>
      <c r="H38" s="56"/>
    </row>
    <row r="39" customFormat="false" ht="15" hidden="false" customHeight="false" outlineLevel="0" collapsed="false">
      <c r="A39" s="13" t="s">
        <v>523</v>
      </c>
      <c r="B39" s="15" t="n">
        <f aca="false">03_Capacity_Model!$B$36*03_Capacity_Model!$B$21</f>
        <v>517</v>
      </c>
      <c r="C39" s="9" t="s">
        <v>33</v>
      </c>
      <c r="D39" s="56"/>
      <c r="E39" s="56"/>
      <c r="F39" s="56"/>
      <c r="G39" s="56"/>
      <c r="H39" s="56"/>
    </row>
    <row r="40" customFormat="false" ht="15" hidden="false" customHeight="true" outlineLevel="0" collapsed="false">
      <c r="A40" s="9" t="s">
        <v>524</v>
      </c>
      <c r="B40" s="27" t="n">
        <f aca="false">01_Inputs!$B$11/03_Capacity_Model!$B$36</f>
        <v>65.4545454545455</v>
      </c>
      <c r="C40" s="9" t="s">
        <v>47</v>
      </c>
      <c r="D40" s="55" t="s">
        <v>525</v>
      </c>
      <c r="E40" s="55"/>
      <c r="F40" s="55"/>
      <c r="G40" s="55"/>
      <c r="H40" s="55"/>
    </row>
    <row r="41" customFormat="false" ht="15" hidden="false" customHeight="false" outlineLevel="0" collapsed="false">
      <c r="A41" s="13" t="s">
        <v>526</v>
      </c>
      <c r="B41" s="45" t="n">
        <f aca="false">03_Capacity_Model!$B$36*01_Inputs!$B$49</f>
        <v>2090</v>
      </c>
      <c r="C41" s="9" t="s">
        <v>292</v>
      </c>
      <c r="D41" s="56"/>
      <c r="E41" s="56"/>
      <c r="F41" s="56"/>
      <c r="G41" s="56"/>
      <c r="H41" s="56"/>
    </row>
    <row r="42" customFormat="false" ht="15" hidden="false" customHeight="true" outlineLevel="0" collapsed="false">
      <c r="A42" s="13" t="s">
        <v>527</v>
      </c>
      <c r="B42" s="45" t="n">
        <f aca="false">03_Capacity_Model!$B$41*12</f>
        <v>25080</v>
      </c>
      <c r="C42" s="9" t="s">
        <v>289</v>
      </c>
      <c r="D42" s="55" t="s">
        <v>528</v>
      </c>
      <c r="E42" s="55"/>
      <c r="F42" s="55"/>
      <c r="G42" s="55"/>
      <c r="H42" s="55"/>
    </row>
    <row r="43" customFormat="false" ht="15" hidden="false" customHeight="false" outlineLevel="0" collapsed="false">
      <c r="A43" s="13" t="s">
        <v>529</v>
      </c>
      <c r="B43" s="22" t="n">
        <f aca="false">INT(01_Inputs!$B$12/03_Capacity_Model!$B$40)*01_Inputs!$B$49</f>
        <v>25270</v>
      </c>
      <c r="C43" s="9" t="s">
        <v>289</v>
      </c>
      <c r="D43" s="56"/>
      <c r="E43" s="56"/>
      <c r="F43" s="56"/>
      <c r="G43" s="56"/>
      <c r="H43" s="56"/>
    </row>
    <row r="45" customFormat="false" ht="17.15" hidden="false" customHeight="false" outlineLevel="0" collapsed="false">
      <c r="A45" s="49" t="s">
        <v>530</v>
      </c>
    </row>
    <row r="46" customFormat="false" ht="15" hidden="false" customHeight="true" outlineLevel="0" collapsed="false">
      <c r="A46" s="13" t="s">
        <v>531</v>
      </c>
      <c r="B46" s="58" t="n">
        <f aca="false">INDEX(02_Batch_Raw!$E$6:$E$61,MATCH(01_Inputs!$B$97,02_Batch_Raw!$D$6:$D$61,0))</f>
        <v>46175</v>
      </c>
      <c r="C46" s="13" t="s">
        <v>134</v>
      </c>
      <c r="D46" s="55" t="s">
        <v>532</v>
      </c>
      <c r="E46" s="55"/>
      <c r="F46" s="55"/>
      <c r="G46" s="55"/>
      <c r="H46" s="55"/>
    </row>
    <row r="47" customFormat="false" ht="15" hidden="false" customHeight="true" outlineLevel="0" collapsed="false">
      <c r="A47" s="13" t="s">
        <v>533</v>
      </c>
      <c r="B47" s="58" t="n">
        <f aca="false">INDEX(02_Batch_Raw!$E$6:$E$61,MATCH(01_Inputs!$B$98,02_Batch_Raw!$D$6:$D$61,0))</f>
        <v>46324</v>
      </c>
      <c r="C47" s="13" t="s">
        <v>134</v>
      </c>
      <c r="D47" s="55" t="s">
        <v>534</v>
      </c>
      <c r="E47" s="55"/>
      <c r="F47" s="55"/>
      <c r="G47" s="55"/>
      <c r="H47" s="55"/>
    </row>
    <row r="48" customFormat="false" ht="15" hidden="false" customHeight="true" outlineLevel="0" collapsed="false">
      <c r="A48" s="13" t="s">
        <v>535</v>
      </c>
      <c r="B48" s="16" t="n">
        <f aca="false">01_Inputs!$B$98-01_Inputs!$B$97+1</f>
        <v>54</v>
      </c>
      <c r="C48" s="13" t="s">
        <v>536</v>
      </c>
      <c r="D48" s="55" t="s">
        <v>537</v>
      </c>
      <c r="E48" s="55"/>
      <c r="F48" s="55"/>
      <c r="G48" s="55"/>
      <c r="H48" s="55"/>
    </row>
    <row r="49" customFormat="false" ht="15" hidden="false" customHeight="false" outlineLevel="0" collapsed="false">
      <c r="A49" s="13" t="s">
        <v>538</v>
      </c>
      <c r="B49" s="16" t="n">
        <f aca="false">03_Capacity_Model!$B$47-03_Capacity_Model!$B$46</f>
        <v>149</v>
      </c>
      <c r="C49" s="13" t="s">
        <v>120</v>
      </c>
      <c r="D49" s="56"/>
      <c r="E49" s="56"/>
      <c r="F49" s="56"/>
      <c r="G49" s="56"/>
      <c r="H49" s="56"/>
    </row>
    <row r="50" customFormat="false" ht="15" hidden="false" customHeight="true" outlineLevel="0" collapsed="false">
      <c r="A50" s="13" t="s">
        <v>442</v>
      </c>
      <c r="B50" s="16" t="n">
        <f aca="false">SUM(02_Batch_Raw!$P$6:$P$61)</f>
        <v>53</v>
      </c>
      <c r="C50" s="13" t="s">
        <v>260</v>
      </c>
      <c r="D50" s="55" t="s">
        <v>539</v>
      </c>
      <c r="E50" s="55"/>
      <c r="F50" s="55"/>
      <c r="G50" s="55"/>
      <c r="H50" s="55"/>
    </row>
    <row r="51" customFormat="false" ht="15" hidden="false" customHeight="true" outlineLevel="0" collapsed="false">
      <c r="A51" s="13" t="s">
        <v>540</v>
      </c>
      <c r="B51" s="47" t="n">
        <f aca="false">03_Capacity_Model!$B$49*24/03_Capacity_Model!$B$50</f>
        <v>67.4716981132076</v>
      </c>
      <c r="C51" s="9" t="s">
        <v>47</v>
      </c>
      <c r="D51" s="56" t="s">
        <v>541</v>
      </c>
      <c r="E51" s="56"/>
      <c r="F51" s="56"/>
      <c r="G51" s="56"/>
      <c r="H51" s="56"/>
    </row>
    <row r="52" customFormat="false" ht="15" hidden="false" customHeight="false" outlineLevel="0" collapsed="false">
      <c r="A52" s="13" t="s">
        <v>542</v>
      </c>
      <c r="B52" s="27" t="n">
        <f aca="false">(03_Capacity_Model!$B$49-1)*24/03_Capacity_Model!$B$50</f>
        <v>67.0188679245283</v>
      </c>
      <c r="C52" s="9" t="s">
        <v>47</v>
      </c>
      <c r="D52" s="56"/>
      <c r="E52" s="56"/>
      <c r="F52" s="56"/>
      <c r="G52" s="56"/>
      <c r="H52" s="56"/>
    </row>
    <row r="53" customFormat="false" ht="15" hidden="false" customHeight="false" outlineLevel="0" collapsed="false">
      <c r="A53" s="13" t="s">
        <v>543</v>
      </c>
      <c r="B53" s="27" t="n">
        <f aca="false">(03_Capacity_Model!$B$49+1)*24/03_Capacity_Model!$B$50</f>
        <v>67.9245283018868</v>
      </c>
      <c r="C53" s="9" t="s">
        <v>47</v>
      </c>
      <c r="D53" s="56"/>
      <c r="E53" s="56"/>
      <c r="F53" s="56"/>
      <c r="G53" s="56"/>
      <c r="H53" s="56"/>
    </row>
    <row r="54" customFormat="false" ht="15" hidden="false" customHeight="true" outlineLevel="0" collapsed="false">
      <c r="A54" s="13" t="s">
        <v>544</v>
      </c>
      <c r="B54" s="50" t="n">
        <f aca="false">02_Batch_Raw!$L$71*24</f>
        <v>72</v>
      </c>
      <c r="C54" s="9" t="s">
        <v>42</v>
      </c>
      <c r="D54" s="55" t="s">
        <v>545</v>
      </c>
      <c r="E54" s="55"/>
      <c r="F54" s="55"/>
      <c r="G54" s="55"/>
      <c r="H54" s="55"/>
    </row>
    <row r="55" customFormat="false" ht="15" hidden="false" customHeight="false" outlineLevel="0" collapsed="false">
      <c r="A55" s="9" t="s">
        <v>546</v>
      </c>
      <c r="B55" s="59" t="n">
        <f aca="false">02_Batch_Raw!$Q$71/02_Batch_Raw!$J$71</f>
        <v>0.735849056603774</v>
      </c>
      <c r="C55" s="9" t="s">
        <v>159</v>
      </c>
      <c r="D55" s="56"/>
      <c r="E55" s="56"/>
      <c r="F55" s="56"/>
      <c r="G55" s="56"/>
      <c r="H55" s="56"/>
    </row>
    <row r="56" customFormat="false" ht="15" hidden="false" customHeight="true" outlineLevel="0" collapsed="false">
      <c r="A56" s="13" t="s">
        <v>547</v>
      </c>
      <c r="B56" s="27" t="n">
        <f aca="false">03_Capacity_Model!$B$51-03_Capacity_Model!$B$26</f>
        <v>22.4716981132076</v>
      </c>
      <c r="C56" s="9" t="s">
        <v>47</v>
      </c>
      <c r="D56" s="56" t="s">
        <v>548</v>
      </c>
      <c r="E56" s="56"/>
      <c r="F56" s="56"/>
      <c r="G56" s="56"/>
      <c r="H56" s="56"/>
    </row>
    <row r="57" customFormat="false" ht="15" hidden="false" customHeight="false" outlineLevel="0" collapsed="false">
      <c r="A57" s="13" t="s">
        <v>549</v>
      </c>
      <c r="B57" s="47" t="n">
        <f aca="false">03_Capacity_Model!$B$51-03_Capacity_Model!$B$21</f>
        <v>20.4716981132076</v>
      </c>
      <c r="C57" s="9" t="s">
        <v>47</v>
      </c>
      <c r="D57" s="56"/>
      <c r="E57" s="56"/>
      <c r="F57" s="56"/>
      <c r="G57" s="56"/>
      <c r="H57" s="56"/>
    </row>
    <row r="58" customFormat="false" ht="15" hidden="false" customHeight="false" outlineLevel="0" collapsed="false">
      <c r="A58" s="13" t="s">
        <v>550</v>
      </c>
      <c r="B58" s="27" t="n">
        <f aca="false">30*24/03_Capacity_Model!$B$51</f>
        <v>10.6711409395973</v>
      </c>
      <c r="C58" s="9" t="s">
        <v>201</v>
      </c>
      <c r="D58" s="56"/>
      <c r="E58" s="56"/>
      <c r="F58" s="56"/>
      <c r="G58" s="56"/>
      <c r="H58" s="56"/>
    </row>
    <row r="59" customFormat="false" ht="15" hidden="false" customHeight="true" outlineLevel="0" collapsed="false">
      <c r="A59" s="13" t="s">
        <v>551</v>
      </c>
      <c r="B59" s="27" t="n">
        <f aca="false">31*24/03_Capacity_Model!$B$51</f>
        <v>11.0268456375839</v>
      </c>
      <c r="C59" s="9" t="s">
        <v>201</v>
      </c>
      <c r="D59" s="55" t="s">
        <v>552</v>
      </c>
      <c r="E59" s="55"/>
      <c r="F59" s="55"/>
      <c r="G59" s="55"/>
      <c r="H59" s="55"/>
    </row>
    <row r="60" customFormat="false" ht="15" hidden="false" customHeight="false" outlineLevel="0" collapsed="false">
      <c r="A60" s="13" t="s">
        <v>553</v>
      </c>
      <c r="B60" s="22" t="n">
        <f aca="false">03_Capacity_Model!$B$58*01_Inputs!$B$49</f>
        <v>2027.51677852349</v>
      </c>
      <c r="C60" s="9" t="s">
        <v>292</v>
      </c>
      <c r="D60" s="56"/>
      <c r="E60" s="56"/>
      <c r="F60" s="56"/>
      <c r="G60" s="56"/>
      <c r="H60" s="56"/>
    </row>
    <row r="61" customFormat="false" ht="15" hidden="false" customHeight="false" outlineLevel="0" collapsed="false">
      <c r="A61" s="13" t="s">
        <v>554</v>
      </c>
      <c r="B61" s="16" t="n">
        <f aca="false">INT(01_Inputs!$B$12/03_Capacity_Model!$B$51)</f>
        <v>129</v>
      </c>
      <c r="C61" s="9" t="s">
        <v>515</v>
      </c>
      <c r="D61" s="56"/>
      <c r="E61" s="56"/>
      <c r="F61" s="56"/>
      <c r="G61" s="56"/>
      <c r="H61" s="56"/>
    </row>
    <row r="62" customFormat="false" ht="15" hidden="false" customHeight="true" outlineLevel="0" collapsed="false">
      <c r="A62" s="13" t="s">
        <v>555</v>
      </c>
      <c r="B62" s="45" t="n">
        <f aca="false">03_Capacity_Model!$B$61*01_Inputs!$B$49</f>
        <v>24510</v>
      </c>
      <c r="C62" s="9" t="s">
        <v>289</v>
      </c>
      <c r="D62" s="56" t="s">
        <v>556</v>
      </c>
      <c r="E62" s="56"/>
      <c r="F62" s="56"/>
      <c r="G62" s="56"/>
      <c r="H62" s="56"/>
    </row>
    <row r="63" customFormat="false" ht="15" hidden="false" customHeight="true" outlineLevel="0" collapsed="false">
      <c r="A63" s="13" t="s">
        <v>557</v>
      </c>
      <c r="B63" s="27" t="n">
        <f aca="false">(02_Batch_Raw!$E$61-02_Batch_Raw!$E$6)*24/(02_Batch_Raw!$D$61-02_Batch_Raw!$D$6)</f>
        <v>69.3818181818182</v>
      </c>
      <c r="C63" s="9" t="s">
        <v>47</v>
      </c>
      <c r="D63" s="55" t="s">
        <v>558</v>
      </c>
      <c r="E63" s="55"/>
      <c r="F63" s="55"/>
      <c r="G63" s="55"/>
      <c r="H63" s="55"/>
    </row>
    <row r="64" customFormat="false" ht="15" hidden="false" customHeight="true" outlineLevel="0" collapsed="false">
      <c r="A64" s="13" t="s">
        <v>559</v>
      </c>
      <c r="B64" s="57" t="n">
        <f aca="false">02_Batch_Raw!$E$77</f>
        <v>0</v>
      </c>
      <c r="C64" s="13" t="s">
        <v>560</v>
      </c>
      <c r="D64" s="55" t="s">
        <v>561</v>
      </c>
      <c r="E64" s="55"/>
      <c r="F64" s="55"/>
      <c r="G64" s="55"/>
      <c r="H64" s="55"/>
    </row>
    <row r="66" customFormat="false" ht="17.15" hidden="false" customHeight="false" outlineLevel="0" collapsed="false">
      <c r="A66" s="49" t="s">
        <v>562</v>
      </c>
    </row>
    <row r="67" customFormat="false" ht="15" hidden="false" customHeight="false" outlineLevel="0" collapsed="false">
      <c r="A67" s="13" t="s">
        <v>563</v>
      </c>
      <c r="B67" s="60" t="n">
        <f aca="false">01_Inputs!$B$63*1000</f>
        <v>26200</v>
      </c>
      <c r="C67" s="9" t="s">
        <v>289</v>
      </c>
      <c r="D67" s="56"/>
      <c r="E67" s="56"/>
      <c r="F67" s="56"/>
      <c r="G67" s="56"/>
      <c r="H67" s="56"/>
    </row>
    <row r="68" customFormat="false" ht="15" hidden="false" customHeight="true" outlineLevel="0" collapsed="false">
      <c r="A68" s="9" t="s">
        <v>564</v>
      </c>
      <c r="B68" s="61" t="n">
        <f aca="false">03_Capacity_Model!$B$67/01_Inputs!$B$49</f>
        <v>137.894736842105</v>
      </c>
      <c r="C68" s="9" t="s">
        <v>515</v>
      </c>
      <c r="D68" s="55" t="s">
        <v>565</v>
      </c>
      <c r="E68" s="55"/>
      <c r="F68" s="55"/>
      <c r="G68" s="55"/>
      <c r="H68" s="55"/>
    </row>
    <row r="69" customFormat="false" ht="15" hidden="false" customHeight="false" outlineLevel="0" collapsed="false">
      <c r="A69" s="13" t="s">
        <v>566</v>
      </c>
      <c r="B69" s="16" t="n">
        <f aca="false">ROUND(03_Capacity_Model!$B$68,0)</f>
        <v>138</v>
      </c>
      <c r="C69" s="9" t="s">
        <v>515</v>
      </c>
      <c r="D69" s="56"/>
      <c r="E69" s="56"/>
      <c r="F69" s="56"/>
      <c r="G69" s="56"/>
      <c r="H69" s="56"/>
    </row>
    <row r="70" customFormat="false" ht="15" hidden="false" customHeight="true" outlineLevel="0" collapsed="false">
      <c r="A70" s="13" t="s">
        <v>567</v>
      </c>
      <c r="B70" s="22" t="n">
        <f aca="false">03_Capacity_Model!$B$69*01_Inputs!$B$49</f>
        <v>26220</v>
      </c>
      <c r="C70" s="9" t="s">
        <v>289</v>
      </c>
      <c r="D70" s="55" t="s">
        <v>568</v>
      </c>
      <c r="E70" s="55"/>
      <c r="F70" s="55"/>
      <c r="G70" s="55"/>
      <c r="H70" s="55"/>
    </row>
    <row r="71" customFormat="false" ht="15" hidden="false" customHeight="false" outlineLevel="0" collapsed="false">
      <c r="A71" s="13" t="s">
        <v>569</v>
      </c>
      <c r="B71" s="27" t="n">
        <f aca="false">03_Capacity_Model!$B$68/12</f>
        <v>11.4912280701754</v>
      </c>
      <c r="C71" s="9" t="s">
        <v>201</v>
      </c>
      <c r="D71" s="56"/>
      <c r="E71" s="56"/>
      <c r="F71" s="56"/>
      <c r="G71" s="56"/>
      <c r="H71" s="56"/>
    </row>
    <row r="72" customFormat="false" ht="15" hidden="false" customHeight="true" outlineLevel="0" collapsed="false">
      <c r="A72" s="13" t="s">
        <v>570</v>
      </c>
      <c r="B72" s="47" t="n">
        <f aca="false">01_Inputs!$B$12/03_Capacity_Model!$B$68</f>
        <v>63.5267175572519</v>
      </c>
      <c r="C72" s="9" t="s">
        <v>47</v>
      </c>
      <c r="D72" s="56" t="s">
        <v>571</v>
      </c>
      <c r="E72" s="56"/>
      <c r="F72" s="56"/>
      <c r="G72" s="56"/>
      <c r="H72" s="56"/>
    </row>
    <row r="74" customFormat="false" ht="17.15" hidden="false" customHeight="false" outlineLevel="0" collapsed="false">
      <c r="A74" s="49" t="s">
        <v>572</v>
      </c>
    </row>
    <row r="75" customFormat="false" ht="30" hidden="false" customHeight="true" outlineLevel="0" collapsed="false">
      <c r="A75" s="11" t="s">
        <v>14</v>
      </c>
      <c r="B75" s="33" t="s">
        <v>573</v>
      </c>
      <c r="C75" s="11" t="s">
        <v>574</v>
      </c>
      <c r="D75" s="11" t="s">
        <v>575</v>
      </c>
      <c r="E75" s="11" t="s">
        <v>576</v>
      </c>
      <c r="F75" s="33" t="s">
        <v>577</v>
      </c>
      <c r="G75" s="11"/>
      <c r="H75" s="11" t="s">
        <v>578</v>
      </c>
    </row>
    <row r="76" customFormat="false" ht="15" hidden="false" customHeight="false" outlineLevel="0" collapsed="false">
      <c r="A76" s="52" t="s">
        <v>579</v>
      </c>
      <c r="B76" s="27" t="n">
        <f aca="false">03_Capacity_Model!$B$26</f>
        <v>45</v>
      </c>
      <c r="C76" s="27" t="n">
        <f aca="false">30*24/B76</f>
        <v>16</v>
      </c>
      <c r="D76" s="22" t="n">
        <f aca="false">C76*01_Inputs!$B$49</f>
        <v>3040</v>
      </c>
      <c r="E76" s="47" t="n">
        <f aca="false">03_Capacity_Model!$B$30*12/1000</f>
        <v>36.48</v>
      </c>
      <c r="F76" s="27" t="n">
        <f aca="false">E76-01_Inputs!$B$63</f>
        <v>10.28</v>
      </c>
      <c r="H76" s="54" t="s">
        <v>580</v>
      </c>
    </row>
    <row r="77" customFormat="false" ht="15" hidden="false" customHeight="false" outlineLevel="0" collapsed="false">
      <c r="A77" s="52" t="s">
        <v>581</v>
      </c>
      <c r="B77" s="27" t="n">
        <f aca="false">03_Capacity_Model!$B$40</f>
        <v>65.4545454545455</v>
      </c>
      <c r="C77" s="27" t="n">
        <f aca="false">30*24/B77</f>
        <v>11</v>
      </c>
      <c r="D77" s="22" t="n">
        <f aca="false">C77*01_Inputs!$B$49</f>
        <v>2090</v>
      </c>
      <c r="E77" s="47" t="n">
        <f aca="false">03_Capacity_Model!$B$42/1000</f>
        <v>25.08</v>
      </c>
      <c r="F77" s="27" t="n">
        <f aca="false">E77-01_Inputs!$B$63</f>
        <v>-1.12</v>
      </c>
      <c r="H77" s="51" t="s">
        <v>582</v>
      </c>
    </row>
    <row r="78" customFormat="false" ht="15" hidden="false" customHeight="false" outlineLevel="0" collapsed="false">
      <c r="A78" s="52" t="s">
        <v>583</v>
      </c>
      <c r="B78" s="27" t="n">
        <f aca="false">03_Capacity_Model!$B$51</f>
        <v>67.4716981132076</v>
      </c>
      <c r="C78" s="27" t="n">
        <f aca="false">30*24/B78</f>
        <v>10.6711409395973</v>
      </c>
      <c r="D78" s="22" t="n">
        <f aca="false">C78*01_Inputs!$B$49</f>
        <v>2027.51677852349</v>
      </c>
      <c r="E78" s="47" t="n">
        <f aca="false">03_Capacity_Model!$B$62/1000</f>
        <v>24.51</v>
      </c>
      <c r="F78" s="27" t="n">
        <f aca="false">E78-01_Inputs!$B$63</f>
        <v>-1.69</v>
      </c>
      <c r="H78" s="54" t="s">
        <v>584</v>
      </c>
    </row>
    <row r="79" customFormat="false" ht="15" hidden="false" customHeight="false" outlineLevel="0" collapsed="false">
      <c r="A79" s="52" t="s">
        <v>585</v>
      </c>
      <c r="B79" s="27" t="n">
        <f aca="false">03_Capacity_Model!$B$72</f>
        <v>63.5267175572519</v>
      </c>
      <c r="C79" s="27" t="n">
        <f aca="false">30*24/B79</f>
        <v>11.3338139870224</v>
      </c>
      <c r="D79" s="22" t="n">
        <f aca="false">C79*01_Inputs!$B$49</f>
        <v>2153.42465753425</v>
      </c>
      <c r="E79" s="47" t="n">
        <f aca="false">01_Inputs!$B$63</f>
        <v>26.2</v>
      </c>
      <c r="F79" s="27" t="n">
        <f aca="false">E79-01_Inputs!$B$63</f>
        <v>0</v>
      </c>
      <c r="H79" s="54" t="s">
        <v>586</v>
      </c>
    </row>
    <row r="80" customFormat="false" ht="15" hidden="false" customHeight="true" outlineLevel="0" collapsed="false">
      <c r="A80" s="9" t="s">
        <v>587</v>
      </c>
      <c r="B80" s="47" t="n">
        <f aca="false">CHOOSE(01_Inputs!$B$100,03_Capacity_Model!$B$26,03_Capacity_Model!$B$40,03_Capacity_Model!$B$51,03_Capacity_Model!$B$72)</f>
        <v>67.4716981132076</v>
      </c>
      <c r="C80" s="9" t="s">
        <v>47</v>
      </c>
      <c r="D80" s="56" t="s">
        <v>588</v>
      </c>
      <c r="E80" s="56"/>
      <c r="F80" s="56"/>
      <c r="G80" s="56"/>
      <c r="H80" s="56"/>
    </row>
    <row r="82" customFormat="false" ht="17.15" hidden="false" customHeight="false" outlineLevel="0" collapsed="false">
      <c r="A82" s="49" t="s">
        <v>589</v>
      </c>
    </row>
    <row r="83" customFormat="false" ht="15" hidden="false" customHeight="true" outlineLevel="0" collapsed="false">
      <c r="A83" s="13" t="s">
        <v>590</v>
      </c>
      <c r="B83" s="62" t="n">
        <f aca="false">01_Inputs!$B$66</f>
        <v>52.4</v>
      </c>
      <c r="C83" s="9" t="s">
        <v>181</v>
      </c>
      <c r="D83" s="56" t="s">
        <v>591</v>
      </c>
      <c r="E83" s="56"/>
      <c r="F83" s="56"/>
      <c r="G83" s="56"/>
      <c r="H83" s="56"/>
    </row>
    <row r="84" customFormat="false" ht="15" hidden="false" customHeight="true" outlineLevel="0" collapsed="false">
      <c r="A84" s="13" t="s">
        <v>592</v>
      </c>
      <c r="B84" s="47" t="n">
        <f aca="false">03_Capacity_Model!$B$83-01_Inputs!$B$65</f>
        <v>5.2</v>
      </c>
      <c r="C84" s="9" t="s">
        <v>181</v>
      </c>
      <c r="D84" s="55" t="s">
        <v>593</v>
      </c>
      <c r="E84" s="55"/>
      <c r="F84" s="55"/>
      <c r="G84" s="55"/>
      <c r="H84" s="55"/>
    </row>
    <row r="85" customFormat="false" ht="15" hidden="false" customHeight="false" outlineLevel="0" collapsed="false">
      <c r="A85" s="9" t="s">
        <v>594</v>
      </c>
      <c r="B85" s="63" t="n">
        <f aca="false">01_Inputs!$B$65/03_Capacity_Model!$B$83</f>
        <v>0.900763358778626</v>
      </c>
      <c r="C85" s="9" t="s">
        <v>159</v>
      </c>
      <c r="D85" s="56"/>
      <c r="E85" s="56"/>
      <c r="F85" s="56"/>
      <c r="G85" s="56"/>
      <c r="H85" s="56"/>
    </row>
    <row r="86" customFormat="false" ht="15" hidden="false" customHeight="false" outlineLevel="0" collapsed="false">
      <c r="A86" s="9" t="s">
        <v>595</v>
      </c>
      <c r="B86" s="64" t="n">
        <f aca="false">01_Inputs!$B$65*1000/01_Inputs!$B$49</f>
        <v>248.421052631579</v>
      </c>
      <c r="C86" s="9" t="s">
        <v>515</v>
      </c>
      <c r="D86" s="56"/>
      <c r="E86" s="56"/>
      <c r="F86" s="56"/>
      <c r="G86" s="56"/>
      <c r="H86" s="56"/>
    </row>
    <row r="87" customFormat="false" ht="15" hidden="false" customHeight="true" outlineLevel="0" collapsed="false">
      <c r="A87" s="9" t="s">
        <v>596</v>
      </c>
      <c r="B87" s="27" t="n">
        <f aca="false">01_Inputs!$B$12/03_Capacity_Model!$B$86</f>
        <v>35.2627118644068</v>
      </c>
      <c r="C87" s="9" t="s">
        <v>47</v>
      </c>
      <c r="D87" s="56" t="s">
        <v>597</v>
      </c>
      <c r="E87" s="56"/>
      <c r="F87" s="56"/>
      <c r="G87" s="56"/>
      <c r="H87" s="56"/>
    </row>
    <row r="88" customFormat="false" ht="15" hidden="false" customHeight="true" outlineLevel="0" collapsed="false">
      <c r="A88" s="13" t="s">
        <v>598</v>
      </c>
      <c r="B88" s="47" t="n">
        <f aca="false">01_Inputs!$B$8*01_Inputs!$B$12/03_Capacity_Model!$B$86</f>
        <v>70.5254237288136</v>
      </c>
      <c r="C88" s="9" t="s">
        <v>47</v>
      </c>
      <c r="D88" s="56" t="s">
        <v>599</v>
      </c>
      <c r="E88" s="56"/>
      <c r="F88" s="56"/>
      <c r="G88" s="56"/>
      <c r="H88" s="56"/>
    </row>
    <row r="89" customFormat="false" ht="15" hidden="false" customHeight="true" outlineLevel="0" collapsed="false">
      <c r="A89" s="13" t="s">
        <v>600</v>
      </c>
      <c r="B89" s="27" t="n">
        <f aca="false">03_Capacity_Model!$B$88-03_Capacity_Model!$B$72</f>
        <v>6.99870617156164</v>
      </c>
      <c r="C89" s="9" t="s">
        <v>47</v>
      </c>
      <c r="D89" s="56" t="s">
        <v>601</v>
      </c>
      <c r="E89" s="56"/>
      <c r="F89" s="56"/>
      <c r="G89" s="56"/>
      <c r="H89" s="56"/>
    </row>
    <row r="90" customFormat="false" ht="15" hidden="false" customHeight="true" outlineLevel="0" collapsed="false">
      <c r="A90" s="13" t="s">
        <v>602</v>
      </c>
      <c r="B90" s="50" t="n">
        <f aca="false">01_Inputs!$B$84</f>
        <v>30</v>
      </c>
      <c r="C90" s="9" t="s">
        <v>42</v>
      </c>
      <c r="D90" s="56" t="s">
        <v>603</v>
      </c>
      <c r="E90" s="56"/>
      <c r="F90" s="56"/>
      <c r="G90" s="56"/>
      <c r="H90" s="56"/>
    </row>
    <row r="91" customFormat="false" ht="15" hidden="false" customHeight="true" outlineLevel="0" collapsed="false">
      <c r="A91" s="9" t="s">
        <v>604</v>
      </c>
      <c r="B91" s="19" t="n">
        <f aca="false">IF(ISNUMBER(01_Inputs!$B$83),01_Inputs!$B$83,ROUND(03_Capacity_Model!$B$88,1))</f>
        <v>70.5</v>
      </c>
      <c r="C91" s="9" t="s">
        <v>47</v>
      </c>
      <c r="D91" s="56" t="s">
        <v>605</v>
      </c>
      <c r="E91" s="56"/>
      <c r="F91" s="56"/>
      <c r="G91" s="56"/>
      <c r="H91" s="56"/>
    </row>
    <row r="92" customFormat="false" ht="30" hidden="false" customHeight="true" outlineLevel="0" collapsed="false">
      <c r="A92" s="33" t="s">
        <v>606</v>
      </c>
      <c r="B92" s="11" t="s">
        <v>607</v>
      </c>
      <c r="C92" s="11" t="s">
        <v>608</v>
      </c>
      <c r="D92" s="11" t="s">
        <v>609</v>
      </c>
      <c r="E92" s="11"/>
      <c r="F92" s="11"/>
      <c r="G92" s="11"/>
      <c r="H92" s="11" t="s">
        <v>16</v>
      </c>
      <c r="J92" s="65" t="n">
        <v>0</v>
      </c>
      <c r="K92" s="65" t="n">
        <v>6</v>
      </c>
      <c r="L92" s="65" t="n">
        <v>12</v>
      </c>
      <c r="M92" s="65" t="n">
        <v>18</v>
      </c>
      <c r="N92" s="65" t="n">
        <v>24</v>
      </c>
      <c r="O92" s="65" t="n">
        <v>30</v>
      </c>
      <c r="P92" s="65" t="n">
        <v>36</v>
      </c>
      <c r="Q92" s="65" t="n">
        <v>42</v>
      </c>
      <c r="R92" s="65" t="n">
        <v>48</v>
      </c>
      <c r="S92" s="65" t="n">
        <v>54</v>
      </c>
      <c r="T92" s="65" t="n">
        <v>60</v>
      </c>
      <c r="U92" s="65" t="n">
        <v>66</v>
      </c>
      <c r="V92" s="65" t="n">
        <v>72</v>
      </c>
      <c r="W92" s="65" t="n">
        <v>78</v>
      </c>
      <c r="X92" s="65" t="n">
        <v>84</v>
      </c>
      <c r="Y92" s="65" t="n">
        <v>90</v>
      </c>
      <c r="Z92" s="65" t="n">
        <v>96</v>
      </c>
      <c r="AA92" s="65" t="n">
        <v>102</v>
      </c>
      <c r="AB92" s="65" t="n">
        <v>108</v>
      </c>
      <c r="AC92" s="65" t="n">
        <v>114</v>
      </c>
      <c r="AD92" s="65" t="n">
        <v>120</v>
      </c>
      <c r="AE92" s="65" t="n">
        <v>126</v>
      </c>
      <c r="AF92" s="65" t="n">
        <v>132</v>
      </c>
      <c r="AG92" s="65" t="n">
        <v>138</v>
      </c>
      <c r="AH92" s="65" t="n">
        <v>144</v>
      </c>
      <c r="AI92" s="65" t="n">
        <v>150</v>
      </c>
      <c r="AJ92" s="65" t="n">
        <v>156</v>
      </c>
      <c r="AK92" s="65" t="n">
        <v>162</v>
      </c>
      <c r="AL92" s="65" t="n">
        <v>168</v>
      </c>
      <c r="AM92" s="65" t="n">
        <v>174</v>
      </c>
      <c r="AN92" s="65" t="n">
        <v>180</v>
      </c>
      <c r="AO92" s="65" t="n">
        <v>186</v>
      </c>
      <c r="AP92" s="65" t="n">
        <v>192</v>
      </c>
      <c r="AQ92" s="65" t="n">
        <v>198</v>
      </c>
      <c r="AR92" s="65" t="n">
        <v>204</v>
      </c>
      <c r="AS92" s="65" t="n">
        <v>210</v>
      </c>
      <c r="AT92" s="65" t="n">
        <v>216</v>
      </c>
      <c r="AU92" s="65" t="n">
        <v>222</v>
      </c>
      <c r="AV92" s="65" t="n">
        <v>228</v>
      </c>
      <c r="AW92" s="65" t="n">
        <v>234</v>
      </c>
      <c r="AX92" s="65" t="n">
        <v>240</v>
      </c>
    </row>
    <row r="93" customFormat="false" ht="15" hidden="false" customHeight="false" outlineLevel="0" collapsed="false">
      <c r="A93" s="13" t="s">
        <v>610</v>
      </c>
      <c r="B93" s="15" t="n">
        <f aca="false">(0+0*03_Capacity_Model!$B$91)+01_Inputs!$B$14</f>
        <v>2</v>
      </c>
      <c r="C93" s="15" t="n">
        <f aca="false">B93+01_Inputs!$B$15</f>
        <v>4</v>
      </c>
      <c r="D93" s="13" t="s">
        <v>611</v>
      </c>
      <c r="H93" s="51"/>
      <c r="J93" s="66" t="n">
        <f aca="false">IF(AND(J$92+6&gt;$B93,J$92&lt;$C93),1,"")</f>
        <v>1</v>
      </c>
      <c r="K93" s="66" t="str">
        <f aca="false">IF(AND(K$92+6&gt;$B93,K$92&lt;$C93),1,"")</f>
        <v/>
      </c>
      <c r="L93" s="66" t="str">
        <f aca="false">IF(AND(L$92+6&gt;$B93,L$92&lt;$C93),1,"")</f>
        <v/>
      </c>
      <c r="M93" s="66" t="str">
        <f aca="false">IF(AND(M$92+6&gt;$B93,M$92&lt;$C93),1,"")</f>
        <v/>
      </c>
      <c r="N93" s="66" t="str">
        <f aca="false">IF(AND(N$92+6&gt;$B93,N$92&lt;$C93),1,"")</f>
        <v/>
      </c>
      <c r="O93" s="66" t="str">
        <f aca="false">IF(AND(O$92+6&gt;$B93,O$92&lt;$C93),1,"")</f>
        <v/>
      </c>
      <c r="P93" s="66" t="str">
        <f aca="false">IF(AND(P$92+6&gt;$B93,P$92&lt;$C93),1,"")</f>
        <v/>
      </c>
      <c r="Q93" s="66" t="str">
        <f aca="false">IF(AND(Q$92+6&gt;$B93,Q$92&lt;$C93),1,"")</f>
        <v/>
      </c>
      <c r="R93" s="66" t="str">
        <f aca="false">IF(AND(R$92+6&gt;$B93,R$92&lt;$C93),1,"")</f>
        <v/>
      </c>
      <c r="S93" s="66" t="str">
        <f aca="false">IF(AND(S$92+6&gt;$B93,S$92&lt;$C93),1,"")</f>
        <v/>
      </c>
      <c r="T93" s="66" t="str">
        <f aca="false">IF(AND(T$92+6&gt;$B93,T$92&lt;$C93),1,"")</f>
        <v/>
      </c>
      <c r="U93" s="66" t="str">
        <f aca="false">IF(AND(U$92+6&gt;$B93,U$92&lt;$C93),1,"")</f>
        <v/>
      </c>
      <c r="V93" s="66" t="str">
        <f aca="false">IF(AND(V$92+6&gt;$B93,V$92&lt;$C93),1,"")</f>
        <v/>
      </c>
      <c r="W93" s="66" t="str">
        <f aca="false">IF(AND(W$92+6&gt;$B93,W$92&lt;$C93),1,"")</f>
        <v/>
      </c>
      <c r="X93" s="66" t="str">
        <f aca="false">IF(AND(X$92+6&gt;$B93,X$92&lt;$C93),1,"")</f>
        <v/>
      </c>
      <c r="Y93" s="66" t="str">
        <f aca="false">IF(AND(Y$92+6&gt;$B93,Y$92&lt;$C93),1,"")</f>
        <v/>
      </c>
      <c r="Z93" s="66" t="str">
        <f aca="false">IF(AND(Z$92+6&gt;$B93,Z$92&lt;$C93),1,"")</f>
        <v/>
      </c>
      <c r="AA93" s="66" t="str">
        <f aca="false">IF(AND(AA$92+6&gt;$B93,AA$92&lt;$C93),1,"")</f>
        <v/>
      </c>
      <c r="AB93" s="66" t="str">
        <f aca="false">IF(AND(AB$92+6&gt;$B93,AB$92&lt;$C93),1,"")</f>
        <v/>
      </c>
      <c r="AC93" s="66" t="str">
        <f aca="false">IF(AND(AC$92+6&gt;$B93,AC$92&lt;$C93),1,"")</f>
        <v/>
      </c>
      <c r="AD93" s="66" t="str">
        <f aca="false">IF(AND(AD$92+6&gt;$B93,AD$92&lt;$C93),1,"")</f>
        <v/>
      </c>
      <c r="AE93" s="66" t="str">
        <f aca="false">IF(AND(AE$92+6&gt;$B93,AE$92&lt;$C93),1,"")</f>
        <v/>
      </c>
      <c r="AF93" s="66" t="str">
        <f aca="false">IF(AND(AF$92+6&gt;$B93,AF$92&lt;$C93),1,"")</f>
        <v/>
      </c>
      <c r="AG93" s="66" t="str">
        <f aca="false">IF(AND(AG$92+6&gt;$B93,AG$92&lt;$C93),1,"")</f>
        <v/>
      </c>
      <c r="AH93" s="66" t="str">
        <f aca="false">IF(AND(AH$92+6&gt;$B93,AH$92&lt;$C93),1,"")</f>
        <v/>
      </c>
      <c r="AI93" s="66" t="str">
        <f aca="false">IF(AND(AI$92+6&gt;$B93,AI$92&lt;$C93),1,"")</f>
        <v/>
      </c>
      <c r="AJ93" s="66" t="str">
        <f aca="false">IF(AND(AJ$92+6&gt;$B93,AJ$92&lt;$C93),1,"")</f>
        <v/>
      </c>
      <c r="AK93" s="66" t="str">
        <f aca="false">IF(AND(AK$92+6&gt;$B93,AK$92&lt;$C93),1,"")</f>
        <v/>
      </c>
      <c r="AL93" s="66" t="str">
        <f aca="false">IF(AND(AL$92+6&gt;$B93,AL$92&lt;$C93),1,"")</f>
        <v/>
      </c>
      <c r="AM93" s="66" t="str">
        <f aca="false">IF(AND(AM$92+6&gt;$B93,AM$92&lt;$C93),1,"")</f>
        <v/>
      </c>
      <c r="AN93" s="66" t="str">
        <f aca="false">IF(AND(AN$92+6&gt;$B93,AN$92&lt;$C93),1,"")</f>
        <v/>
      </c>
      <c r="AO93" s="66" t="str">
        <f aca="false">IF(AND(AO$92+6&gt;$B93,AO$92&lt;$C93),1,"")</f>
        <v/>
      </c>
      <c r="AP93" s="66" t="str">
        <f aca="false">IF(AND(AP$92+6&gt;$B93,AP$92&lt;$C93),1,"")</f>
        <v/>
      </c>
      <c r="AQ93" s="66" t="str">
        <f aca="false">IF(AND(AQ$92+6&gt;$B93,AQ$92&lt;$C93),1,"")</f>
        <v/>
      </c>
      <c r="AR93" s="66" t="str">
        <f aca="false">IF(AND(AR$92+6&gt;$B93,AR$92&lt;$C93),1,"")</f>
        <v/>
      </c>
      <c r="AS93" s="66" t="str">
        <f aca="false">IF(AND(AS$92+6&gt;$B93,AS$92&lt;$C93),1,"")</f>
        <v/>
      </c>
      <c r="AT93" s="66" t="str">
        <f aca="false">IF(AND(AT$92+6&gt;$B93,AT$92&lt;$C93),1,"")</f>
        <v/>
      </c>
      <c r="AU93" s="66" t="str">
        <f aca="false">IF(AND(AU$92+6&gt;$B93,AU$92&lt;$C93),1,"")</f>
        <v/>
      </c>
      <c r="AV93" s="66" t="str">
        <f aca="false">IF(AND(AV$92+6&gt;$B93,AV$92&lt;$C93),1,"")</f>
        <v/>
      </c>
      <c r="AW93" s="66" t="str">
        <f aca="false">IF(AND(AW$92+6&gt;$B93,AW$92&lt;$C93),1,"")</f>
        <v/>
      </c>
      <c r="AX93" s="66" t="str">
        <f aca="false">IF(AND(AX$92+6&gt;$B93,AX$92&lt;$C93),1,"")</f>
        <v/>
      </c>
    </row>
    <row r="94" customFormat="false" ht="15" hidden="false" customHeight="false" outlineLevel="0" collapsed="false">
      <c r="A94" s="13" t="s">
        <v>612</v>
      </c>
      <c r="B94" s="15" t="n">
        <f aca="false">C93</f>
        <v>4</v>
      </c>
      <c r="C94" s="15" t="n">
        <f aca="false">B94+01_Inputs!$B$16</f>
        <v>49</v>
      </c>
      <c r="D94" s="13" t="s">
        <v>611</v>
      </c>
      <c r="H94" s="54" t="s">
        <v>505</v>
      </c>
      <c r="J94" s="66" t="n">
        <f aca="false">IF(AND(J$92+6&gt;$B94,J$92&lt;$C94),1,"")</f>
        <v>1</v>
      </c>
      <c r="K94" s="66" t="n">
        <f aca="false">IF(AND(K$92+6&gt;$B94,K$92&lt;$C94),1,"")</f>
        <v>1</v>
      </c>
      <c r="L94" s="66" t="n">
        <f aca="false">IF(AND(L$92+6&gt;$B94,L$92&lt;$C94),1,"")</f>
        <v>1</v>
      </c>
      <c r="M94" s="66" t="n">
        <f aca="false">IF(AND(M$92+6&gt;$B94,M$92&lt;$C94),1,"")</f>
        <v>1</v>
      </c>
      <c r="N94" s="66" t="n">
        <f aca="false">IF(AND(N$92+6&gt;$B94,N$92&lt;$C94),1,"")</f>
        <v>1</v>
      </c>
      <c r="O94" s="66" t="n">
        <f aca="false">IF(AND(O$92+6&gt;$B94,O$92&lt;$C94),1,"")</f>
        <v>1</v>
      </c>
      <c r="P94" s="66" t="n">
        <f aca="false">IF(AND(P$92+6&gt;$B94,P$92&lt;$C94),1,"")</f>
        <v>1</v>
      </c>
      <c r="Q94" s="66" t="n">
        <f aca="false">IF(AND(Q$92+6&gt;$B94,Q$92&lt;$C94),1,"")</f>
        <v>1</v>
      </c>
      <c r="R94" s="66" t="n">
        <f aca="false">IF(AND(R$92+6&gt;$B94,R$92&lt;$C94),1,"")</f>
        <v>1</v>
      </c>
      <c r="S94" s="66" t="str">
        <f aca="false">IF(AND(S$92+6&gt;$B94,S$92&lt;$C94),1,"")</f>
        <v/>
      </c>
      <c r="T94" s="66" t="str">
        <f aca="false">IF(AND(T$92+6&gt;$B94,T$92&lt;$C94),1,"")</f>
        <v/>
      </c>
      <c r="U94" s="66" t="str">
        <f aca="false">IF(AND(U$92+6&gt;$B94,U$92&lt;$C94),1,"")</f>
        <v/>
      </c>
      <c r="V94" s="66" t="str">
        <f aca="false">IF(AND(V$92+6&gt;$B94,V$92&lt;$C94),1,"")</f>
        <v/>
      </c>
      <c r="W94" s="66" t="str">
        <f aca="false">IF(AND(W$92+6&gt;$B94,W$92&lt;$C94),1,"")</f>
        <v/>
      </c>
      <c r="X94" s="66" t="str">
        <f aca="false">IF(AND(X$92+6&gt;$B94,X$92&lt;$C94),1,"")</f>
        <v/>
      </c>
      <c r="Y94" s="66" t="str">
        <f aca="false">IF(AND(Y$92+6&gt;$B94,Y$92&lt;$C94),1,"")</f>
        <v/>
      </c>
      <c r="Z94" s="66" t="str">
        <f aca="false">IF(AND(Z$92+6&gt;$B94,Z$92&lt;$C94),1,"")</f>
        <v/>
      </c>
      <c r="AA94" s="66" t="str">
        <f aca="false">IF(AND(AA$92+6&gt;$B94,AA$92&lt;$C94),1,"")</f>
        <v/>
      </c>
      <c r="AB94" s="66" t="str">
        <f aca="false">IF(AND(AB$92+6&gt;$B94,AB$92&lt;$C94),1,"")</f>
        <v/>
      </c>
      <c r="AC94" s="66" t="str">
        <f aca="false">IF(AND(AC$92+6&gt;$B94,AC$92&lt;$C94),1,"")</f>
        <v/>
      </c>
      <c r="AD94" s="66" t="str">
        <f aca="false">IF(AND(AD$92+6&gt;$B94,AD$92&lt;$C94),1,"")</f>
        <v/>
      </c>
      <c r="AE94" s="66" t="str">
        <f aca="false">IF(AND(AE$92+6&gt;$B94,AE$92&lt;$C94),1,"")</f>
        <v/>
      </c>
      <c r="AF94" s="66" t="str">
        <f aca="false">IF(AND(AF$92+6&gt;$B94,AF$92&lt;$C94),1,"")</f>
        <v/>
      </c>
      <c r="AG94" s="66" t="str">
        <f aca="false">IF(AND(AG$92+6&gt;$B94,AG$92&lt;$C94),1,"")</f>
        <v/>
      </c>
      <c r="AH94" s="66" t="str">
        <f aca="false">IF(AND(AH$92+6&gt;$B94,AH$92&lt;$C94),1,"")</f>
        <v/>
      </c>
      <c r="AI94" s="66" t="str">
        <f aca="false">IF(AND(AI$92+6&gt;$B94,AI$92&lt;$C94),1,"")</f>
        <v/>
      </c>
      <c r="AJ94" s="66" t="str">
        <f aca="false">IF(AND(AJ$92+6&gt;$B94,AJ$92&lt;$C94),1,"")</f>
        <v/>
      </c>
      <c r="AK94" s="66" t="str">
        <f aca="false">IF(AND(AK$92+6&gt;$B94,AK$92&lt;$C94),1,"")</f>
        <v/>
      </c>
      <c r="AL94" s="66" t="str">
        <f aca="false">IF(AND(AL$92+6&gt;$B94,AL$92&lt;$C94),1,"")</f>
        <v/>
      </c>
      <c r="AM94" s="66" t="str">
        <f aca="false">IF(AND(AM$92+6&gt;$B94,AM$92&lt;$C94),1,"")</f>
        <v/>
      </c>
      <c r="AN94" s="66" t="str">
        <f aca="false">IF(AND(AN$92+6&gt;$B94,AN$92&lt;$C94),1,"")</f>
        <v/>
      </c>
      <c r="AO94" s="66" t="str">
        <f aca="false">IF(AND(AO$92+6&gt;$B94,AO$92&lt;$C94),1,"")</f>
        <v/>
      </c>
      <c r="AP94" s="66" t="str">
        <f aca="false">IF(AND(AP$92+6&gt;$B94,AP$92&lt;$C94),1,"")</f>
        <v/>
      </c>
      <c r="AQ94" s="66" t="str">
        <f aca="false">IF(AND(AQ$92+6&gt;$B94,AQ$92&lt;$C94),1,"")</f>
        <v/>
      </c>
      <c r="AR94" s="66" t="str">
        <f aca="false">IF(AND(AR$92+6&gt;$B94,AR$92&lt;$C94),1,"")</f>
        <v/>
      </c>
      <c r="AS94" s="66" t="str">
        <f aca="false">IF(AND(AS$92+6&gt;$B94,AS$92&lt;$C94),1,"")</f>
        <v/>
      </c>
      <c r="AT94" s="66" t="str">
        <f aca="false">IF(AND(AT$92+6&gt;$B94,AT$92&lt;$C94),1,"")</f>
        <v/>
      </c>
      <c r="AU94" s="66" t="str">
        <f aca="false">IF(AND(AU$92+6&gt;$B94,AU$92&lt;$C94),1,"")</f>
        <v/>
      </c>
      <c r="AV94" s="66" t="str">
        <f aca="false">IF(AND(AV$92+6&gt;$B94,AV$92&lt;$C94),1,"")</f>
        <v/>
      </c>
      <c r="AW94" s="66" t="str">
        <f aca="false">IF(AND(AW$92+6&gt;$B94,AW$92&lt;$C94),1,"")</f>
        <v/>
      </c>
      <c r="AX94" s="66" t="str">
        <f aca="false">IF(AND(AX$92+6&gt;$B94,AX$92&lt;$C94),1,"")</f>
        <v/>
      </c>
    </row>
    <row r="95" customFormat="false" ht="15" hidden="false" customHeight="false" outlineLevel="0" collapsed="false">
      <c r="A95" s="13" t="s">
        <v>613</v>
      </c>
      <c r="B95" s="15" t="n">
        <f aca="false">C94</f>
        <v>49</v>
      </c>
      <c r="C95" s="15" t="n">
        <f aca="false">B95+01_Inputs!$B$17+01_Inputs!$B$18</f>
        <v>57</v>
      </c>
      <c r="D95" s="13" t="s">
        <v>614</v>
      </c>
      <c r="H95" s="54" t="s">
        <v>615</v>
      </c>
      <c r="J95" s="66" t="str">
        <f aca="false">IF(AND(J$92+6&gt;$B95,J$92&lt;$C95),1,"")</f>
        <v/>
      </c>
      <c r="K95" s="66" t="str">
        <f aca="false">IF(AND(K$92+6&gt;$B95,K$92&lt;$C95),1,"")</f>
        <v/>
      </c>
      <c r="L95" s="66" t="str">
        <f aca="false">IF(AND(L$92+6&gt;$B95,L$92&lt;$C95),1,"")</f>
        <v/>
      </c>
      <c r="M95" s="66" t="str">
        <f aca="false">IF(AND(M$92+6&gt;$B95,M$92&lt;$C95),1,"")</f>
        <v/>
      </c>
      <c r="N95" s="66" t="str">
        <f aca="false">IF(AND(N$92+6&gt;$B95,N$92&lt;$C95),1,"")</f>
        <v/>
      </c>
      <c r="O95" s="66" t="str">
        <f aca="false">IF(AND(O$92+6&gt;$B95,O$92&lt;$C95),1,"")</f>
        <v/>
      </c>
      <c r="P95" s="66" t="str">
        <f aca="false">IF(AND(P$92+6&gt;$B95,P$92&lt;$C95),1,"")</f>
        <v/>
      </c>
      <c r="Q95" s="66" t="str">
        <f aca="false">IF(AND(Q$92+6&gt;$B95,Q$92&lt;$C95),1,"")</f>
        <v/>
      </c>
      <c r="R95" s="66" t="n">
        <f aca="false">IF(AND(R$92+6&gt;$B95,R$92&lt;$C95),1,"")</f>
        <v>1</v>
      </c>
      <c r="S95" s="66" t="n">
        <f aca="false">IF(AND(S$92+6&gt;$B95,S$92&lt;$C95),1,"")</f>
        <v>1</v>
      </c>
      <c r="T95" s="66" t="str">
        <f aca="false">IF(AND(T$92+6&gt;$B95,T$92&lt;$C95),1,"")</f>
        <v/>
      </c>
      <c r="U95" s="66" t="str">
        <f aca="false">IF(AND(U$92+6&gt;$B95,U$92&lt;$C95),1,"")</f>
        <v/>
      </c>
      <c r="V95" s="66" t="str">
        <f aca="false">IF(AND(V$92+6&gt;$B95,V$92&lt;$C95),1,"")</f>
        <v/>
      </c>
      <c r="W95" s="66" t="str">
        <f aca="false">IF(AND(W$92+6&gt;$B95,W$92&lt;$C95),1,"")</f>
        <v/>
      </c>
      <c r="X95" s="66" t="str">
        <f aca="false">IF(AND(X$92+6&gt;$B95,X$92&lt;$C95),1,"")</f>
        <v/>
      </c>
      <c r="Y95" s="66" t="str">
        <f aca="false">IF(AND(Y$92+6&gt;$B95,Y$92&lt;$C95),1,"")</f>
        <v/>
      </c>
      <c r="Z95" s="66" t="str">
        <f aca="false">IF(AND(Z$92+6&gt;$B95,Z$92&lt;$C95),1,"")</f>
        <v/>
      </c>
      <c r="AA95" s="66" t="str">
        <f aca="false">IF(AND(AA$92+6&gt;$B95,AA$92&lt;$C95),1,"")</f>
        <v/>
      </c>
      <c r="AB95" s="66" t="str">
        <f aca="false">IF(AND(AB$92+6&gt;$B95,AB$92&lt;$C95),1,"")</f>
        <v/>
      </c>
      <c r="AC95" s="66" t="str">
        <f aca="false">IF(AND(AC$92+6&gt;$B95,AC$92&lt;$C95),1,"")</f>
        <v/>
      </c>
      <c r="AD95" s="66" t="str">
        <f aca="false">IF(AND(AD$92+6&gt;$B95,AD$92&lt;$C95),1,"")</f>
        <v/>
      </c>
      <c r="AE95" s="66" t="str">
        <f aca="false">IF(AND(AE$92+6&gt;$B95,AE$92&lt;$C95),1,"")</f>
        <v/>
      </c>
      <c r="AF95" s="66" t="str">
        <f aca="false">IF(AND(AF$92+6&gt;$B95,AF$92&lt;$C95),1,"")</f>
        <v/>
      </c>
      <c r="AG95" s="66" t="str">
        <f aca="false">IF(AND(AG$92+6&gt;$B95,AG$92&lt;$C95),1,"")</f>
        <v/>
      </c>
      <c r="AH95" s="66" t="str">
        <f aca="false">IF(AND(AH$92+6&gt;$B95,AH$92&lt;$C95),1,"")</f>
        <v/>
      </c>
      <c r="AI95" s="66" t="str">
        <f aca="false">IF(AND(AI$92+6&gt;$B95,AI$92&lt;$C95),1,"")</f>
        <v/>
      </c>
      <c r="AJ95" s="66" t="str">
        <f aca="false">IF(AND(AJ$92+6&gt;$B95,AJ$92&lt;$C95),1,"")</f>
        <v/>
      </c>
      <c r="AK95" s="66" t="str">
        <f aca="false">IF(AND(AK$92+6&gt;$B95,AK$92&lt;$C95),1,"")</f>
        <v/>
      </c>
      <c r="AL95" s="66" t="str">
        <f aca="false">IF(AND(AL$92+6&gt;$B95,AL$92&lt;$C95),1,"")</f>
        <v/>
      </c>
      <c r="AM95" s="66" t="str">
        <f aca="false">IF(AND(AM$92+6&gt;$B95,AM$92&lt;$C95),1,"")</f>
        <v/>
      </c>
      <c r="AN95" s="66" t="str">
        <f aca="false">IF(AND(AN$92+6&gt;$B95,AN$92&lt;$C95),1,"")</f>
        <v/>
      </c>
      <c r="AO95" s="66" t="str">
        <f aca="false">IF(AND(AO$92+6&gt;$B95,AO$92&lt;$C95),1,"")</f>
        <v/>
      </c>
      <c r="AP95" s="66" t="str">
        <f aca="false">IF(AND(AP$92+6&gt;$B95,AP$92&lt;$C95),1,"")</f>
        <v/>
      </c>
      <c r="AQ95" s="66" t="str">
        <f aca="false">IF(AND(AQ$92+6&gt;$B95,AQ$92&lt;$C95),1,"")</f>
        <v/>
      </c>
      <c r="AR95" s="66" t="str">
        <f aca="false">IF(AND(AR$92+6&gt;$B95,AR$92&lt;$C95),1,"")</f>
        <v/>
      </c>
      <c r="AS95" s="66" t="str">
        <f aca="false">IF(AND(AS$92+6&gt;$B95,AS$92&lt;$C95),1,"")</f>
        <v/>
      </c>
      <c r="AT95" s="66" t="str">
        <f aca="false">IF(AND(AT$92+6&gt;$B95,AT$92&lt;$C95),1,"")</f>
        <v/>
      </c>
      <c r="AU95" s="66" t="str">
        <f aca="false">IF(AND(AU$92+6&gt;$B95,AU$92&lt;$C95),1,"")</f>
        <v/>
      </c>
      <c r="AV95" s="66" t="str">
        <f aca="false">IF(AND(AV$92+6&gt;$B95,AV$92&lt;$C95),1,"")</f>
        <v/>
      </c>
      <c r="AW95" s="66" t="str">
        <f aca="false">IF(AND(AW$92+6&gt;$B95,AW$92&lt;$C95),1,"")</f>
        <v/>
      </c>
      <c r="AX95" s="66" t="str">
        <f aca="false">IF(AND(AX$92+6&gt;$B95,AX$92&lt;$C95),1,"")</f>
        <v/>
      </c>
    </row>
    <row r="96" customFormat="false" ht="15" hidden="false" customHeight="false" outlineLevel="0" collapsed="false">
      <c r="A96" s="13" t="s">
        <v>616</v>
      </c>
      <c r="B96" s="15" t="n">
        <f aca="false">C95</f>
        <v>57</v>
      </c>
      <c r="C96" s="15" t="n">
        <f aca="false">B96+01_Inputs!$B$30</f>
        <v>75</v>
      </c>
      <c r="D96" s="13" t="s">
        <v>617</v>
      </c>
      <c r="H96" s="51" t="s">
        <v>618</v>
      </c>
      <c r="J96" s="66" t="str">
        <f aca="false">IF(AND(J$92+6&gt;$B96,J$92&lt;$C96),1,"")</f>
        <v/>
      </c>
      <c r="K96" s="66" t="str">
        <f aca="false">IF(AND(K$92+6&gt;$B96,K$92&lt;$C96),1,"")</f>
        <v/>
      </c>
      <c r="L96" s="66" t="str">
        <f aca="false">IF(AND(L$92+6&gt;$B96,L$92&lt;$C96),1,"")</f>
        <v/>
      </c>
      <c r="M96" s="66" t="str">
        <f aca="false">IF(AND(M$92+6&gt;$B96,M$92&lt;$C96),1,"")</f>
        <v/>
      </c>
      <c r="N96" s="66" t="str">
        <f aca="false">IF(AND(N$92+6&gt;$B96,N$92&lt;$C96),1,"")</f>
        <v/>
      </c>
      <c r="O96" s="66" t="str">
        <f aca="false">IF(AND(O$92+6&gt;$B96,O$92&lt;$C96),1,"")</f>
        <v/>
      </c>
      <c r="P96" s="66" t="str">
        <f aca="false">IF(AND(P$92+6&gt;$B96,P$92&lt;$C96),1,"")</f>
        <v/>
      </c>
      <c r="Q96" s="66" t="str">
        <f aca="false">IF(AND(Q$92+6&gt;$B96,Q$92&lt;$C96),1,"")</f>
        <v/>
      </c>
      <c r="R96" s="66" t="str">
        <f aca="false">IF(AND(R$92+6&gt;$B96,R$92&lt;$C96),1,"")</f>
        <v/>
      </c>
      <c r="S96" s="66" t="n">
        <f aca="false">IF(AND(S$92+6&gt;$B96,S$92&lt;$C96),1,"")</f>
        <v>1</v>
      </c>
      <c r="T96" s="66" t="n">
        <f aca="false">IF(AND(T$92+6&gt;$B96,T$92&lt;$C96),1,"")</f>
        <v>1</v>
      </c>
      <c r="U96" s="66" t="n">
        <f aca="false">IF(AND(U$92+6&gt;$B96,U$92&lt;$C96),1,"")</f>
        <v>1</v>
      </c>
      <c r="V96" s="66" t="n">
        <f aca="false">IF(AND(V$92+6&gt;$B96,V$92&lt;$C96),1,"")</f>
        <v>1</v>
      </c>
      <c r="W96" s="66" t="str">
        <f aca="false">IF(AND(W$92+6&gt;$B96,W$92&lt;$C96),1,"")</f>
        <v/>
      </c>
      <c r="X96" s="66" t="str">
        <f aca="false">IF(AND(X$92+6&gt;$B96,X$92&lt;$C96),1,"")</f>
        <v/>
      </c>
      <c r="Y96" s="66" t="str">
        <f aca="false">IF(AND(Y$92+6&gt;$B96,Y$92&lt;$C96),1,"")</f>
        <v/>
      </c>
      <c r="Z96" s="66" t="str">
        <f aca="false">IF(AND(Z$92+6&gt;$B96,Z$92&lt;$C96),1,"")</f>
        <v/>
      </c>
      <c r="AA96" s="66" t="str">
        <f aca="false">IF(AND(AA$92+6&gt;$B96,AA$92&lt;$C96),1,"")</f>
        <v/>
      </c>
      <c r="AB96" s="66" t="str">
        <f aca="false">IF(AND(AB$92+6&gt;$B96,AB$92&lt;$C96),1,"")</f>
        <v/>
      </c>
      <c r="AC96" s="66" t="str">
        <f aca="false">IF(AND(AC$92+6&gt;$B96,AC$92&lt;$C96),1,"")</f>
        <v/>
      </c>
      <c r="AD96" s="66" t="str">
        <f aca="false">IF(AND(AD$92+6&gt;$B96,AD$92&lt;$C96),1,"")</f>
        <v/>
      </c>
      <c r="AE96" s="66" t="str">
        <f aca="false">IF(AND(AE$92+6&gt;$B96,AE$92&lt;$C96),1,"")</f>
        <v/>
      </c>
      <c r="AF96" s="66" t="str">
        <f aca="false">IF(AND(AF$92+6&gt;$B96,AF$92&lt;$C96),1,"")</f>
        <v/>
      </c>
      <c r="AG96" s="66" t="str">
        <f aca="false">IF(AND(AG$92+6&gt;$B96,AG$92&lt;$C96),1,"")</f>
        <v/>
      </c>
      <c r="AH96" s="66" t="str">
        <f aca="false">IF(AND(AH$92+6&gt;$B96,AH$92&lt;$C96),1,"")</f>
        <v/>
      </c>
      <c r="AI96" s="66" t="str">
        <f aca="false">IF(AND(AI$92+6&gt;$B96,AI$92&lt;$C96),1,"")</f>
        <v/>
      </c>
      <c r="AJ96" s="66" t="str">
        <f aca="false">IF(AND(AJ$92+6&gt;$B96,AJ$92&lt;$C96),1,"")</f>
        <v/>
      </c>
      <c r="AK96" s="66" t="str">
        <f aca="false">IF(AND(AK$92+6&gt;$B96,AK$92&lt;$C96),1,"")</f>
        <v/>
      </c>
      <c r="AL96" s="66" t="str">
        <f aca="false">IF(AND(AL$92+6&gt;$B96,AL$92&lt;$C96),1,"")</f>
        <v/>
      </c>
      <c r="AM96" s="66" t="str">
        <f aca="false">IF(AND(AM$92+6&gt;$B96,AM$92&lt;$C96),1,"")</f>
        <v/>
      </c>
      <c r="AN96" s="66" t="str">
        <f aca="false">IF(AND(AN$92+6&gt;$B96,AN$92&lt;$C96),1,"")</f>
        <v/>
      </c>
      <c r="AO96" s="66" t="str">
        <f aca="false">IF(AND(AO$92+6&gt;$B96,AO$92&lt;$C96),1,"")</f>
        <v/>
      </c>
      <c r="AP96" s="66" t="str">
        <f aca="false">IF(AND(AP$92+6&gt;$B96,AP$92&lt;$C96),1,"")</f>
        <v/>
      </c>
      <c r="AQ96" s="66" t="str">
        <f aca="false">IF(AND(AQ$92+6&gt;$B96,AQ$92&lt;$C96),1,"")</f>
        <v/>
      </c>
      <c r="AR96" s="66" t="str">
        <f aca="false">IF(AND(AR$92+6&gt;$B96,AR$92&lt;$C96),1,"")</f>
        <v/>
      </c>
      <c r="AS96" s="66" t="str">
        <f aca="false">IF(AND(AS$92+6&gt;$B96,AS$92&lt;$C96),1,"")</f>
        <v/>
      </c>
      <c r="AT96" s="66" t="str">
        <f aca="false">IF(AND(AT$92+6&gt;$B96,AT$92&lt;$C96),1,"")</f>
        <v/>
      </c>
      <c r="AU96" s="66" t="str">
        <f aca="false">IF(AND(AU$92+6&gt;$B96,AU$92&lt;$C96),1,"")</f>
        <v/>
      </c>
      <c r="AV96" s="66" t="str">
        <f aca="false">IF(AND(AV$92+6&gt;$B96,AV$92&lt;$C96),1,"")</f>
        <v/>
      </c>
      <c r="AW96" s="66" t="str">
        <f aca="false">IF(AND(AW$92+6&gt;$B96,AW$92&lt;$C96),1,"")</f>
        <v/>
      </c>
      <c r="AX96" s="66" t="str">
        <f aca="false">IF(AND(AX$92+6&gt;$B96,AX$92&lt;$C96),1,"")</f>
        <v/>
      </c>
    </row>
    <row r="97" customFormat="false" ht="15" hidden="false" customHeight="false" outlineLevel="0" collapsed="false">
      <c r="A97" s="13" t="s">
        <v>619</v>
      </c>
      <c r="B97" s="15" t="n">
        <f aca="false">(03_Capacity_Model!$B$90+0*03_Capacity_Model!$B$91)+01_Inputs!$B$14</f>
        <v>32</v>
      </c>
      <c r="C97" s="15" t="n">
        <f aca="false">B97+01_Inputs!$B$15</f>
        <v>34</v>
      </c>
      <c r="D97" s="13" t="s">
        <v>620</v>
      </c>
      <c r="H97" s="51"/>
      <c r="J97" s="66" t="str">
        <f aca="false">IF(AND(J$92+6&gt;$B97,J$92&lt;$C97),1,"")</f>
        <v/>
      </c>
      <c r="K97" s="66" t="str">
        <f aca="false">IF(AND(K$92+6&gt;$B97,K$92&lt;$C97),1,"")</f>
        <v/>
      </c>
      <c r="L97" s="66" t="str">
        <f aca="false">IF(AND(L$92+6&gt;$B97,L$92&lt;$C97),1,"")</f>
        <v/>
      </c>
      <c r="M97" s="66" t="str">
        <f aca="false">IF(AND(M$92+6&gt;$B97,M$92&lt;$C97),1,"")</f>
        <v/>
      </c>
      <c r="N97" s="66" t="str">
        <f aca="false">IF(AND(N$92+6&gt;$B97,N$92&lt;$C97),1,"")</f>
        <v/>
      </c>
      <c r="O97" s="66" t="n">
        <f aca="false">IF(AND(O$92+6&gt;$B97,O$92&lt;$C97),1,"")</f>
        <v>1</v>
      </c>
      <c r="P97" s="66" t="str">
        <f aca="false">IF(AND(P$92+6&gt;$B97,P$92&lt;$C97),1,"")</f>
        <v/>
      </c>
      <c r="Q97" s="66" t="str">
        <f aca="false">IF(AND(Q$92+6&gt;$B97,Q$92&lt;$C97),1,"")</f>
        <v/>
      </c>
      <c r="R97" s="66" t="str">
        <f aca="false">IF(AND(R$92+6&gt;$B97,R$92&lt;$C97),1,"")</f>
        <v/>
      </c>
      <c r="S97" s="66" t="str">
        <f aca="false">IF(AND(S$92+6&gt;$B97,S$92&lt;$C97),1,"")</f>
        <v/>
      </c>
      <c r="T97" s="66" t="str">
        <f aca="false">IF(AND(T$92+6&gt;$B97,T$92&lt;$C97),1,"")</f>
        <v/>
      </c>
      <c r="U97" s="66" t="str">
        <f aca="false">IF(AND(U$92+6&gt;$B97,U$92&lt;$C97),1,"")</f>
        <v/>
      </c>
      <c r="V97" s="66" t="str">
        <f aca="false">IF(AND(V$92+6&gt;$B97,V$92&lt;$C97),1,"")</f>
        <v/>
      </c>
      <c r="W97" s="66" t="str">
        <f aca="false">IF(AND(W$92+6&gt;$B97,W$92&lt;$C97),1,"")</f>
        <v/>
      </c>
      <c r="X97" s="66" t="str">
        <f aca="false">IF(AND(X$92+6&gt;$B97,X$92&lt;$C97),1,"")</f>
        <v/>
      </c>
      <c r="Y97" s="66" t="str">
        <f aca="false">IF(AND(Y$92+6&gt;$B97,Y$92&lt;$C97),1,"")</f>
        <v/>
      </c>
      <c r="Z97" s="66" t="str">
        <f aca="false">IF(AND(Z$92+6&gt;$B97,Z$92&lt;$C97),1,"")</f>
        <v/>
      </c>
      <c r="AA97" s="66" t="str">
        <f aca="false">IF(AND(AA$92+6&gt;$B97,AA$92&lt;$C97),1,"")</f>
        <v/>
      </c>
      <c r="AB97" s="66" t="str">
        <f aca="false">IF(AND(AB$92+6&gt;$B97,AB$92&lt;$C97),1,"")</f>
        <v/>
      </c>
      <c r="AC97" s="66" t="str">
        <f aca="false">IF(AND(AC$92+6&gt;$B97,AC$92&lt;$C97),1,"")</f>
        <v/>
      </c>
      <c r="AD97" s="66" t="str">
        <f aca="false">IF(AND(AD$92+6&gt;$B97,AD$92&lt;$C97),1,"")</f>
        <v/>
      </c>
      <c r="AE97" s="66" t="str">
        <f aca="false">IF(AND(AE$92+6&gt;$B97,AE$92&lt;$C97),1,"")</f>
        <v/>
      </c>
      <c r="AF97" s="66" t="str">
        <f aca="false">IF(AND(AF$92+6&gt;$B97,AF$92&lt;$C97),1,"")</f>
        <v/>
      </c>
      <c r="AG97" s="66" t="str">
        <f aca="false">IF(AND(AG$92+6&gt;$B97,AG$92&lt;$C97),1,"")</f>
        <v/>
      </c>
      <c r="AH97" s="66" t="str">
        <f aca="false">IF(AND(AH$92+6&gt;$B97,AH$92&lt;$C97),1,"")</f>
        <v/>
      </c>
      <c r="AI97" s="66" t="str">
        <f aca="false">IF(AND(AI$92+6&gt;$B97,AI$92&lt;$C97),1,"")</f>
        <v/>
      </c>
      <c r="AJ97" s="66" t="str">
        <f aca="false">IF(AND(AJ$92+6&gt;$B97,AJ$92&lt;$C97),1,"")</f>
        <v/>
      </c>
      <c r="AK97" s="66" t="str">
        <f aca="false">IF(AND(AK$92+6&gt;$B97,AK$92&lt;$C97),1,"")</f>
        <v/>
      </c>
      <c r="AL97" s="66" t="str">
        <f aca="false">IF(AND(AL$92+6&gt;$B97,AL$92&lt;$C97),1,"")</f>
        <v/>
      </c>
      <c r="AM97" s="66" t="str">
        <f aca="false">IF(AND(AM$92+6&gt;$B97,AM$92&lt;$C97),1,"")</f>
        <v/>
      </c>
      <c r="AN97" s="66" t="str">
        <f aca="false">IF(AND(AN$92+6&gt;$B97,AN$92&lt;$C97),1,"")</f>
        <v/>
      </c>
      <c r="AO97" s="66" t="str">
        <f aca="false">IF(AND(AO$92+6&gt;$B97,AO$92&lt;$C97),1,"")</f>
        <v/>
      </c>
      <c r="AP97" s="66" t="str">
        <f aca="false">IF(AND(AP$92+6&gt;$B97,AP$92&lt;$C97),1,"")</f>
        <v/>
      </c>
      <c r="AQ97" s="66" t="str">
        <f aca="false">IF(AND(AQ$92+6&gt;$B97,AQ$92&lt;$C97),1,"")</f>
        <v/>
      </c>
      <c r="AR97" s="66" t="str">
        <f aca="false">IF(AND(AR$92+6&gt;$B97,AR$92&lt;$C97),1,"")</f>
        <v/>
      </c>
      <c r="AS97" s="66" t="str">
        <f aca="false">IF(AND(AS$92+6&gt;$B97,AS$92&lt;$C97),1,"")</f>
        <v/>
      </c>
      <c r="AT97" s="66" t="str">
        <f aca="false">IF(AND(AT$92+6&gt;$B97,AT$92&lt;$C97),1,"")</f>
        <v/>
      </c>
      <c r="AU97" s="66" t="str">
        <f aca="false">IF(AND(AU$92+6&gt;$B97,AU$92&lt;$C97),1,"")</f>
        <v/>
      </c>
      <c r="AV97" s="66" t="str">
        <f aca="false">IF(AND(AV$92+6&gt;$B97,AV$92&lt;$C97),1,"")</f>
        <v/>
      </c>
      <c r="AW97" s="66" t="str">
        <f aca="false">IF(AND(AW$92+6&gt;$B97,AW$92&lt;$C97),1,"")</f>
        <v/>
      </c>
      <c r="AX97" s="66" t="str">
        <f aca="false">IF(AND(AX$92+6&gt;$B97,AX$92&lt;$C97),1,"")</f>
        <v/>
      </c>
    </row>
    <row r="98" customFormat="false" ht="15" hidden="false" customHeight="false" outlineLevel="0" collapsed="false">
      <c r="A98" s="13" t="s">
        <v>621</v>
      </c>
      <c r="B98" s="15" t="n">
        <f aca="false">C97</f>
        <v>34</v>
      </c>
      <c r="C98" s="15" t="n">
        <f aca="false">B98+01_Inputs!$B$16</f>
        <v>79</v>
      </c>
      <c r="D98" s="13" t="s">
        <v>620</v>
      </c>
      <c r="H98" s="54" t="s">
        <v>505</v>
      </c>
      <c r="J98" s="66" t="str">
        <f aca="false">IF(AND(J$92+6&gt;$B98,J$92&lt;$C98),1,"")</f>
        <v/>
      </c>
      <c r="K98" s="66" t="str">
        <f aca="false">IF(AND(K$92+6&gt;$B98,K$92&lt;$C98),1,"")</f>
        <v/>
      </c>
      <c r="L98" s="66" t="str">
        <f aca="false">IF(AND(L$92+6&gt;$B98,L$92&lt;$C98),1,"")</f>
        <v/>
      </c>
      <c r="M98" s="66" t="str">
        <f aca="false">IF(AND(M$92+6&gt;$B98,M$92&lt;$C98),1,"")</f>
        <v/>
      </c>
      <c r="N98" s="66" t="str">
        <f aca="false">IF(AND(N$92+6&gt;$B98,N$92&lt;$C98),1,"")</f>
        <v/>
      </c>
      <c r="O98" s="66" t="n">
        <f aca="false">IF(AND(O$92+6&gt;$B98,O$92&lt;$C98),1,"")</f>
        <v>1</v>
      </c>
      <c r="P98" s="66" t="n">
        <f aca="false">IF(AND(P$92+6&gt;$B98,P$92&lt;$C98),1,"")</f>
        <v>1</v>
      </c>
      <c r="Q98" s="66" t="n">
        <f aca="false">IF(AND(Q$92+6&gt;$B98,Q$92&lt;$C98),1,"")</f>
        <v>1</v>
      </c>
      <c r="R98" s="66" t="n">
        <f aca="false">IF(AND(R$92+6&gt;$B98,R$92&lt;$C98),1,"")</f>
        <v>1</v>
      </c>
      <c r="S98" s="66" t="n">
        <f aca="false">IF(AND(S$92+6&gt;$B98,S$92&lt;$C98),1,"")</f>
        <v>1</v>
      </c>
      <c r="T98" s="66" t="n">
        <f aca="false">IF(AND(T$92+6&gt;$B98,T$92&lt;$C98),1,"")</f>
        <v>1</v>
      </c>
      <c r="U98" s="66" t="n">
        <f aca="false">IF(AND(U$92+6&gt;$B98,U$92&lt;$C98),1,"")</f>
        <v>1</v>
      </c>
      <c r="V98" s="66" t="n">
        <f aca="false">IF(AND(V$92+6&gt;$B98,V$92&lt;$C98),1,"")</f>
        <v>1</v>
      </c>
      <c r="W98" s="66" t="n">
        <f aca="false">IF(AND(W$92+6&gt;$B98,W$92&lt;$C98),1,"")</f>
        <v>1</v>
      </c>
      <c r="X98" s="66" t="str">
        <f aca="false">IF(AND(X$92+6&gt;$B98,X$92&lt;$C98),1,"")</f>
        <v/>
      </c>
      <c r="Y98" s="66" t="str">
        <f aca="false">IF(AND(Y$92+6&gt;$B98,Y$92&lt;$C98),1,"")</f>
        <v/>
      </c>
      <c r="Z98" s="66" t="str">
        <f aca="false">IF(AND(Z$92+6&gt;$B98,Z$92&lt;$C98),1,"")</f>
        <v/>
      </c>
      <c r="AA98" s="66" t="str">
        <f aca="false">IF(AND(AA$92+6&gt;$B98,AA$92&lt;$C98),1,"")</f>
        <v/>
      </c>
      <c r="AB98" s="66" t="str">
        <f aca="false">IF(AND(AB$92+6&gt;$B98,AB$92&lt;$C98),1,"")</f>
        <v/>
      </c>
      <c r="AC98" s="66" t="str">
        <f aca="false">IF(AND(AC$92+6&gt;$B98,AC$92&lt;$C98),1,"")</f>
        <v/>
      </c>
      <c r="AD98" s="66" t="str">
        <f aca="false">IF(AND(AD$92+6&gt;$B98,AD$92&lt;$C98),1,"")</f>
        <v/>
      </c>
      <c r="AE98" s="66" t="str">
        <f aca="false">IF(AND(AE$92+6&gt;$B98,AE$92&lt;$C98),1,"")</f>
        <v/>
      </c>
      <c r="AF98" s="66" t="str">
        <f aca="false">IF(AND(AF$92+6&gt;$B98,AF$92&lt;$C98),1,"")</f>
        <v/>
      </c>
      <c r="AG98" s="66" t="str">
        <f aca="false">IF(AND(AG$92+6&gt;$B98,AG$92&lt;$C98),1,"")</f>
        <v/>
      </c>
      <c r="AH98" s="66" t="str">
        <f aca="false">IF(AND(AH$92+6&gt;$B98,AH$92&lt;$C98),1,"")</f>
        <v/>
      </c>
      <c r="AI98" s="66" t="str">
        <f aca="false">IF(AND(AI$92+6&gt;$B98,AI$92&lt;$C98),1,"")</f>
        <v/>
      </c>
      <c r="AJ98" s="66" t="str">
        <f aca="false">IF(AND(AJ$92+6&gt;$B98,AJ$92&lt;$C98),1,"")</f>
        <v/>
      </c>
      <c r="AK98" s="66" t="str">
        <f aca="false">IF(AND(AK$92+6&gt;$B98,AK$92&lt;$C98),1,"")</f>
        <v/>
      </c>
      <c r="AL98" s="66" t="str">
        <f aca="false">IF(AND(AL$92+6&gt;$B98,AL$92&lt;$C98),1,"")</f>
        <v/>
      </c>
      <c r="AM98" s="66" t="str">
        <f aca="false">IF(AND(AM$92+6&gt;$B98,AM$92&lt;$C98),1,"")</f>
        <v/>
      </c>
      <c r="AN98" s="66" t="str">
        <f aca="false">IF(AND(AN$92+6&gt;$B98,AN$92&lt;$C98),1,"")</f>
        <v/>
      </c>
      <c r="AO98" s="66" t="str">
        <f aca="false">IF(AND(AO$92+6&gt;$B98,AO$92&lt;$C98),1,"")</f>
        <v/>
      </c>
      <c r="AP98" s="66" t="str">
        <f aca="false">IF(AND(AP$92+6&gt;$B98,AP$92&lt;$C98),1,"")</f>
        <v/>
      </c>
      <c r="AQ98" s="66" t="str">
        <f aca="false">IF(AND(AQ$92+6&gt;$B98,AQ$92&lt;$C98),1,"")</f>
        <v/>
      </c>
      <c r="AR98" s="66" t="str">
        <f aca="false">IF(AND(AR$92+6&gt;$B98,AR$92&lt;$C98),1,"")</f>
        <v/>
      </c>
      <c r="AS98" s="66" t="str">
        <f aca="false">IF(AND(AS$92+6&gt;$B98,AS$92&lt;$C98),1,"")</f>
        <v/>
      </c>
      <c r="AT98" s="66" t="str">
        <f aca="false">IF(AND(AT$92+6&gt;$B98,AT$92&lt;$C98),1,"")</f>
        <v/>
      </c>
      <c r="AU98" s="66" t="str">
        <f aca="false">IF(AND(AU$92+6&gt;$B98,AU$92&lt;$C98),1,"")</f>
        <v/>
      </c>
      <c r="AV98" s="66" t="str">
        <f aca="false">IF(AND(AV$92+6&gt;$B98,AV$92&lt;$C98),1,"")</f>
        <v/>
      </c>
      <c r="AW98" s="66" t="str">
        <f aca="false">IF(AND(AW$92+6&gt;$B98,AW$92&lt;$C98),1,"")</f>
        <v/>
      </c>
      <c r="AX98" s="66" t="str">
        <f aca="false">IF(AND(AX$92+6&gt;$B98,AX$92&lt;$C98),1,"")</f>
        <v/>
      </c>
    </row>
    <row r="99" customFormat="false" ht="15" hidden="false" customHeight="false" outlineLevel="0" collapsed="false">
      <c r="A99" s="13" t="s">
        <v>622</v>
      </c>
      <c r="B99" s="15" t="n">
        <f aca="false">C98</f>
        <v>79</v>
      </c>
      <c r="C99" s="15" t="n">
        <f aca="false">B99+01_Inputs!$B$17+01_Inputs!$B$18</f>
        <v>87</v>
      </c>
      <c r="D99" s="13" t="s">
        <v>614</v>
      </c>
      <c r="H99" s="54" t="s">
        <v>615</v>
      </c>
      <c r="J99" s="66" t="str">
        <f aca="false">IF(AND(J$92+6&gt;$B99,J$92&lt;$C99),1,"")</f>
        <v/>
      </c>
      <c r="K99" s="66" t="str">
        <f aca="false">IF(AND(K$92+6&gt;$B99,K$92&lt;$C99),1,"")</f>
        <v/>
      </c>
      <c r="L99" s="66" t="str">
        <f aca="false">IF(AND(L$92+6&gt;$B99,L$92&lt;$C99),1,"")</f>
        <v/>
      </c>
      <c r="M99" s="66" t="str">
        <f aca="false">IF(AND(M$92+6&gt;$B99,M$92&lt;$C99),1,"")</f>
        <v/>
      </c>
      <c r="N99" s="66" t="str">
        <f aca="false">IF(AND(N$92+6&gt;$B99,N$92&lt;$C99),1,"")</f>
        <v/>
      </c>
      <c r="O99" s="66" t="str">
        <f aca="false">IF(AND(O$92+6&gt;$B99,O$92&lt;$C99),1,"")</f>
        <v/>
      </c>
      <c r="P99" s="66" t="str">
        <f aca="false">IF(AND(P$92+6&gt;$B99,P$92&lt;$C99),1,"")</f>
        <v/>
      </c>
      <c r="Q99" s="66" t="str">
        <f aca="false">IF(AND(Q$92+6&gt;$B99,Q$92&lt;$C99),1,"")</f>
        <v/>
      </c>
      <c r="R99" s="66" t="str">
        <f aca="false">IF(AND(R$92+6&gt;$B99,R$92&lt;$C99),1,"")</f>
        <v/>
      </c>
      <c r="S99" s="66" t="str">
        <f aca="false">IF(AND(S$92+6&gt;$B99,S$92&lt;$C99),1,"")</f>
        <v/>
      </c>
      <c r="T99" s="66" t="str">
        <f aca="false">IF(AND(T$92+6&gt;$B99,T$92&lt;$C99),1,"")</f>
        <v/>
      </c>
      <c r="U99" s="66" t="str">
        <f aca="false">IF(AND(U$92+6&gt;$B99,U$92&lt;$C99),1,"")</f>
        <v/>
      </c>
      <c r="V99" s="66" t="str">
        <f aca="false">IF(AND(V$92+6&gt;$B99,V$92&lt;$C99),1,"")</f>
        <v/>
      </c>
      <c r="W99" s="66" t="n">
        <f aca="false">IF(AND(W$92+6&gt;$B99,W$92&lt;$C99),1,"")</f>
        <v>1</v>
      </c>
      <c r="X99" s="66" t="n">
        <f aca="false">IF(AND(X$92+6&gt;$B99,X$92&lt;$C99),1,"")</f>
        <v>1</v>
      </c>
      <c r="Y99" s="66" t="str">
        <f aca="false">IF(AND(Y$92+6&gt;$B99,Y$92&lt;$C99),1,"")</f>
        <v/>
      </c>
      <c r="Z99" s="66" t="str">
        <f aca="false">IF(AND(Z$92+6&gt;$B99,Z$92&lt;$C99),1,"")</f>
        <v/>
      </c>
      <c r="AA99" s="66" t="str">
        <f aca="false">IF(AND(AA$92+6&gt;$B99,AA$92&lt;$C99),1,"")</f>
        <v/>
      </c>
      <c r="AB99" s="66" t="str">
        <f aca="false">IF(AND(AB$92+6&gt;$B99,AB$92&lt;$C99),1,"")</f>
        <v/>
      </c>
      <c r="AC99" s="66" t="str">
        <f aca="false">IF(AND(AC$92+6&gt;$B99,AC$92&lt;$C99),1,"")</f>
        <v/>
      </c>
      <c r="AD99" s="66" t="str">
        <f aca="false">IF(AND(AD$92+6&gt;$B99,AD$92&lt;$C99),1,"")</f>
        <v/>
      </c>
      <c r="AE99" s="66" t="str">
        <f aca="false">IF(AND(AE$92+6&gt;$B99,AE$92&lt;$C99),1,"")</f>
        <v/>
      </c>
      <c r="AF99" s="66" t="str">
        <f aca="false">IF(AND(AF$92+6&gt;$B99,AF$92&lt;$C99),1,"")</f>
        <v/>
      </c>
      <c r="AG99" s="66" t="str">
        <f aca="false">IF(AND(AG$92+6&gt;$B99,AG$92&lt;$C99),1,"")</f>
        <v/>
      </c>
      <c r="AH99" s="66" t="str">
        <f aca="false">IF(AND(AH$92+6&gt;$B99,AH$92&lt;$C99),1,"")</f>
        <v/>
      </c>
      <c r="AI99" s="66" t="str">
        <f aca="false">IF(AND(AI$92+6&gt;$B99,AI$92&lt;$C99),1,"")</f>
        <v/>
      </c>
      <c r="AJ99" s="66" t="str">
        <f aca="false">IF(AND(AJ$92+6&gt;$B99,AJ$92&lt;$C99),1,"")</f>
        <v/>
      </c>
      <c r="AK99" s="66" t="str">
        <f aca="false">IF(AND(AK$92+6&gt;$B99,AK$92&lt;$C99),1,"")</f>
        <v/>
      </c>
      <c r="AL99" s="66" t="str">
        <f aca="false">IF(AND(AL$92+6&gt;$B99,AL$92&lt;$C99),1,"")</f>
        <v/>
      </c>
      <c r="AM99" s="66" t="str">
        <f aca="false">IF(AND(AM$92+6&gt;$B99,AM$92&lt;$C99),1,"")</f>
        <v/>
      </c>
      <c r="AN99" s="66" t="str">
        <f aca="false">IF(AND(AN$92+6&gt;$B99,AN$92&lt;$C99),1,"")</f>
        <v/>
      </c>
      <c r="AO99" s="66" t="str">
        <f aca="false">IF(AND(AO$92+6&gt;$B99,AO$92&lt;$C99),1,"")</f>
        <v/>
      </c>
      <c r="AP99" s="66" t="str">
        <f aca="false">IF(AND(AP$92+6&gt;$B99,AP$92&lt;$C99),1,"")</f>
        <v/>
      </c>
      <c r="AQ99" s="66" t="str">
        <f aca="false">IF(AND(AQ$92+6&gt;$B99,AQ$92&lt;$C99),1,"")</f>
        <v/>
      </c>
      <c r="AR99" s="66" t="str">
        <f aca="false">IF(AND(AR$92+6&gt;$B99,AR$92&lt;$C99),1,"")</f>
        <v/>
      </c>
      <c r="AS99" s="66" t="str">
        <f aca="false">IF(AND(AS$92+6&gt;$B99,AS$92&lt;$C99),1,"")</f>
        <v/>
      </c>
      <c r="AT99" s="66" t="str">
        <f aca="false">IF(AND(AT$92+6&gt;$B99,AT$92&lt;$C99),1,"")</f>
        <v/>
      </c>
      <c r="AU99" s="66" t="str">
        <f aca="false">IF(AND(AU$92+6&gt;$B99,AU$92&lt;$C99),1,"")</f>
        <v/>
      </c>
      <c r="AV99" s="66" t="str">
        <f aca="false">IF(AND(AV$92+6&gt;$B99,AV$92&lt;$C99),1,"")</f>
        <v/>
      </c>
      <c r="AW99" s="66" t="str">
        <f aca="false">IF(AND(AW$92+6&gt;$B99,AW$92&lt;$C99),1,"")</f>
        <v/>
      </c>
      <c r="AX99" s="66" t="str">
        <f aca="false">IF(AND(AX$92+6&gt;$B99,AX$92&lt;$C99),1,"")</f>
        <v/>
      </c>
    </row>
    <row r="100" customFormat="false" ht="15" hidden="false" customHeight="false" outlineLevel="0" collapsed="false">
      <c r="A100" s="13" t="s">
        <v>623</v>
      </c>
      <c r="B100" s="15" t="n">
        <f aca="false">C99</f>
        <v>87</v>
      </c>
      <c r="C100" s="15" t="n">
        <f aca="false">B100+01_Inputs!$B$30</f>
        <v>105</v>
      </c>
      <c r="D100" s="13" t="s">
        <v>617</v>
      </c>
      <c r="H100" s="51" t="s">
        <v>618</v>
      </c>
      <c r="J100" s="66" t="str">
        <f aca="false">IF(AND(J$92+6&gt;$B100,J$92&lt;$C100),1,"")</f>
        <v/>
      </c>
      <c r="K100" s="66" t="str">
        <f aca="false">IF(AND(K$92+6&gt;$B100,K$92&lt;$C100),1,"")</f>
        <v/>
      </c>
      <c r="L100" s="66" t="str">
        <f aca="false">IF(AND(L$92+6&gt;$B100,L$92&lt;$C100),1,"")</f>
        <v/>
      </c>
      <c r="M100" s="66" t="str">
        <f aca="false">IF(AND(M$92+6&gt;$B100,M$92&lt;$C100),1,"")</f>
        <v/>
      </c>
      <c r="N100" s="66" t="str">
        <f aca="false">IF(AND(N$92+6&gt;$B100,N$92&lt;$C100),1,"")</f>
        <v/>
      </c>
      <c r="O100" s="66" t="str">
        <f aca="false">IF(AND(O$92+6&gt;$B100,O$92&lt;$C100),1,"")</f>
        <v/>
      </c>
      <c r="P100" s="66" t="str">
        <f aca="false">IF(AND(P$92+6&gt;$B100,P$92&lt;$C100),1,"")</f>
        <v/>
      </c>
      <c r="Q100" s="66" t="str">
        <f aca="false">IF(AND(Q$92+6&gt;$B100,Q$92&lt;$C100),1,"")</f>
        <v/>
      </c>
      <c r="R100" s="66" t="str">
        <f aca="false">IF(AND(R$92+6&gt;$B100,R$92&lt;$C100),1,"")</f>
        <v/>
      </c>
      <c r="S100" s="66" t="str">
        <f aca="false">IF(AND(S$92+6&gt;$B100,S$92&lt;$C100),1,"")</f>
        <v/>
      </c>
      <c r="T100" s="66" t="str">
        <f aca="false">IF(AND(T$92+6&gt;$B100,T$92&lt;$C100),1,"")</f>
        <v/>
      </c>
      <c r="U100" s="66" t="str">
        <f aca="false">IF(AND(U$92+6&gt;$B100,U$92&lt;$C100),1,"")</f>
        <v/>
      </c>
      <c r="V100" s="66" t="str">
        <f aca="false">IF(AND(V$92+6&gt;$B100,V$92&lt;$C100),1,"")</f>
        <v/>
      </c>
      <c r="W100" s="66" t="str">
        <f aca="false">IF(AND(W$92+6&gt;$B100,W$92&lt;$C100),1,"")</f>
        <v/>
      </c>
      <c r="X100" s="66" t="n">
        <f aca="false">IF(AND(X$92+6&gt;$B100,X$92&lt;$C100),1,"")</f>
        <v>1</v>
      </c>
      <c r="Y100" s="66" t="n">
        <f aca="false">IF(AND(Y$92+6&gt;$B100,Y$92&lt;$C100),1,"")</f>
        <v>1</v>
      </c>
      <c r="Z100" s="66" t="n">
        <f aca="false">IF(AND(Z$92+6&gt;$B100,Z$92&lt;$C100),1,"")</f>
        <v>1</v>
      </c>
      <c r="AA100" s="66" t="n">
        <f aca="false">IF(AND(AA$92+6&gt;$B100,AA$92&lt;$C100),1,"")</f>
        <v>1</v>
      </c>
      <c r="AB100" s="66" t="str">
        <f aca="false">IF(AND(AB$92+6&gt;$B100,AB$92&lt;$C100),1,"")</f>
        <v/>
      </c>
      <c r="AC100" s="66" t="str">
        <f aca="false">IF(AND(AC$92+6&gt;$B100,AC$92&lt;$C100),1,"")</f>
        <v/>
      </c>
      <c r="AD100" s="66" t="str">
        <f aca="false">IF(AND(AD$92+6&gt;$B100,AD$92&lt;$C100),1,"")</f>
        <v/>
      </c>
      <c r="AE100" s="66" t="str">
        <f aca="false">IF(AND(AE$92+6&gt;$B100,AE$92&lt;$C100),1,"")</f>
        <v/>
      </c>
      <c r="AF100" s="66" t="str">
        <f aca="false">IF(AND(AF$92+6&gt;$B100,AF$92&lt;$C100),1,"")</f>
        <v/>
      </c>
      <c r="AG100" s="66" t="str">
        <f aca="false">IF(AND(AG$92+6&gt;$B100,AG$92&lt;$C100),1,"")</f>
        <v/>
      </c>
      <c r="AH100" s="66" t="str">
        <f aca="false">IF(AND(AH$92+6&gt;$B100,AH$92&lt;$C100),1,"")</f>
        <v/>
      </c>
      <c r="AI100" s="66" t="str">
        <f aca="false">IF(AND(AI$92+6&gt;$B100,AI$92&lt;$C100),1,"")</f>
        <v/>
      </c>
      <c r="AJ100" s="66" t="str">
        <f aca="false">IF(AND(AJ$92+6&gt;$B100,AJ$92&lt;$C100),1,"")</f>
        <v/>
      </c>
      <c r="AK100" s="66" t="str">
        <f aca="false">IF(AND(AK$92+6&gt;$B100,AK$92&lt;$C100),1,"")</f>
        <v/>
      </c>
      <c r="AL100" s="66" t="str">
        <f aca="false">IF(AND(AL$92+6&gt;$B100,AL$92&lt;$C100),1,"")</f>
        <v/>
      </c>
      <c r="AM100" s="66" t="str">
        <f aca="false">IF(AND(AM$92+6&gt;$B100,AM$92&lt;$C100),1,"")</f>
        <v/>
      </c>
      <c r="AN100" s="66" t="str">
        <f aca="false">IF(AND(AN$92+6&gt;$B100,AN$92&lt;$C100),1,"")</f>
        <v/>
      </c>
      <c r="AO100" s="66" t="str">
        <f aca="false">IF(AND(AO$92+6&gt;$B100,AO$92&lt;$C100),1,"")</f>
        <v/>
      </c>
      <c r="AP100" s="66" t="str">
        <f aca="false">IF(AND(AP$92+6&gt;$B100,AP$92&lt;$C100),1,"")</f>
        <v/>
      </c>
      <c r="AQ100" s="66" t="str">
        <f aca="false">IF(AND(AQ$92+6&gt;$B100,AQ$92&lt;$C100),1,"")</f>
        <v/>
      </c>
      <c r="AR100" s="66" t="str">
        <f aca="false">IF(AND(AR$92+6&gt;$B100,AR$92&lt;$C100),1,"")</f>
        <v/>
      </c>
      <c r="AS100" s="66" t="str">
        <f aca="false">IF(AND(AS$92+6&gt;$B100,AS$92&lt;$C100),1,"")</f>
        <v/>
      </c>
      <c r="AT100" s="66" t="str">
        <f aca="false">IF(AND(AT$92+6&gt;$B100,AT$92&lt;$C100),1,"")</f>
        <v/>
      </c>
      <c r="AU100" s="66" t="str">
        <f aca="false">IF(AND(AU$92+6&gt;$B100,AU$92&lt;$C100),1,"")</f>
        <v/>
      </c>
      <c r="AV100" s="66" t="str">
        <f aca="false">IF(AND(AV$92+6&gt;$B100,AV$92&lt;$C100),1,"")</f>
        <v/>
      </c>
      <c r="AW100" s="66" t="str">
        <f aca="false">IF(AND(AW$92+6&gt;$B100,AW$92&lt;$C100),1,"")</f>
        <v/>
      </c>
      <c r="AX100" s="66" t="str">
        <f aca="false">IF(AND(AX$92+6&gt;$B100,AX$92&lt;$C100),1,"")</f>
        <v/>
      </c>
    </row>
    <row r="101" customFormat="false" ht="15" hidden="false" customHeight="false" outlineLevel="0" collapsed="false">
      <c r="A101" s="13" t="s">
        <v>624</v>
      </c>
      <c r="B101" s="15" t="n">
        <f aca="false">(0+1*03_Capacity_Model!$B$91)+01_Inputs!$B$14</f>
        <v>72.5</v>
      </c>
      <c r="C101" s="15" t="n">
        <f aca="false">B101+01_Inputs!$B$15</f>
        <v>74.5</v>
      </c>
      <c r="D101" s="13" t="s">
        <v>611</v>
      </c>
      <c r="H101" s="51"/>
      <c r="J101" s="66" t="str">
        <f aca="false">IF(AND(J$92+6&gt;$B101,J$92&lt;$C101),1,"")</f>
        <v/>
      </c>
      <c r="K101" s="66" t="str">
        <f aca="false">IF(AND(K$92+6&gt;$B101,K$92&lt;$C101),1,"")</f>
        <v/>
      </c>
      <c r="L101" s="66" t="str">
        <f aca="false">IF(AND(L$92+6&gt;$B101,L$92&lt;$C101),1,"")</f>
        <v/>
      </c>
      <c r="M101" s="66" t="str">
        <f aca="false">IF(AND(M$92+6&gt;$B101,M$92&lt;$C101),1,"")</f>
        <v/>
      </c>
      <c r="N101" s="66" t="str">
        <f aca="false">IF(AND(N$92+6&gt;$B101,N$92&lt;$C101),1,"")</f>
        <v/>
      </c>
      <c r="O101" s="66" t="str">
        <f aca="false">IF(AND(O$92+6&gt;$B101,O$92&lt;$C101),1,"")</f>
        <v/>
      </c>
      <c r="P101" s="66" t="str">
        <f aca="false">IF(AND(P$92+6&gt;$B101,P$92&lt;$C101),1,"")</f>
        <v/>
      </c>
      <c r="Q101" s="66" t="str">
        <f aca="false">IF(AND(Q$92+6&gt;$B101,Q$92&lt;$C101),1,"")</f>
        <v/>
      </c>
      <c r="R101" s="66" t="str">
        <f aca="false">IF(AND(R$92+6&gt;$B101,R$92&lt;$C101),1,"")</f>
        <v/>
      </c>
      <c r="S101" s="66" t="str">
        <f aca="false">IF(AND(S$92+6&gt;$B101,S$92&lt;$C101),1,"")</f>
        <v/>
      </c>
      <c r="T101" s="66" t="str">
        <f aca="false">IF(AND(T$92+6&gt;$B101,T$92&lt;$C101),1,"")</f>
        <v/>
      </c>
      <c r="U101" s="66" t="str">
        <f aca="false">IF(AND(U$92+6&gt;$B101,U$92&lt;$C101),1,"")</f>
        <v/>
      </c>
      <c r="V101" s="66" t="n">
        <f aca="false">IF(AND(V$92+6&gt;$B101,V$92&lt;$C101),1,"")</f>
        <v>1</v>
      </c>
      <c r="W101" s="66" t="str">
        <f aca="false">IF(AND(W$92+6&gt;$B101,W$92&lt;$C101),1,"")</f>
        <v/>
      </c>
      <c r="X101" s="66" t="str">
        <f aca="false">IF(AND(X$92+6&gt;$B101,X$92&lt;$C101),1,"")</f>
        <v/>
      </c>
      <c r="Y101" s="66" t="str">
        <f aca="false">IF(AND(Y$92+6&gt;$B101,Y$92&lt;$C101),1,"")</f>
        <v/>
      </c>
      <c r="Z101" s="66" t="str">
        <f aca="false">IF(AND(Z$92+6&gt;$B101,Z$92&lt;$C101),1,"")</f>
        <v/>
      </c>
      <c r="AA101" s="66" t="str">
        <f aca="false">IF(AND(AA$92+6&gt;$B101,AA$92&lt;$C101),1,"")</f>
        <v/>
      </c>
      <c r="AB101" s="66" t="str">
        <f aca="false">IF(AND(AB$92+6&gt;$B101,AB$92&lt;$C101),1,"")</f>
        <v/>
      </c>
      <c r="AC101" s="66" t="str">
        <f aca="false">IF(AND(AC$92+6&gt;$B101,AC$92&lt;$C101),1,"")</f>
        <v/>
      </c>
      <c r="AD101" s="66" t="str">
        <f aca="false">IF(AND(AD$92+6&gt;$B101,AD$92&lt;$C101),1,"")</f>
        <v/>
      </c>
      <c r="AE101" s="66" t="str">
        <f aca="false">IF(AND(AE$92+6&gt;$B101,AE$92&lt;$C101),1,"")</f>
        <v/>
      </c>
      <c r="AF101" s="66" t="str">
        <f aca="false">IF(AND(AF$92+6&gt;$B101,AF$92&lt;$C101),1,"")</f>
        <v/>
      </c>
      <c r="AG101" s="66" t="str">
        <f aca="false">IF(AND(AG$92+6&gt;$B101,AG$92&lt;$C101),1,"")</f>
        <v/>
      </c>
      <c r="AH101" s="66" t="str">
        <f aca="false">IF(AND(AH$92+6&gt;$B101,AH$92&lt;$C101),1,"")</f>
        <v/>
      </c>
      <c r="AI101" s="66" t="str">
        <f aca="false">IF(AND(AI$92+6&gt;$B101,AI$92&lt;$C101),1,"")</f>
        <v/>
      </c>
      <c r="AJ101" s="66" t="str">
        <f aca="false">IF(AND(AJ$92+6&gt;$B101,AJ$92&lt;$C101),1,"")</f>
        <v/>
      </c>
      <c r="AK101" s="66" t="str">
        <f aca="false">IF(AND(AK$92+6&gt;$B101,AK$92&lt;$C101),1,"")</f>
        <v/>
      </c>
      <c r="AL101" s="66" t="str">
        <f aca="false">IF(AND(AL$92+6&gt;$B101,AL$92&lt;$C101),1,"")</f>
        <v/>
      </c>
      <c r="AM101" s="66" t="str">
        <f aca="false">IF(AND(AM$92+6&gt;$B101,AM$92&lt;$C101),1,"")</f>
        <v/>
      </c>
      <c r="AN101" s="66" t="str">
        <f aca="false">IF(AND(AN$92+6&gt;$B101,AN$92&lt;$C101),1,"")</f>
        <v/>
      </c>
      <c r="AO101" s="66" t="str">
        <f aca="false">IF(AND(AO$92+6&gt;$B101,AO$92&lt;$C101),1,"")</f>
        <v/>
      </c>
      <c r="AP101" s="66" t="str">
        <f aca="false">IF(AND(AP$92+6&gt;$B101,AP$92&lt;$C101),1,"")</f>
        <v/>
      </c>
      <c r="AQ101" s="66" t="str">
        <f aca="false">IF(AND(AQ$92+6&gt;$B101,AQ$92&lt;$C101),1,"")</f>
        <v/>
      </c>
      <c r="AR101" s="66" t="str">
        <f aca="false">IF(AND(AR$92+6&gt;$B101,AR$92&lt;$C101),1,"")</f>
        <v/>
      </c>
      <c r="AS101" s="66" t="str">
        <f aca="false">IF(AND(AS$92+6&gt;$B101,AS$92&lt;$C101),1,"")</f>
        <v/>
      </c>
      <c r="AT101" s="66" t="str">
        <f aca="false">IF(AND(AT$92+6&gt;$B101,AT$92&lt;$C101),1,"")</f>
        <v/>
      </c>
      <c r="AU101" s="66" t="str">
        <f aca="false">IF(AND(AU$92+6&gt;$B101,AU$92&lt;$C101),1,"")</f>
        <v/>
      </c>
      <c r="AV101" s="66" t="str">
        <f aca="false">IF(AND(AV$92+6&gt;$B101,AV$92&lt;$C101),1,"")</f>
        <v/>
      </c>
      <c r="AW101" s="66" t="str">
        <f aca="false">IF(AND(AW$92+6&gt;$B101,AW$92&lt;$C101),1,"")</f>
        <v/>
      </c>
      <c r="AX101" s="66" t="str">
        <f aca="false">IF(AND(AX$92+6&gt;$B101,AX$92&lt;$C101),1,"")</f>
        <v/>
      </c>
    </row>
    <row r="102" customFormat="false" ht="15" hidden="false" customHeight="false" outlineLevel="0" collapsed="false">
      <c r="A102" s="13" t="s">
        <v>625</v>
      </c>
      <c r="B102" s="15" t="n">
        <f aca="false">C101</f>
        <v>74.5</v>
      </c>
      <c r="C102" s="15" t="n">
        <f aca="false">B102+01_Inputs!$B$16</f>
        <v>119.5</v>
      </c>
      <c r="D102" s="13" t="s">
        <v>611</v>
      </c>
      <c r="H102" s="54" t="s">
        <v>505</v>
      </c>
      <c r="J102" s="66" t="str">
        <f aca="false">IF(AND(J$92+6&gt;$B102,J$92&lt;$C102),1,"")</f>
        <v/>
      </c>
      <c r="K102" s="66" t="str">
        <f aca="false">IF(AND(K$92+6&gt;$B102,K$92&lt;$C102),1,"")</f>
        <v/>
      </c>
      <c r="L102" s="66" t="str">
        <f aca="false">IF(AND(L$92+6&gt;$B102,L$92&lt;$C102),1,"")</f>
        <v/>
      </c>
      <c r="M102" s="66" t="str">
        <f aca="false">IF(AND(M$92+6&gt;$B102,M$92&lt;$C102),1,"")</f>
        <v/>
      </c>
      <c r="N102" s="66" t="str">
        <f aca="false">IF(AND(N$92+6&gt;$B102,N$92&lt;$C102),1,"")</f>
        <v/>
      </c>
      <c r="O102" s="66" t="str">
        <f aca="false">IF(AND(O$92+6&gt;$B102,O$92&lt;$C102),1,"")</f>
        <v/>
      </c>
      <c r="P102" s="66" t="str">
        <f aca="false">IF(AND(P$92+6&gt;$B102,P$92&lt;$C102),1,"")</f>
        <v/>
      </c>
      <c r="Q102" s="66" t="str">
        <f aca="false">IF(AND(Q$92+6&gt;$B102,Q$92&lt;$C102),1,"")</f>
        <v/>
      </c>
      <c r="R102" s="66" t="str">
        <f aca="false">IF(AND(R$92+6&gt;$B102,R$92&lt;$C102),1,"")</f>
        <v/>
      </c>
      <c r="S102" s="66" t="str">
        <f aca="false">IF(AND(S$92+6&gt;$B102,S$92&lt;$C102),1,"")</f>
        <v/>
      </c>
      <c r="T102" s="66" t="str">
        <f aca="false">IF(AND(T$92+6&gt;$B102,T$92&lt;$C102),1,"")</f>
        <v/>
      </c>
      <c r="U102" s="66" t="str">
        <f aca="false">IF(AND(U$92+6&gt;$B102,U$92&lt;$C102),1,"")</f>
        <v/>
      </c>
      <c r="V102" s="66" t="n">
        <f aca="false">IF(AND(V$92+6&gt;$B102,V$92&lt;$C102),1,"")</f>
        <v>1</v>
      </c>
      <c r="W102" s="66" t="n">
        <f aca="false">IF(AND(W$92+6&gt;$B102,W$92&lt;$C102),1,"")</f>
        <v>1</v>
      </c>
      <c r="X102" s="66" t="n">
        <f aca="false">IF(AND(X$92+6&gt;$B102,X$92&lt;$C102),1,"")</f>
        <v>1</v>
      </c>
      <c r="Y102" s="66" t="n">
        <f aca="false">IF(AND(Y$92+6&gt;$B102,Y$92&lt;$C102),1,"")</f>
        <v>1</v>
      </c>
      <c r="Z102" s="66" t="n">
        <f aca="false">IF(AND(Z$92+6&gt;$B102,Z$92&lt;$C102),1,"")</f>
        <v>1</v>
      </c>
      <c r="AA102" s="66" t="n">
        <f aca="false">IF(AND(AA$92+6&gt;$B102,AA$92&lt;$C102),1,"")</f>
        <v>1</v>
      </c>
      <c r="AB102" s="66" t="n">
        <f aca="false">IF(AND(AB$92+6&gt;$B102,AB$92&lt;$C102),1,"")</f>
        <v>1</v>
      </c>
      <c r="AC102" s="66" t="n">
        <f aca="false">IF(AND(AC$92+6&gt;$B102,AC$92&lt;$C102),1,"")</f>
        <v>1</v>
      </c>
      <c r="AD102" s="66" t="str">
        <f aca="false">IF(AND(AD$92+6&gt;$B102,AD$92&lt;$C102),1,"")</f>
        <v/>
      </c>
      <c r="AE102" s="66" t="str">
        <f aca="false">IF(AND(AE$92+6&gt;$B102,AE$92&lt;$C102),1,"")</f>
        <v/>
      </c>
      <c r="AF102" s="66" t="str">
        <f aca="false">IF(AND(AF$92+6&gt;$B102,AF$92&lt;$C102),1,"")</f>
        <v/>
      </c>
      <c r="AG102" s="66" t="str">
        <f aca="false">IF(AND(AG$92+6&gt;$B102,AG$92&lt;$C102),1,"")</f>
        <v/>
      </c>
      <c r="AH102" s="66" t="str">
        <f aca="false">IF(AND(AH$92+6&gt;$B102,AH$92&lt;$C102),1,"")</f>
        <v/>
      </c>
      <c r="AI102" s="66" t="str">
        <f aca="false">IF(AND(AI$92+6&gt;$B102,AI$92&lt;$C102),1,"")</f>
        <v/>
      </c>
      <c r="AJ102" s="66" t="str">
        <f aca="false">IF(AND(AJ$92+6&gt;$B102,AJ$92&lt;$C102),1,"")</f>
        <v/>
      </c>
      <c r="AK102" s="66" t="str">
        <f aca="false">IF(AND(AK$92+6&gt;$B102,AK$92&lt;$C102),1,"")</f>
        <v/>
      </c>
      <c r="AL102" s="66" t="str">
        <f aca="false">IF(AND(AL$92+6&gt;$B102,AL$92&lt;$C102),1,"")</f>
        <v/>
      </c>
      <c r="AM102" s="66" t="str">
        <f aca="false">IF(AND(AM$92+6&gt;$B102,AM$92&lt;$C102),1,"")</f>
        <v/>
      </c>
      <c r="AN102" s="66" t="str">
        <f aca="false">IF(AND(AN$92+6&gt;$B102,AN$92&lt;$C102),1,"")</f>
        <v/>
      </c>
      <c r="AO102" s="66" t="str">
        <f aca="false">IF(AND(AO$92+6&gt;$B102,AO$92&lt;$C102),1,"")</f>
        <v/>
      </c>
      <c r="AP102" s="66" t="str">
        <f aca="false">IF(AND(AP$92+6&gt;$B102,AP$92&lt;$C102),1,"")</f>
        <v/>
      </c>
      <c r="AQ102" s="66" t="str">
        <f aca="false">IF(AND(AQ$92+6&gt;$B102,AQ$92&lt;$C102),1,"")</f>
        <v/>
      </c>
      <c r="AR102" s="66" t="str">
        <f aca="false">IF(AND(AR$92+6&gt;$B102,AR$92&lt;$C102),1,"")</f>
        <v/>
      </c>
      <c r="AS102" s="66" t="str">
        <f aca="false">IF(AND(AS$92+6&gt;$B102,AS$92&lt;$C102),1,"")</f>
        <v/>
      </c>
      <c r="AT102" s="66" t="str">
        <f aca="false">IF(AND(AT$92+6&gt;$B102,AT$92&lt;$C102),1,"")</f>
        <v/>
      </c>
      <c r="AU102" s="66" t="str">
        <f aca="false">IF(AND(AU$92+6&gt;$B102,AU$92&lt;$C102),1,"")</f>
        <v/>
      </c>
      <c r="AV102" s="66" t="str">
        <f aca="false">IF(AND(AV$92+6&gt;$B102,AV$92&lt;$C102),1,"")</f>
        <v/>
      </c>
      <c r="AW102" s="66" t="str">
        <f aca="false">IF(AND(AW$92+6&gt;$B102,AW$92&lt;$C102),1,"")</f>
        <v/>
      </c>
      <c r="AX102" s="66" t="str">
        <f aca="false">IF(AND(AX$92+6&gt;$B102,AX$92&lt;$C102),1,"")</f>
        <v/>
      </c>
    </row>
    <row r="103" customFormat="false" ht="15" hidden="false" customHeight="false" outlineLevel="0" collapsed="false">
      <c r="A103" s="13" t="s">
        <v>626</v>
      </c>
      <c r="B103" s="15" t="n">
        <f aca="false">C102</f>
        <v>119.5</v>
      </c>
      <c r="C103" s="15" t="n">
        <f aca="false">B103+01_Inputs!$B$17+01_Inputs!$B$18</f>
        <v>127.5</v>
      </c>
      <c r="D103" s="13" t="s">
        <v>614</v>
      </c>
      <c r="H103" s="54" t="s">
        <v>615</v>
      </c>
      <c r="J103" s="66" t="str">
        <f aca="false">IF(AND(J$92+6&gt;$B103,J$92&lt;$C103),1,"")</f>
        <v/>
      </c>
      <c r="K103" s="66" t="str">
        <f aca="false">IF(AND(K$92+6&gt;$B103,K$92&lt;$C103),1,"")</f>
        <v/>
      </c>
      <c r="L103" s="66" t="str">
        <f aca="false">IF(AND(L$92+6&gt;$B103,L$92&lt;$C103),1,"")</f>
        <v/>
      </c>
      <c r="M103" s="66" t="str">
        <f aca="false">IF(AND(M$92+6&gt;$B103,M$92&lt;$C103),1,"")</f>
        <v/>
      </c>
      <c r="N103" s="66" t="str">
        <f aca="false">IF(AND(N$92+6&gt;$B103,N$92&lt;$C103),1,"")</f>
        <v/>
      </c>
      <c r="O103" s="66" t="str">
        <f aca="false">IF(AND(O$92+6&gt;$B103,O$92&lt;$C103),1,"")</f>
        <v/>
      </c>
      <c r="P103" s="66" t="str">
        <f aca="false">IF(AND(P$92+6&gt;$B103,P$92&lt;$C103),1,"")</f>
        <v/>
      </c>
      <c r="Q103" s="66" t="str">
        <f aca="false">IF(AND(Q$92+6&gt;$B103,Q$92&lt;$C103),1,"")</f>
        <v/>
      </c>
      <c r="R103" s="66" t="str">
        <f aca="false">IF(AND(R$92+6&gt;$B103,R$92&lt;$C103),1,"")</f>
        <v/>
      </c>
      <c r="S103" s="66" t="str">
        <f aca="false">IF(AND(S$92+6&gt;$B103,S$92&lt;$C103),1,"")</f>
        <v/>
      </c>
      <c r="T103" s="66" t="str">
        <f aca="false">IF(AND(T$92+6&gt;$B103,T$92&lt;$C103),1,"")</f>
        <v/>
      </c>
      <c r="U103" s="66" t="str">
        <f aca="false">IF(AND(U$92+6&gt;$B103,U$92&lt;$C103),1,"")</f>
        <v/>
      </c>
      <c r="V103" s="66" t="str">
        <f aca="false">IF(AND(V$92+6&gt;$B103,V$92&lt;$C103),1,"")</f>
        <v/>
      </c>
      <c r="W103" s="66" t="str">
        <f aca="false">IF(AND(W$92+6&gt;$B103,W$92&lt;$C103),1,"")</f>
        <v/>
      </c>
      <c r="X103" s="66" t="str">
        <f aca="false">IF(AND(X$92+6&gt;$B103,X$92&lt;$C103),1,"")</f>
        <v/>
      </c>
      <c r="Y103" s="66" t="str">
        <f aca="false">IF(AND(Y$92+6&gt;$B103,Y$92&lt;$C103),1,"")</f>
        <v/>
      </c>
      <c r="Z103" s="66" t="str">
        <f aca="false">IF(AND(Z$92+6&gt;$B103,Z$92&lt;$C103),1,"")</f>
        <v/>
      </c>
      <c r="AA103" s="66" t="str">
        <f aca="false">IF(AND(AA$92+6&gt;$B103,AA$92&lt;$C103),1,"")</f>
        <v/>
      </c>
      <c r="AB103" s="66" t="str">
        <f aca="false">IF(AND(AB$92+6&gt;$B103,AB$92&lt;$C103),1,"")</f>
        <v/>
      </c>
      <c r="AC103" s="66" t="n">
        <f aca="false">IF(AND(AC$92+6&gt;$B103,AC$92&lt;$C103),1,"")</f>
        <v>1</v>
      </c>
      <c r="AD103" s="66" t="n">
        <f aca="false">IF(AND(AD$92+6&gt;$B103,AD$92&lt;$C103),1,"")</f>
        <v>1</v>
      </c>
      <c r="AE103" s="66" t="n">
        <f aca="false">IF(AND(AE$92+6&gt;$B103,AE$92&lt;$C103),1,"")</f>
        <v>1</v>
      </c>
      <c r="AF103" s="66" t="str">
        <f aca="false">IF(AND(AF$92+6&gt;$B103,AF$92&lt;$C103),1,"")</f>
        <v/>
      </c>
      <c r="AG103" s="66" t="str">
        <f aca="false">IF(AND(AG$92+6&gt;$B103,AG$92&lt;$C103),1,"")</f>
        <v/>
      </c>
      <c r="AH103" s="66" t="str">
        <f aca="false">IF(AND(AH$92+6&gt;$B103,AH$92&lt;$C103),1,"")</f>
        <v/>
      </c>
      <c r="AI103" s="66" t="str">
        <f aca="false">IF(AND(AI$92+6&gt;$B103,AI$92&lt;$C103),1,"")</f>
        <v/>
      </c>
      <c r="AJ103" s="66" t="str">
        <f aca="false">IF(AND(AJ$92+6&gt;$B103,AJ$92&lt;$C103),1,"")</f>
        <v/>
      </c>
      <c r="AK103" s="66" t="str">
        <f aca="false">IF(AND(AK$92+6&gt;$B103,AK$92&lt;$C103),1,"")</f>
        <v/>
      </c>
      <c r="AL103" s="66" t="str">
        <f aca="false">IF(AND(AL$92+6&gt;$B103,AL$92&lt;$C103),1,"")</f>
        <v/>
      </c>
      <c r="AM103" s="66" t="str">
        <f aca="false">IF(AND(AM$92+6&gt;$B103,AM$92&lt;$C103),1,"")</f>
        <v/>
      </c>
      <c r="AN103" s="66" t="str">
        <f aca="false">IF(AND(AN$92+6&gt;$B103,AN$92&lt;$C103),1,"")</f>
        <v/>
      </c>
      <c r="AO103" s="66" t="str">
        <f aca="false">IF(AND(AO$92+6&gt;$B103,AO$92&lt;$C103),1,"")</f>
        <v/>
      </c>
      <c r="AP103" s="66" t="str">
        <f aca="false">IF(AND(AP$92+6&gt;$B103,AP$92&lt;$C103),1,"")</f>
        <v/>
      </c>
      <c r="AQ103" s="66" t="str">
        <f aca="false">IF(AND(AQ$92+6&gt;$B103,AQ$92&lt;$C103),1,"")</f>
        <v/>
      </c>
      <c r="AR103" s="66" t="str">
        <f aca="false">IF(AND(AR$92+6&gt;$B103,AR$92&lt;$C103),1,"")</f>
        <v/>
      </c>
      <c r="AS103" s="66" t="str">
        <f aca="false">IF(AND(AS$92+6&gt;$B103,AS$92&lt;$C103),1,"")</f>
        <v/>
      </c>
      <c r="AT103" s="66" t="str">
        <f aca="false">IF(AND(AT$92+6&gt;$B103,AT$92&lt;$C103),1,"")</f>
        <v/>
      </c>
      <c r="AU103" s="66" t="str">
        <f aca="false">IF(AND(AU$92+6&gt;$B103,AU$92&lt;$C103),1,"")</f>
        <v/>
      </c>
      <c r="AV103" s="66" t="str">
        <f aca="false">IF(AND(AV$92+6&gt;$B103,AV$92&lt;$C103),1,"")</f>
        <v/>
      </c>
      <c r="AW103" s="66" t="str">
        <f aca="false">IF(AND(AW$92+6&gt;$B103,AW$92&lt;$C103),1,"")</f>
        <v/>
      </c>
      <c r="AX103" s="66" t="str">
        <f aca="false">IF(AND(AX$92+6&gt;$B103,AX$92&lt;$C103),1,"")</f>
        <v/>
      </c>
    </row>
    <row r="104" customFormat="false" ht="15" hidden="false" customHeight="false" outlineLevel="0" collapsed="false">
      <c r="A104" s="13" t="s">
        <v>627</v>
      </c>
      <c r="B104" s="15" t="n">
        <f aca="false">C103</f>
        <v>127.5</v>
      </c>
      <c r="C104" s="15" t="n">
        <f aca="false">B104+01_Inputs!$B$30</f>
        <v>145.5</v>
      </c>
      <c r="D104" s="13" t="s">
        <v>617</v>
      </c>
      <c r="H104" s="51" t="s">
        <v>618</v>
      </c>
      <c r="J104" s="66" t="str">
        <f aca="false">IF(AND(J$92+6&gt;$B104,J$92&lt;$C104),1,"")</f>
        <v/>
      </c>
      <c r="K104" s="66" t="str">
        <f aca="false">IF(AND(K$92+6&gt;$B104,K$92&lt;$C104),1,"")</f>
        <v/>
      </c>
      <c r="L104" s="66" t="str">
        <f aca="false">IF(AND(L$92+6&gt;$B104,L$92&lt;$C104),1,"")</f>
        <v/>
      </c>
      <c r="M104" s="66" t="str">
        <f aca="false">IF(AND(M$92+6&gt;$B104,M$92&lt;$C104),1,"")</f>
        <v/>
      </c>
      <c r="N104" s="66" t="str">
        <f aca="false">IF(AND(N$92+6&gt;$B104,N$92&lt;$C104),1,"")</f>
        <v/>
      </c>
      <c r="O104" s="66" t="str">
        <f aca="false">IF(AND(O$92+6&gt;$B104,O$92&lt;$C104),1,"")</f>
        <v/>
      </c>
      <c r="P104" s="66" t="str">
        <f aca="false">IF(AND(P$92+6&gt;$B104,P$92&lt;$C104),1,"")</f>
        <v/>
      </c>
      <c r="Q104" s="66" t="str">
        <f aca="false">IF(AND(Q$92+6&gt;$B104,Q$92&lt;$C104),1,"")</f>
        <v/>
      </c>
      <c r="R104" s="66" t="str">
        <f aca="false">IF(AND(R$92+6&gt;$B104,R$92&lt;$C104),1,"")</f>
        <v/>
      </c>
      <c r="S104" s="66" t="str">
        <f aca="false">IF(AND(S$92+6&gt;$B104,S$92&lt;$C104),1,"")</f>
        <v/>
      </c>
      <c r="T104" s="66" t="str">
        <f aca="false">IF(AND(T$92+6&gt;$B104,T$92&lt;$C104),1,"")</f>
        <v/>
      </c>
      <c r="U104" s="66" t="str">
        <f aca="false">IF(AND(U$92+6&gt;$B104,U$92&lt;$C104),1,"")</f>
        <v/>
      </c>
      <c r="V104" s="66" t="str">
        <f aca="false">IF(AND(V$92+6&gt;$B104,V$92&lt;$C104),1,"")</f>
        <v/>
      </c>
      <c r="W104" s="66" t="str">
        <f aca="false">IF(AND(W$92+6&gt;$B104,W$92&lt;$C104),1,"")</f>
        <v/>
      </c>
      <c r="X104" s="66" t="str">
        <f aca="false">IF(AND(X$92+6&gt;$B104,X$92&lt;$C104),1,"")</f>
        <v/>
      </c>
      <c r="Y104" s="66" t="str">
        <f aca="false">IF(AND(Y$92+6&gt;$B104,Y$92&lt;$C104),1,"")</f>
        <v/>
      </c>
      <c r="Z104" s="66" t="str">
        <f aca="false">IF(AND(Z$92+6&gt;$B104,Z$92&lt;$C104),1,"")</f>
        <v/>
      </c>
      <c r="AA104" s="66" t="str">
        <f aca="false">IF(AND(AA$92+6&gt;$B104,AA$92&lt;$C104),1,"")</f>
        <v/>
      </c>
      <c r="AB104" s="66" t="str">
        <f aca="false">IF(AND(AB$92+6&gt;$B104,AB$92&lt;$C104),1,"")</f>
        <v/>
      </c>
      <c r="AC104" s="66" t="str">
        <f aca="false">IF(AND(AC$92+6&gt;$B104,AC$92&lt;$C104),1,"")</f>
        <v/>
      </c>
      <c r="AD104" s="66" t="str">
        <f aca="false">IF(AND(AD$92+6&gt;$B104,AD$92&lt;$C104),1,"")</f>
        <v/>
      </c>
      <c r="AE104" s="66" t="n">
        <f aca="false">IF(AND(AE$92+6&gt;$B104,AE$92&lt;$C104),1,"")</f>
        <v>1</v>
      </c>
      <c r="AF104" s="66" t="n">
        <f aca="false">IF(AND(AF$92+6&gt;$B104,AF$92&lt;$C104),1,"")</f>
        <v>1</v>
      </c>
      <c r="AG104" s="66" t="n">
        <f aca="false">IF(AND(AG$92+6&gt;$B104,AG$92&lt;$C104),1,"")</f>
        <v>1</v>
      </c>
      <c r="AH104" s="66" t="n">
        <f aca="false">IF(AND(AH$92+6&gt;$B104,AH$92&lt;$C104),1,"")</f>
        <v>1</v>
      </c>
      <c r="AI104" s="66" t="str">
        <f aca="false">IF(AND(AI$92+6&gt;$B104,AI$92&lt;$C104),1,"")</f>
        <v/>
      </c>
      <c r="AJ104" s="66" t="str">
        <f aca="false">IF(AND(AJ$92+6&gt;$B104,AJ$92&lt;$C104),1,"")</f>
        <v/>
      </c>
      <c r="AK104" s="66" t="str">
        <f aca="false">IF(AND(AK$92+6&gt;$B104,AK$92&lt;$C104),1,"")</f>
        <v/>
      </c>
      <c r="AL104" s="66" t="str">
        <f aca="false">IF(AND(AL$92+6&gt;$B104,AL$92&lt;$C104),1,"")</f>
        <v/>
      </c>
      <c r="AM104" s="66" t="str">
        <f aca="false">IF(AND(AM$92+6&gt;$B104,AM$92&lt;$C104),1,"")</f>
        <v/>
      </c>
      <c r="AN104" s="66" t="str">
        <f aca="false">IF(AND(AN$92+6&gt;$B104,AN$92&lt;$C104),1,"")</f>
        <v/>
      </c>
      <c r="AO104" s="66" t="str">
        <f aca="false">IF(AND(AO$92+6&gt;$B104,AO$92&lt;$C104),1,"")</f>
        <v/>
      </c>
      <c r="AP104" s="66" t="str">
        <f aca="false">IF(AND(AP$92+6&gt;$B104,AP$92&lt;$C104),1,"")</f>
        <v/>
      </c>
      <c r="AQ104" s="66" t="str">
        <f aca="false">IF(AND(AQ$92+6&gt;$B104,AQ$92&lt;$C104),1,"")</f>
        <v/>
      </c>
      <c r="AR104" s="66" t="str">
        <f aca="false">IF(AND(AR$92+6&gt;$B104,AR$92&lt;$C104),1,"")</f>
        <v/>
      </c>
      <c r="AS104" s="66" t="str">
        <f aca="false">IF(AND(AS$92+6&gt;$B104,AS$92&lt;$C104),1,"")</f>
        <v/>
      </c>
      <c r="AT104" s="66" t="str">
        <f aca="false">IF(AND(AT$92+6&gt;$B104,AT$92&lt;$C104),1,"")</f>
        <v/>
      </c>
      <c r="AU104" s="66" t="str">
        <f aca="false">IF(AND(AU$92+6&gt;$B104,AU$92&lt;$C104),1,"")</f>
        <v/>
      </c>
      <c r="AV104" s="66" t="str">
        <f aca="false">IF(AND(AV$92+6&gt;$B104,AV$92&lt;$C104),1,"")</f>
        <v/>
      </c>
      <c r="AW104" s="66" t="str">
        <f aca="false">IF(AND(AW$92+6&gt;$B104,AW$92&lt;$C104),1,"")</f>
        <v/>
      </c>
      <c r="AX104" s="66" t="str">
        <f aca="false">IF(AND(AX$92+6&gt;$B104,AX$92&lt;$C104),1,"")</f>
        <v/>
      </c>
    </row>
    <row r="105" customFormat="false" ht="15" hidden="false" customHeight="false" outlineLevel="0" collapsed="false">
      <c r="A105" s="13" t="s">
        <v>628</v>
      </c>
      <c r="B105" s="15" t="n">
        <f aca="false">(03_Capacity_Model!$B$90+1*03_Capacity_Model!$B$91)+01_Inputs!$B$14</f>
        <v>102.5</v>
      </c>
      <c r="C105" s="15" t="n">
        <f aca="false">B105+01_Inputs!$B$15</f>
        <v>104.5</v>
      </c>
      <c r="D105" s="13" t="s">
        <v>620</v>
      </c>
      <c r="H105" s="51"/>
      <c r="J105" s="66" t="str">
        <f aca="false">IF(AND(J$92+6&gt;$B105,J$92&lt;$C105),1,"")</f>
        <v/>
      </c>
      <c r="K105" s="66" t="str">
        <f aca="false">IF(AND(K$92+6&gt;$B105,K$92&lt;$C105),1,"")</f>
        <v/>
      </c>
      <c r="L105" s="66" t="str">
        <f aca="false">IF(AND(L$92+6&gt;$B105,L$92&lt;$C105),1,"")</f>
        <v/>
      </c>
      <c r="M105" s="66" t="str">
        <f aca="false">IF(AND(M$92+6&gt;$B105,M$92&lt;$C105),1,"")</f>
        <v/>
      </c>
      <c r="N105" s="66" t="str">
        <f aca="false">IF(AND(N$92+6&gt;$B105,N$92&lt;$C105),1,"")</f>
        <v/>
      </c>
      <c r="O105" s="66" t="str">
        <f aca="false">IF(AND(O$92+6&gt;$B105,O$92&lt;$C105),1,"")</f>
        <v/>
      </c>
      <c r="P105" s="66" t="str">
        <f aca="false">IF(AND(P$92+6&gt;$B105,P$92&lt;$C105),1,"")</f>
        <v/>
      </c>
      <c r="Q105" s="66" t="str">
        <f aca="false">IF(AND(Q$92+6&gt;$B105,Q$92&lt;$C105),1,"")</f>
        <v/>
      </c>
      <c r="R105" s="66" t="str">
        <f aca="false">IF(AND(R$92+6&gt;$B105,R$92&lt;$C105),1,"")</f>
        <v/>
      </c>
      <c r="S105" s="66" t="str">
        <f aca="false">IF(AND(S$92+6&gt;$B105,S$92&lt;$C105),1,"")</f>
        <v/>
      </c>
      <c r="T105" s="66" t="str">
        <f aca="false">IF(AND(T$92+6&gt;$B105,T$92&lt;$C105),1,"")</f>
        <v/>
      </c>
      <c r="U105" s="66" t="str">
        <f aca="false">IF(AND(U$92+6&gt;$B105,U$92&lt;$C105),1,"")</f>
        <v/>
      </c>
      <c r="V105" s="66" t="str">
        <f aca="false">IF(AND(V$92+6&gt;$B105,V$92&lt;$C105),1,"")</f>
        <v/>
      </c>
      <c r="W105" s="66" t="str">
        <f aca="false">IF(AND(W$92+6&gt;$B105,W$92&lt;$C105),1,"")</f>
        <v/>
      </c>
      <c r="X105" s="66" t="str">
        <f aca="false">IF(AND(X$92+6&gt;$B105,X$92&lt;$C105),1,"")</f>
        <v/>
      </c>
      <c r="Y105" s="66" t="str">
        <f aca="false">IF(AND(Y$92+6&gt;$B105,Y$92&lt;$C105),1,"")</f>
        <v/>
      </c>
      <c r="Z105" s="66" t="str">
        <f aca="false">IF(AND(Z$92+6&gt;$B105,Z$92&lt;$C105),1,"")</f>
        <v/>
      </c>
      <c r="AA105" s="66" t="n">
        <f aca="false">IF(AND(AA$92+6&gt;$B105,AA$92&lt;$C105),1,"")</f>
        <v>1</v>
      </c>
      <c r="AB105" s="66" t="str">
        <f aca="false">IF(AND(AB$92+6&gt;$B105,AB$92&lt;$C105),1,"")</f>
        <v/>
      </c>
      <c r="AC105" s="66" t="str">
        <f aca="false">IF(AND(AC$92+6&gt;$B105,AC$92&lt;$C105),1,"")</f>
        <v/>
      </c>
      <c r="AD105" s="66" t="str">
        <f aca="false">IF(AND(AD$92+6&gt;$B105,AD$92&lt;$C105),1,"")</f>
        <v/>
      </c>
      <c r="AE105" s="66" t="str">
        <f aca="false">IF(AND(AE$92+6&gt;$B105,AE$92&lt;$C105),1,"")</f>
        <v/>
      </c>
      <c r="AF105" s="66" t="str">
        <f aca="false">IF(AND(AF$92+6&gt;$B105,AF$92&lt;$C105),1,"")</f>
        <v/>
      </c>
      <c r="AG105" s="66" t="str">
        <f aca="false">IF(AND(AG$92+6&gt;$B105,AG$92&lt;$C105),1,"")</f>
        <v/>
      </c>
      <c r="AH105" s="66" t="str">
        <f aca="false">IF(AND(AH$92+6&gt;$B105,AH$92&lt;$C105),1,"")</f>
        <v/>
      </c>
      <c r="AI105" s="66" t="str">
        <f aca="false">IF(AND(AI$92+6&gt;$B105,AI$92&lt;$C105),1,"")</f>
        <v/>
      </c>
      <c r="AJ105" s="66" t="str">
        <f aca="false">IF(AND(AJ$92+6&gt;$B105,AJ$92&lt;$C105),1,"")</f>
        <v/>
      </c>
      <c r="AK105" s="66" t="str">
        <f aca="false">IF(AND(AK$92+6&gt;$B105,AK$92&lt;$C105),1,"")</f>
        <v/>
      </c>
      <c r="AL105" s="66" t="str">
        <f aca="false">IF(AND(AL$92+6&gt;$B105,AL$92&lt;$C105),1,"")</f>
        <v/>
      </c>
      <c r="AM105" s="66" t="str">
        <f aca="false">IF(AND(AM$92+6&gt;$B105,AM$92&lt;$C105),1,"")</f>
        <v/>
      </c>
      <c r="AN105" s="66" t="str">
        <f aca="false">IF(AND(AN$92+6&gt;$B105,AN$92&lt;$C105),1,"")</f>
        <v/>
      </c>
      <c r="AO105" s="66" t="str">
        <f aca="false">IF(AND(AO$92+6&gt;$B105,AO$92&lt;$C105),1,"")</f>
        <v/>
      </c>
      <c r="AP105" s="66" t="str">
        <f aca="false">IF(AND(AP$92+6&gt;$B105,AP$92&lt;$C105),1,"")</f>
        <v/>
      </c>
      <c r="AQ105" s="66" t="str">
        <f aca="false">IF(AND(AQ$92+6&gt;$B105,AQ$92&lt;$C105),1,"")</f>
        <v/>
      </c>
      <c r="AR105" s="66" t="str">
        <f aca="false">IF(AND(AR$92+6&gt;$B105,AR$92&lt;$C105),1,"")</f>
        <v/>
      </c>
      <c r="AS105" s="66" t="str">
        <f aca="false">IF(AND(AS$92+6&gt;$B105,AS$92&lt;$C105),1,"")</f>
        <v/>
      </c>
      <c r="AT105" s="66" t="str">
        <f aca="false">IF(AND(AT$92+6&gt;$B105,AT$92&lt;$C105),1,"")</f>
        <v/>
      </c>
      <c r="AU105" s="66" t="str">
        <f aca="false">IF(AND(AU$92+6&gt;$B105,AU$92&lt;$C105),1,"")</f>
        <v/>
      </c>
      <c r="AV105" s="66" t="str">
        <f aca="false">IF(AND(AV$92+6&gt;$B105,AV$92&lt;$C105),1,"")</f>
        <v/>
      </c>
      <c r="AW105" s="66" t="str">
        <f aca="false">IF(AND(AW$92+6&gt;$B105,AW$92&lt;$C105),1,"")</f>
        <v/>
      </c>
      <c r="AX105" s="66" t="str">
        <f aca="false">IF(AND(AX$92+6&gt;$B105,AX$92&lt;$C105),1,"")</f>
        <v/>
      </c>
    </row>
    <row r="106" customFormat="false" ht="15" hidden="false" customHeight="false" outlineLevel="0" collapsed="false">
      <c r="A106" s="13" t="s">
        <v>629</v>
      </c>
      <c r="B106" s="15" t="n">
        <f aca="false">C105</f>
        <v>104.5</v>
      </c>
      <c r="C106" s="15" t="n">
        <f aca="false">B106+01_Inputs!$B$16</f>
        <v>149.5</v>
      </c>
      <c r="D106" s="13" t="s">
        <v>620</v>
      </c>
      <c r="H106" s="54" t="s">
        <v>505</v>
      </c>
      <c r="J106" s="66" t="str">
        <f aca="false">IF(AND(J$92+6&gt;$B106,J$92&lt;$C106),1,"")</f>
        <v/>
      </c>
      <c r="K106" s="66" t="str">
        <f aca="false">IF(AND(K$92+6&gt;$B106,K$92&lt;$C106),1,"")</f>
        <v/>
      </c>
      <c r="L106" s="66" t="str">
        <f aca="false">IF(AND(L$92+6&gt;$B106,L$92&lt;$C106),1,"")</f>
        <v/>
      </c>
      <c r="M106" s="66" t="str">
        <f aca="false">IF(AND(M$92+6&gt;$B106,M$92&lt;$C106),1,"")</f>
        <v/>
      </c>
      <c r="N106" s="66" t="str">
        <f aca="false">IF(AND(N$92+6&gt;$B106,N$92&lt;$C106),1,"")</f>
        <v/>
      </c>
      <c r="O106" s="66" t="str">
        <f aca="false">IF(AND(O$92+6&gt;$B106,O$92&lt;$C106),1,"")</f>
        <v/>
      </c>
      <c r="P106" s="66" t="str">
        <f aca="false">IF(AND(P$92+6&gt;$B106,P$92&lt;$C106),1,"")</f>
        <v/>
      </c>
      <c r="Q106" s="66" t="str">
        <f aca="false">IF(AND(Q$92+6&gt;$B106,Q$92&lt;$C106),1,"")</f>
        <v/>
      </c>
      <c r="R106" s="66" t="str">
        <f aca="false">IF(AND(R$92+6&gt;$B106,R$92&lt;$C106),1,"")</f>
        <v/>
      </c>
      <c r="S106" s="66" t="str">
        <f aca="false">IF(AND(S$92+6&gt;$B106,S$92&lt;$C106),1,"")</f>
        <v/>
      </c>
      <c r="T106" s="66" t="str">
        <f aca="false">IF(AND(T$92+6&gt;$B106,T$92&lt;$C106),1,"")</f>
        <v/>
      </c>
      <c r="U106" s="66" t="str">
        <f aca="false">IF(AND(U$92+6&gt;$B106,U$92&lt;$C106),1,"")</f>
        <v/>
      </c>
      <c r="V106" s="66" t="str">
        <f aca="false">IF(AND(V$92+6&gt;$B106,V$92&lt;$C106),1,"")</f>
        <v/>
      </c>
      <c r="W106" s="66" t="str">
        <f aca="false">IF(AND(W$92+6&gt;$B106,W$92&lt;$C106),1,"")</f>
        <v/>
      </c>
      <c r="X106" s="66" t="str">
        <f aca="false">IF(AND(X$92+6&gt;$B106,X$92&lt;$C106),1,"")</f>
        <v/>
      </c>
      <c r="Y106" s="66" t="str">
        <f aca="false">IF(AND(Y$92+6&gt;$B106,Y$92&lt;$C106),1,"")</f>
        <v/>
      </c>
      <c r="Z106" s="66" t="str">
        <f aca="false">IF(AND(Z$92+6&gt;$B106,Z$92&lt;$C106),1,"")</f>
        <v/>
      </c>
      <c r="AA106" s="66" t="n">
        <f aca="false">IF(AND(AA$92+6&gt;$B106,AA$92&lt;$C106),1,"")</f>
        <v>1</v>
      </c>
      <c r="AB106" s="66" t="n">
        <f aca="false">IF(AND(AB$92+6&gt;$B106,AB$92&lt;$C106),1,"")</f>
        <v>1</v>
      </c>
      <c r="AC106" s="66" t="n">
        <f aca="false">IF(AND(AC$92+6&gt;$B106,AC$92&lt;$C106),1,"")</f>
        <v>1</v>
      </c>
      <c r="AD106" s="66" t="n">
        <f aca="false">IF(AND(AD$92+6&gt;$B106,AD$92&lt;$C106),1,"")</f>
        <v>1</v>
      </c>
      <c r="AE106" s="66" t="n">
        <f aca="false">IF(AND(AE$92+6&gt;$B106,AE$92&lt;$C106),1,"")</f>
        <v>1</v>
      </c>
      <c r="AF106" s="66" t="n">
        <f aca="false">IF(AND(AF$92+6&gt;$B106,AF$92&lt;$C106),1,"")</f>
        <v>1</v>
      </c>
      <c r="AG106" s="66" t="n">
        <f aca="false">IF(AND(AG$92+6&gt;$B106,AG$92&lt;$C106),1,"")</f>
        <v>1</v>
      </c>
      <c r="AH106" s="66" t="n">
        <f aca="false">IF(AND(AH$92+6&gt;$B106,AH$92&lt;$C106),1,"")</f>
        <v>1</v>
      </c>
      <c r="AI106" s="66" t="str">
        <f aca="false">IF(AND(AI$92+6&gt;$B106,AI$92&lt;$C106),1,"")</f>
        <v/>
      </c>
      <c r="AJ106" s="66" t="str">
        <f aca="false">IF(AND(AJ$92+6&gt;$B106,AJ$92&lt;$C106),1,"")</f>
        <v/>
      </c>
      <c r="AK106" s="66" t="str">
        <f aca="false">IF(AND(AK$92+6&gt;$B106,AK$92&lt;$C106),1,"")</f>
        <v/>
      </c>
      <c r="AL106" s="66" t="str">
        <f aca="false">IF(AND(AL$92+6&gt;$B106,AL$92&lt;$C106),1,"")</f>
        <v/>
      </c>
      <c r="AM106" s="66" t="str">
        <f aca="false">IF(AND(AM$92+6&gt;$B106,AM$92&lt;$C106),1,"")</f>
        <v/>
      </c>
      <c r="AN106" s="66" t="str">
        <f aca="false">IF(AND(AN$92+6&gt;$B106,AN$92&lt;$C106),1,"")</f>
        <v/>
      </c>
      <c r="AO106" s="66" t="str">
        <f aca="false">IF(AND(AO$92+6&gt;$B106,AO$92&lt;$C106),1,"")</f>
        <v/>
      </c>
      <c r="AP106" s="66" t="str">
        <f aca="false">IF(AND(AP$92+6&gt;$B106,AP$92&lt;$C106),1,"")</f>
        <v/>
      </c>
      <c r="AQ106" s="66" t="str">
        <f aca="false">IF(AND(AQ$92+6&gt;$B106,AQ$92&lt;$C106),1,"")</f>
        <v/>
      </c>
      <c r="AR106" s="66" t="str">
        <f aca="false">IF(AND(AR$92+6&gt;$B106,AR$92&lt;$C106),1,"")</f>
        <v/>
      </c>
      <c r="AS106" s="66" t="str">
        <f aca="false">IF(AND(AS$92+6&gt;$B106,AS$92&lt;$C106),1,"")</f>
        <v/>
      </c>
      <c r="AT106" s="66" t="str">
        <f aca="false">IF(AND(AT$92+6&gt;$B106,AT$92&lt;$C106),1,"")</f>
        <v/>
      </c>
      <c r="AU106" s="66" t="str">
        <f aca="false">IF(AND(AU$92+6&gt;$B106,AU$92&lt;$C106),1,"")</f>
        <v/>
      </c>
      <c r="AV106" s="66" t="str">
        <f aca="false">IF(AND(AV$92+6&gt;$B106,AV$92&lt;$C106),1,"")</f>
        <v/>
      </c>
      <c r="AW106" s="66" t="str">
        <f aca="false">IF(AND(AW$92+6&gt;$B106,AW$92&lt;$C106),1,"")</f>
        <v/>
      </c>
      <c r="AX106" s="66" t="str">
        <f aca="false">IF(AND(AX$92+6&gt;$B106,AX$92&lt;$C106),1,"")</f>
        <v/>
      </c>
    </row>
    <row r="107" customFormat="false" ht="15" hidden="false" customHeight="false" outlineLevel="0" collapsed="false">
      <c r="A107" s="13" t="s">
        <v>630</v>
      </c>
      <c r="B107" s="15" t="n">
        <f aca="false">C106</f>
        <v>149.5</v>
      </c>
      <c r="C107" s="15" t="n">
        <f aca="false">B107+01_Inputs!$B$17+01_Inputs!$B$18</f>
        <v>157.5</v>
      </c>
      <c r="D107" s="13" t="s">
        <v>614</v>
      </c>
      <c r="H107" s="54" t="s">
        <v>615</v>
      </c>
      <c r="J107" s="66" t="str">
        <f aca="false">IF(AND(J$92+6&gt;$B107,J$92&lt;$C107),1,"")</f>
        <v/>
      </c>
      <c r="K107" s="66" t="str">
        <f aca="false">IF(AND(K$92+6&gt;$B107,K$92&lt;$C107),1,"")</f>
        <v/>
      </c>
      <c r="L107" s="66" t="str">
        <f aca="false">IF(AND(L$92+6&gt;$B107,L$92&lt;$C107),1,"")</f>
        <v/>
      </c>
      <c r="M107" s="66" t="str">
        <f aca="false">IF(AND(M$92+6&gt;$B107,M$92&lt;$C107),1,"")</f>
        <v/>
      </c>
      <c r="N107" s="66" t="str">
        <f aca="false">IF(AND(N$92+6&gt;$B107,N$92&lt;$C107),1,"")</f>
        <v/>
      </c>
      <c r="O107" s="66" t="str">
        <f aca="false">IF(AND(O$92+6&gt;$B107,O$92&lt;$C107),1,"")</f>
        <v/>
      </c>
      <c r="P107" s="66" t="str">
        <f aca="false">IF(AND(P$92+6&gt;$B107,P$92&lt;$C107),1,"")</f>
        <v/>
      </c>
      <c r="Q107" s="66" t="str">
        <f aca="false">IF(AND(Q$92+6&gt;$B107,Q$92&lt;$C107),1,"")</f>
        <v/>
      </c>
      <c r="R107" s="66" t="str">
        <f aca="false">IF(AND(R$92+6&gt;$B107,R$92&lt;$C107),1,"")</f>
        <v/>
      </c>
      <c r="S107" s="66" t="str">
        <f aca="false">IF(AND(S$92+6&gt;$B107,S$92&lt;$C107),1,"")</f>
        <v/>
      </c>
      <c r="T107" s="66" t="str">
        <f aca="false">IF(AND(T$92+6&gt;$B107,T$92&lt;$C107),1,"")</f>
        <v/>
      </c>
      <c r="U107" s="66" t="str">
        <f aca="false">IF(AND(U$92+6&gt;$B107,U$92&lt;$C107),1,"")</f>
        <v/>
      </c>
      <c r="V107" s="66" t="str">
        <f aca="false">IF(AND(V$92+6&gt;$B107,V$92&lt;$C107),1,"")</f>
        <v/>
      </c>
      <c r="W107" s="66" t="str">
        <f aca="false">IF(AND(W$92+6&gt;$B107,W$92&lt;$C107),1,"")</f>
        <v/>
      </c>
      <c r="X107" s="66" t="str">
        <f aca="false">IF(AND(X$92+6&gt;$B107,X$92&lt;$C107),1,"")</f>
        <v/>
      </c>
      <c r="Y107" s="66" t="str">
        <f aca="false">IF(AND(Y$92+6&gt;$B107,Y$92&lt;$C107),1,"")</f>
        <v/>
      </c>
      <c r="Z107" s="66" t="str">
        <f aca="false">IF(AND(Z$92+6&gt;$B107,Z$92&lt;$C107),1,"")</f>
        <v/>
      </c>
      <c r="AA107" s="66" t="str">
        <f aca="false">IF(AND(AA$92+6&gt;$B107,AA$92&lt;$C107),1,"")</f>
        <v/>
      </c>
      <c r="AB107" s="66" t="str">
        <f aca="false">IF(AND(AB$92+6&gt;$B107,AB$92&lt;$C107),1,"")</f>
        <v/>
      </c>
      <c r="AC107" s="66" t="str">
        <f aca="false">IF(AND(AC$92+6&gt;$B107,AC$92&lt;$C107),1,"")</f>
        <v/>
      </c>
      <c r="AD107" s="66" t="str">
        <f aca="false">IF(AND(AD$92+6&gt;$B107,AD$92&lt;$C107),1,"")</f>
        <v/>
      </c>
      <c r="AE107" s="66" t="str">
        <f aca="false">IF(AND(AE$92+6&gt;$B107,AE$92&lt;$C107),1,"")</f>
        <v/>
      </c>
      <c r="AF107" s="66" t="str">
        <f aca="false">IF(AND(AF$92+6&gt;$B107,AF$92&lt;$C107),1,"")</f>
        <v/>
      </c>
      <c r="AG107" s="66" t="str">
        <f aca="false">IF(AND(AG$92+6&gt;$B107,AG$92&lt;$C107),1,"")</f>
        <v/>
      </c>
      <c r="AH107" s="66" t="n">
        <f aca="false">IF(AND(AH$92+6&gt;$B107,AH$92&lt;$C107),1,"")</f>
        <v>1</v>
      </c>
      <c r="AI107" s="66" t="n">
        <f aca="false">IF(AND(AI$92+6&gt;$B107,AI$92&lt;$C107),1,"")</f>
        <v>1</v>
      </c>
      <c r="AJ107" s="66" t="n">
        <f aca="false">IF(AND(AJ$92+6&gt;$B107,AJ$92&lt;$C107),1,"")</f>
        <v>1</v>
      </c>
      <c r="AK107" s="66" t="str">
        <f aca="false">IF(AND(AK$92+6&gt;$B107,AK$92&lt;$C107),1,"")</f>
        <v/>
      </c>
      <c r="AL107" s="66" t="str">
        <f aca="false">IF(AND(AL$92+6&gt;$B107,AL$92&lt;$C107),1,"")</f>
        <v/>
      </c>
      <c r="AM107" s="66" t="str">
        <f aca="false">IF(AND(AM$92+6&gt;$B107,AM$92&lt;$C107),1,"")</f>
        <v/>
      </c>
      <c r="AN107" s="66" t="str">
        <f aca="false">IF(AND(AN$92+6&gt;$B107,AN$92&lt;$C107),1,"")</f>
        <v/>
      </c>
      <c r="AO107" s="66" t="str">
        <f aca="false">IF(AND(AO$92+6&gt;$B107,AO$92&lt;$C107),1,"")</f>
        <v/>
      </c>
      <c r="AP107" s="66" t="str">
        <f aca="false">IF(AND(AP$92+6&gt;$B107,AP$92&lt;$C107),1,"")</f>
        <v/>
      </c>
      <c r="AQ107" s="66" t="str">
        <f aca="false">IF(AND(AQ$92+6&gt;$B107,AQ$92&lt;$C107),1,"")</f>
        <v/>
      </c>
      <c r="AR107" s="66" t="str">
        <f aca="false">IF(AND(AR$92+6&gt;$B107,AR$92&lt;$C107),1,"")</f>
        <v/>
      </c>
      <c r="AS107" s="66" t="str">
        <f aca="false">IF(AND(AS$92+6&gt;$B107,AS$92&lt;$C107),1,"")</f>
        <v/>
      </c>
      <c r="AT107" s="66" t="str">
        <f aca="false">IF(AND(AT$92+6&gt;$B107,AT$92&lt;$C107),1,"")</f>
        <v/>
      </c>
      <c r="AU107" s="66" t="str">
        <f aca="false">IF(AND(AU$92+6&gt;$B107,AU$92&lt;$C107),1,"")</f>
        <v/>
      </c>
      <c r="AV107" s="66" t="str">
        <f aca="false">IF(AND(AV$92+6&gt;$B107,AV$92&lt;$C107),1,"")</f>
        <v/>
      </c>
      <c r="AW107" s="66" t="str">
        <f aca="false">IF(AND(AW$92+6&gt;$B107,AW$92&lt;$C107),1,"")</f>
        <v/>
      </c>
      <c r="AX107" s="66" t="str">
        <f aca="false">IF(AND(AX$92+6&gt;$B107,AX$92&lt;$C107),1,"")</f>
        <v/>
      </c>
    </row>
    <row r="108" customFormat="false" ht="15" hidden="false" customHeight="false" outlineLevel="0" collapsed="false">
      <c r="A108" s="13" t="s">
        <v>631</v>
      </c>
      <c r="B108" s="15" t="n">
        <f aca="false">C107</f>
        <v>157.5</v>
      </c>
      <c r="C108" s="15" t="n">
        <f aca="false">B108+01_Inputs!$B$30</f>
        <v>175.5</v>
      </c>
      <c r="D108" s="13" t="s">
        <v>617</v>
      </c>
      <c r="H108" s="51" t="s">
        <v>618</v>
      </c>
      <c r="J108" s="66" t="str">
        <f aca="false">IF(AND(J$92+6&gt;$B108,J$92&lt;$C108),1,"")</f>
        <v/>
      </c>
      <c r="K108" s="66" t="str">
        <f aca="false">IF(AND(K$92+6&gt;$B108,K$92&lt;$C108),1,"")</f>
        <v/>
      </c>
      <c r="L108" s="66" t="str">
        <f aca="false">IF(AND(L$92+6&gt;$B108,L$92&lt;$C108),1,"")</f>
        <v/>
      </c>
      <c r="M108" s="66" t="str">
        <f aca="false">IF(AND(M$92+6&gt;$B108,M$92&lt;$C108),1,"")</f>
        <v/>
      </c>
      <c r="N108" s="66" t="str">
        <f aca="false">IF(AND(N$92+6&gt;$B108,N$92&lt;$C108),1,"")</f>
        <v/>
      </c>
      <c r="O108" s="66" t="str">
        <f aca="false">IF(AND(O$92+6&gt;$B108,O$92&lt;$C108),1,"")</f>
        <v/>
      </c>
      <c r="P108" s="66" t="str">
        <f aca="false">IF(AND(P$92+6&gt;$B108,P$92&lt;$C108),1,"")</f>
        <v/>
      </c>
      <c r="Q108" s="66" t="str">
        <f aca="false">IF(AND(Q$92+6&gt;$B108,Q$92&lt;$C108),1,"")</f>
        <v/>
      </c>
      <c r="R108" s="66" t="str">
        <f aca="false">IF(AND(R$92+6&gt;$B108,R$92&lt;$C108),1,"")</f>
        <v/>
      </c>
      <c r="S108" s="66" t="str">
        <f aca="false">IF(AND(S$92+6&gt;$B108,S$92&lt;$C108),1,"")</f>
        <v/>
      </c>
      <c r="T108" s="66" t="str">
        <f aca="false">IF(AND(T$92+6&gt;$B108,T$92&lt;$C108),1,"")</f>
        <v/>
      </c>
      <c r="U108" s="66" t="str">
        <f aca="false">IF(AND(U$92+6&gt;$B108,U$92&lt;$C108),1,"")</f>
        <v/>
      </c>
      <c r="V108" s="66" t="str">
        <f aca="false">IF(AND(V$92+6&gt;$B108,V$92&lt;$C108),1,"")</f>
        <v/>
      </c>
      <c r="W108" s="66" t="str">
        <f aca="false">IF(AND(W$92+6&gt;$B108,W$92&lt;$C108),1,"")</f>
        <v/>
      </c>
      <c r="X108" s="66" t="str">
        <f aca="false">IF(AND(X$92+6&gt;$B108,X$92&lt;$C108),1,"")</f>
        <v/>
      </c>
      <c r="Y108" s="66" t="str">
        <f aca="false">IF(AND(Y$92+6&gt;$B108,Y$92&lt;$C108),1,"")</f>
        <v/>
      </c>
      <c r="Z108" s="66" t="str">
        <f aca="false">IF(AND(Z$92+6&gt;$B108,Z$92&lt;$C108),1,"")</f>
        <v/>
      </c>
      <c r="AA108" s="66" t="str">
        <f aca="false">IF(AND(AA$92+6&gt;$B108,AA$92&lt;$C108),1,"")</f>
        <v/>
      </c>
      <c r="AB108" s="66" t="str">
        <f aca="false">IF(AND(AB$92+6&gt;$B108,AB$92&lt;$C108),1,"")</f>
        <v/>
      </c>
      <c r="AC108" s="66" t="str">
        <f aca="false">IF(AND(AC$92+6&gt;$B108,AC$92&lt;$C108),1,"")</f>
        <v/>
      </c>
      <c r="AD108" s="66" t="str">
        <f aca="false">IF(AND(AD$92+6&gt;$B108,AD$92&lt;$C108),1,"")</f>
        <v/>
      </c>
      <c r="AE108" s="66" t="str">
        <f aca="false">IF(AND(AE$92+6&gt;$B108,AE$92&lt;$C108),1,"")</f>
        <v/>
      </c>
      <c r="AF108" s="66" t="str">
        <f aca="false">IF(AND(AF$92+6&gt;$B108,AF$92&lt;$C108),1,"")</f>
        <v/>
      </c>
      <c r="AG108" s="66" t="str">
        <f aca="false">IF(AND(AG$92+6&gt;$B108,AG$92&lt;$C108),1,"")</f>
        <v/>
      </c>
      <c r="AH108" s="66" t="str">
        <f aca="false">IF(AND(AH$92+6&gt;$B108,AH$92&lt;$C108),1,"")</f>
        <v/>
      </c>
      <c r="AI108" s="66" t="str">
        <f aca="false">IF(AND(AI$92+6&gt;$B108,AI$92&lt;$C108),1,"")</f>
        <v/>
      </c>
      <c r="AJ108" s="66" t="n">
        <f aca="false">IF(AND(AJ$92+6&gt;$B108,AJ$92&lt;$C108),1,"")</f>
        <v>1</v>
      </c>
      <c r="AK108" s="66" t="n">
        <f aca="false">IF(AND(AK$92+6&gt;$B108,AK$92&lt;$C108),1,"")</f>
        <v>1</v>
      </c>
      <c r="AL108" s="66" t="n">
        <f aca="false">IF(AND(AL$92+6&gt;$B108,AL$92&lt;$C108),1,"")</f>
        <v>1</v>
      </c>
      <c r="AM108" s="66" t="n">
        <f aca="false">IF(AND(AM$92+6&gt;$B108,AM$92&lt;$C108),1,"")</f>
        <v>1</v>
      </c>
      <c r="AN108" s="66" t="str">
        <f aca="false">IF(AND(AN$92+6&gt;$B108,AN$92&lt;$C108),1,"")</f>
        <v/>
      </c>
      <c r="AO108" s="66" t="str">
        <f aca="false">IF(AND(AO$92+6&gt;$B108,AO$92&lt;$C108),1,"")</f>
        <v/>
      </c>
      <c r="AP108" s="66" t="str">
        <f aca="false">IF(AND(AP$92+6&gt;$B108,AP$92&lt;$C108),1,"")</f>
        <v/>
      </c>
      <c r="AQ108" s="66" t="str">
        <f aca="false">IF(AND(AQ$92+6&gt;$B108,AQ$92&lt;$C108),1,"")</f>
        <v/>
      </c>
      <c r="AR108" s="66" t="str">
        <f aca="false">IF(AND(AR$92+6&gt;$B108,AR$92&lt;$C108),1,"")</f>
        <v/>
      </c>
      <c r="AS108" s="66" t="str">
        <f aca="false">IF(AND(AS$92+6&gt;$B108,AS$92&lt;$C108),1,"")</f>
        <v/>
      </c>
      <c r="AT108" s="66" t="str">
        <f aca="false">IF(AND(AT$92+6&gt;$B108,AT$92&lt;$C108),1,"")</f>
        <v/>
      </c>
      <c r="AU108" s="66" t="str">
        <f aca="false">IF(AND(AU$92+6&gt;$B108,AU$92&lt;$C108),1,"")</f>
        <v/>
      </c>
      <c r="AV108" s="66" t="str">
        <f aca="false">IF(AND(AV$92+6&gt;$B108,AV$92&lt;$C108),1,"")</f>
        <v/>
      </c>
      <c r="AW108" s="66" t="str">
        <f aca="false">IF(AND(AW$92+6&gt;$B108,AW$92&lt;$C108),1,"")</f>
        <v/>
      </c>
      <c r="AX108" s="66" t="str">
        <f aca="false">IF(AND(AX$92+6&gt;$B108,AX$92&lt;$C108),1,"")</f>
        <v/>
      </c>
    </row>
    <row r="109" customFormat="false" ht="15" hidden="false" customHeight="true" outlineLevel="0" collapsed="false">
      <c r="A109" s="13" t="s">
        <v>632</v>
      </c>
      <c r="B109" s="15" t="n">
        <f aca="false">MIN(03_Capacity_Model!$B$90,03_Capacity_Model!$B$91-03_Capacity_Model!$B$90)</f>
        <v>30</v>
      </c>
      <c r="C109" s="9" t="s">
        <v>42</v>
      </c>
      <c r="D109" s="56" t="s">
        <v>633</v>
      </c>
      <c r="E109" s="56"/>
      <c r="F109" s="56"/>
      <c r="G109" s="56"/>
      <c r="H109" s="56"/>
    </row>
    <row r="111" customFormat="false" ht="17.15" hidden="false" customHeight="false" outlineLevel="0" collapsed="false">
      <c r="A111" s="49" t="s">
        <v>634</v>
      </c>
    </row>
    <row r="112" customFormat="false" ht="15" hidden="false" customHeight="true" outlineLevel="0" collapsed="false">
      <c r="A112" s="9" t="s">
        <v>635</v>
      </c>
      <c r="B112" s="50" t="n">
        <f aca="false">SUM(04_Monthly_2026_2028!AB18:AB29)</f>
        <v>2972</v>
      </c>
      <c r="C112" s="9" t="s">
        <v>37</v>
      </c>
      <c r="D112" s="55" t="s">
        <v>636</v>
      </c>
      <c r="E112" s="55"/>
      <c r="F112" s="55"/>
      <c r="G112" s="55"/>
      <c r="H112" s="55"/>
    </row>
    <row r="113" customFormat="false" ht="15" hidden="false" customHeight="false" outlineLevel="0" collapsed="false">
      <c r="A113" s="9" t="s">
        <v>637</v>
      </c>
      <c r="B113" s="50" t="n">
        <f aca="false">SUM(04_Monthly_2026_2028!AB30:AB41)</f>
        <v>3208</v>
      </c>
      <c r="C113" s="9" t="s">
        <v>37</v>
      </c>
      <c r="D113" s="56"/>
      <c r="E113" s="56"/>
      <c r="F113" s="56"/>
      <c r="G113" s="56"/>
      <c r="H113" s="56"/>
    </row>
    <row r="114" customFormat="false" ht="15" hidden="false" customHeight="false" outlineLevel="0" collapsed="false">
      <c r="A114" s="9" t="s">
        <v>638</v>
      </c>
      <c r="B114" s="50" t="n">
        <f aca="false">MAX(04_Monthly_2026_2028!AB18:AB41)</f>
        <v>267.333333333333</v>
      </c>
      <c r="C114" s="9" t="s">
        <v>33</v>
      </c>
      <c r="D114" s="56"/>
      <c r="E114" s="56"/>
      <c r="F114" s="56"/>
      <c r="G114" s="56"/>
      <c r="H114" s="56"/>
    </row>
    <row r="115" customFormat="false" ht="15" hidden="false" customHeight="false" outlineLevel="0" collapsed="false">
      <c r="A115" s="9" t="s">
        <v>639</v>
      </c>
      <c r="B115" s="57" t="n">
        <f aca="false">SUM(04_Monthly_2026_2028!AD18:AE29)</f>
        <v>96</v>
      </c>
      <c r="C115" s="13" t="s">
        <v>640</v>
      </c>
      <c r="D115" s="56"/>
      <c r="E115" s="56"/>
      <c r="F115" s="56"/>
      <c r="G115" s="56"/>
      <c r="H115" s="56"/>
    </row>
    <row r="116" customFormat="false" ht="15" hidden="false" customHeight="false" outlineLevel="0" collapsed="false">
      <c r="A116" s="9" t="s">
        <v>641</v>
      </c>
      <c r="B116" s="57" t="n">
        <f aca="false">SUM(04_Monthly_2026_2028!AD30:AE41)</f>
        <v>120</v>
      </c>
      <c r="C116" s="13" t="s">
        <v>640</v>
      </c>
      <c r="D116" s="56"/>
      <c r="E116" s="56"/>
      <c r="F116" s="56"/>
      <c r="G116" s="56"/>
      <c r="H116" s="56"/>
    </row>
    <row r="117" customFormat="false" ht="30" hidden="false" customHeight="true" outlineLevel="0" collapsed="false">
      <c r="A117" s="11" t="s">
        <v>642</v>
      </c>
      <c r="B117" s="11" t="s">
        <v>643</v>
      </c>
      <c r="C117" s="11" t="s">
        <v>492</v>
      </c>
      <c r="D117" s="11" t="s">
        <v>644</v>
      </c>
      <c r="E117" s="33" t="s">
        <v>645</v>
      </c>
      <c r="F117" s="33" t="s">
        <v>646</v>
      </c>
      <c r="G117" s="11"/>
      <c r="H117" s="11" t="s">
        <v>16</v>
      </c>
    </row>
    <row r="118" customFormat="false" ht="15" hidden="false" customHeight="false" outlineLevel="0" collapsed="false">
      <c r="A118" s="52" t="s">
        <v>647</v>
      </c>
      <c r="B118" s="15" t="s">
        <v>69</v>
      </c>
      <c r="C118" s="16" t="s">
        <v>69</v>
      </c>
      <c r="D118" s="15" t="str">
        <f aca="false">IF(ISNUMBER(01_Inputs!$B$87),01_Inputs!$B$87,"미확인")</f>
        <v>미확인</v>
      </c>
      <c r="E118" s="63" t="str">
        <f aca="false">IF(ISNUMBER(D118),03_Capacity_Model!$B$114/D118,"미확인")</f>
        <v>미확인</v>
      </c>
      <c r="F118" s="15" t="str">
        <f aca="false">IF(ISNUMBER(D118),D118-03_Capacity_Model!$B$114,"미확인")</f>
        <v>미확인</v>
      </c>
      <c r="H118" s="54" t="s">
        <v>648</v>
      </c>
    </row>
    <row r="119" customFormat="false" ht="15" hidden="false" customHeight="false" outlineLevel="0" collapsed="false">
      <c r="A119" s="52" t="s">
        <v>649</v>
      </c>
      <c r="B119" s="15" t="n">
        <f aca="false">01_Inputs!$B$93</f>
        <v>8</v>
      </c>
      <c r="C119" s="16" t="n">
        <f aca="false">01_Inputs!$B$92</f>
        <v>22</v>
      </c>
      <c r="D119" s="15" t="n">
        <f aca="false">B119*C119</f>
        <v>176</v>
      </c>
      <c r="E119" s="63" t="n">
        <f aca="false">IF(ISNUMBER(D119),03_Capacity_Model!$B$114/D119,"미확인")</f>
        <v>1.51893939393939</v>
      </c>
      <c r="F119" s="15" t="n">
        <f aca="false">IF(ISNUMBER(D119),D119-03_Capacity_Model!$B$114,"미확인")</f>
        <v>-91.3333333333333</v>
      </c>
      <c r="H119" s="51" t="s">
        <v>111</v>
      </c>
    </row>
    <row r="120" customFormat="false" ht="15" hidden="false" customHeight="false" outlineLevel="0" collapsed="false">
      <c r="A120" s="52" t="s">
        <v>650</v>
      </c>
      <c r="B120" s="15" t="n">
        <f aca="false">01_Inputs!$B$94</f>
        <v>16</v>
      </c>
      <c r="C120" s="16" t="n">
        <f aca="false">01_Inputs!$B$92</f>
        <v>22</v>
      </c>
      <c r="D120" s="15" t="n">
        <f aca="false">B120*C120</f>
        <v>352</v>
      </c>
      <c r="E120" s="63" t="n">
        <f aca="false">IF(ISNUMBER(D120),03_Capacity_Model!$B$114/D120,"미확인")</f>
        <v>0.759469696969697</v>
      </c>
      <c r="F120" s="15" t="n">
        <f aca="false">IF(ISNUMBER(D120),D120-03_Capacity_Model!$B$114,"미확인")</f>
        <v>84.6666666666667</v>
      </c>
      <c r="H120" s="51" t="s">
        <v>111</v>
      </c>
    </row>
    <row r="121" customFormat="false" ht="15" hidden="false" customHeight="false" outlineLevel="0" collapsed="false">
      <c r="A121" s="52" t="s">
        <v>651</v>
      </c>
      <c r="B121" s="15" t="n">
        <f aca="false">01_Inputs!$B$95</f>
        <v>24</v>
      </c>
      <c r="C121" s="16" t="n">
        <f aca="false">30</f>
        <v>30</v>
      </c>
      <c r="D121" s="15" t="n">
        <f aca="false">B121*C121</f>
        <v>720</v>
      </c>
      <c r="E121" s="63" t="n">
        <f aca="false">IF(ISNUMBER(D121),03_Capacity_Model!$B$114/D121,"미확인")</f>
        <v>0.371296296296296</v>
      </c>
      <c r="F121" s="15" t="n">
        <f aca="false">IF(ISNUMBER(D121),D121-03_Capacity_Model!$B$114,"미확인")</f>
        <v>452.666666666667</v>
      </c>
      <c r="H121" s="51" t="s">
        <v>111</v>
      </c>
    </row>
    <row r="123" customFormat="false" ht="17.15" hidden="false" customHeight="false" outlineLevel="0" collapsed="false">
      <c r="A123" s="49" t="s">
        <v>652</v>
      </c>
    </row>
    <row r="124" customFormat="false" ht="30" hidden="false" customHeight="true" outlineLevel="0" collapsed="false">
      <c r="A124" s="33" t="s">
        <v>653</v>
      </c>
      <c r="B124" s="11" t="s">
        <v>654</v>
      </c>
      <c r="C124" s="11" t="s">
        <v>655</v>
      </c>
      <c r="D124" s="33" t="s">
        <v>656</v>
      </c>
      <c r="E124" s="11" t="s">
        <v>657</v>
      </c>
      <c r="F124" s="11" t="s">
        <v>658</v>
      </c>
      <c r="G124" s="11"/>
      <c r="H124" s="11" t="s">
        <v>659</v>
      </c>
    </row>
    <row r="125" customFormat="false" ht="26.85" hidden="false" customHeight="false" outlineLevel="0" collapsed="false">
      <c r="A125" s="52" t="s">
        <v>649</v>
      </c>
      <c r="B125" s="15" t="n">
        <f aca="false">01_Inputs!$B$93</f>
        <v>8</v>
      </c>
      <c r="C125" s="15" t="n">
        <f aca="false">01_Inputs!$B$30/(B125/24)</f>
        <v>54</v>
      </c>
      <c r="D125" s="15" t="n">
        <f aca="false">01_Inputs!$B$18+N(01_Inputs!$B$23)+C125</f>
        <v>56</v>
      </c>
      <c r="E125" s="15" t="n">
        <f aca="false">03_Capacity_Model!$B$51-D125</f>
        <v>11.4716981132076</v>
      </c>
      <c r="F125" s="15" t="n">
        <f aca="false">03_Capacity_Model!$B$87-D125</f>
        <v>-20.7372881355932</v>
      </c>
      <c r="G125" s="9" t="str">
        <f aca="false">IF(F125&lt;0,"To-be Tank·충진 병목 가능","여유")</f>
        <v>To-be Tank·충진 병목 가능</v>
      </c>
    </row>
    <row r="126" customFormat="false" ht="15" hidden="false" customHeight="false" outlineLevel="0" collapsed="false">
      <c r="A126" s="52" t="s">
        <v>650</v>
      </c>
      <c r="B126" s="15" t="n">
        <f aca="false">01_Inputs!$B$94</f>
        <v>16</v>
      </c>
      <c r="C126" s="15" t="n">
        <f aca="false">01_Inputs!$B$30/(B126/24)</f>
        <v>27</v>
      </c>
      <c r="D126" s="15" t="n">
        <f aca="false">01_Inputs!$B$18+N(01_Inputs!$B$23)+C126</f>
        <v>29</v>
      </c>
      <c r="E126" s="15" t="n">
        <f aca="false">03_Capacity_Model!$B$51-D126</f>
        <v>38.4716981132076</v>
      </c>
      <c r="F126" s="15" t="n">
        <f aca="false">03_Capacity_Model!$B$87-D126</f>
        <v>6.26271186440678</v>
      </c>
      <c r="G126" s="9" t="str">
        <f aca="false">IF(F126&lt;0,"To-be Tank·충진 병목 가능","여유")</f>
        <v>여유</v>
      </c>
    </row>
    <row r="127" customFormat="false" ht="15" hidden="false" customHeight="false" outlineLevel="0" collapsed="false">
      <c r="A127" s="52" t="s">
        <v>660</v>
      </c>
      <c r="B127" s="15" t="n">
        <f aca="false">01_Inputs!$B$95</f>
        <v>24</v>
      </c>
      <c r="C127" s="15" t="n">
        <f aca="false">01_Inputs!$B$30/(B127/24)</f>
        <v>18</v>
      </c>
      <c r="D127" s="15" t="n">
        <f aca="false">01_Inputs!$B$18+N(01_Inputs!$B$23)+C127</f>
        <v>20</v>
      </c>
      <c r="E127" s="15" t="n">
        <f aca="false">03_Capacity_Model!$B$51-D127</f>
        <v>47.4716981132076</v>
      </c>
      <c r="F127" s="15" t="n">
        <f aca="false">03_Capacity_Model!$B$87-D127</f>
        <v>15.2627118644068</v>
      </c>
      <c r="G127" s="9" t="str">
        <f aca="false">IF(F127&lt;0,"To-be Tank·충진 병목 가능","여유")</f>
        <v>여유</v>
      </c>
    </row>
    <row r="129" customFormat="false" ht="17.15" hidden="false" customHeight="false" outlineLevel="0" collapsed="false">
      <c r="A129" s="49" t="s">
        <v>661</v>
      </c>
    </row>
    <row r="130" customFormat="false" ht="15" hidden="false" customHeight="true" outlineLevel="0" collapsed="false">
      <c r="A130" s="9" t="s">
        <v>662</v>
      </c>
      <c r="B130" s="60" t="n">
        <f aca="false">01_Inputs!$B$51</f>
        <v>10</v>
      </c>
      <c r="C130" s="9" t="s">
        <v>147</v>
      </c>
      <c r="D130" s="56" t="s">
        <v>663</v>
      </c>
      <c r="E130" s="56"/>
      <c r="F130" s="56"/>
      <c r="G130" s="56"/>
      <c r="H130" s="56"/>
    </row>
    <row r="131" customFormat="false" ht="15" hidden="false" customHeight="true" outlineLevel="0" collapsed="false">
      <c r="A131" s="13" t="s">
        <v>664</v>
      </c>
      <c r="B131" s="22" t="n">
        <f aca="false">01_Inputs!$B$49-01_Inputs!$B$43</f>
        <v>50</v>
      </c>
      <c r="C131" s="9" t="s">
        <v>151</v>
      </c>
      <c r="D131" s="55" t="s">
        <v>665</v>
      </c>
      <c r="E131" s="55"/>
      <c r="F131" s="55"/>
      <c r="G131" s="55"/>
      <c r="H131" s="55"/>
    </row>
    <row r="132" customFormat="false" ht="15" hidden="false" customHeight="true" outlineLevel="0" collapsed="false">
      <c r="A132" s="13" t="s">
        <v>666</v>
      </c>
      <c r="B132" s="22" t="n">
        <f aca="false">01_Inputs!$B$49-01_Inputs!$B$44</f>
        <v>40</v>
      </c>
      <c r="C132" s="9" t="s">
        <v>151</v>
      </c>
      <c r="D132" s="55" t="s">
        <v>667</v>
      </c>
      <c r="E132" s="55"/>
      <c r="F132" s="55"/>
      <c r="G132" s="55"/>
      <c r="H132" s="55"/>
    </row>
    <row r="133" customFormat="false" ht="15" hidden="false" customHeight="true" outlineLevel="0" collapsed="false">
      <c r="A133" s="13" t="s">
        <v>668</v>
      </c>
      <c r="B133" s="23" t="n">
        <f aca="false">01_Inputs!$B$52*01_Inputs!$B$53</f>
        <v>150</v>
      </c>
      <c r="C133" s="9" t="s">
        <v>151</v>
      </c>
      <c r="D133" s="56" t="s">
        <v>669</v>
      </c>
      <c r="E133" s="56"/>
      <c r="F133" s="56"/>
      <c r="G133" s="56"/>
      <c r="H133" s="56"/>
    </row>
    <row r="134" customFormat="false" ht="15" hidden="false" customHeight="false" outlineLevel="0" collapsed="false">
      <c r="A134" s="13" t="s">
        <v>670</v>
      </c>
      <c r="B134" s="23" t="n">
        <f aca="false">01_Inputs!$B$52*01_Inputs!$B$54</f>
        <v>160</v>
      </c>
      <c r="C134" s="9" t="s">
        <v>151</v>
      </c>
      <c r="D134" s="56"/>
      <c r="E134" s="56"/>
      <c r="F134" s="56"/>
      <c r="G134" s="56"/>
      <c r="H134" s="56"/>
    </row>
    <row r="135" customFormat="false" ht="15" hidden="false" customHeight="true" outlineLevel="0" collapsed="false">
      <c r="A135" s="13" t="s">
        <v>671</v>
      </c>
      <c r="B135" s="63" t="str">
        <f aca="false">IF(AND(ISNUMBER(01_Inputs!$B$60),ISNUMBER(01_Inputs!$B$58)),01_Inputs!$B$60/01_Inputs!$B$58,"보류")</f>
        <v>보류</v>
      </c>
      <c r="C135" s="9" t="s">
        <v>159</v>
      </c>
      <c r="D135" s="56" t="s">
        <v>672</v>
      </c>
      <c r="E135" s="56"/>
      <c r="F135" s="56"/>
      <c r="G135" s="56"/>
      <c r="H135" s="56"/>
    </row>
    <row r="136" customFormat="false" ht="15" hidden="false" customHeight="false" outlineLevel="0" collapsed="false">
      <c r="A136" s="13" t="s">
        <v>673</v>
      </c>
      <c r="B136" s="63" t="str">
        <f aca="false">IF(AND(ISNUMBER(01_Inputs!$B$60),ISNUMBER(01_Inputs!$B$58),ISNUMBER(01_Inputs!$B$59)),01_Inputs!$B$60/(01_Inputs!$B$58+01_Inputs!$B$59),"보류")</f>
        <v>보류</v>
      </c>
      <c r="C136" s="9" t="s">
        <v>159</v>
      </c>
      <c r="D136" s="56"/>
      <c r="E136" s="56"/>
      <c r="F136" s="56"/>
      <c r="G136" s="56"/>
      <c r="H136" s="56"/>
    </row>
  </sheetData>
  <mergeCells count="69">
    <mergeCell ref="D17:H17"/>
    <mergeCell ref="D18:H18"/>
    <mergeCell ref="D21:H21"/>
    <mergeCell ref="D22:H22"/>
    <mergeCell ref="D23:H23"/>
    <mergeCell ref="D26:H26"/>
    <mergeCell ref="D27:H27"/>
    <mergeCell ref="D28:H28"/>
    <mergeCell ref="D29:H29"/>
    <mergeCell ref="D30:H30"/>
    <mergeCell ref="D31:H31"/>
    <mergeCell ref="D32:H32"/>
    <mergeCell ref="D33:H33"/>
    <mergeCell ref="D36:H36"/>
    <mergeCell ref="D37:H37"/>
    <mergeCell ref="D38:H38"/>
    <mergeCell ref="D39:H39"/>
    <mergeCell ref="D40:H40"/>
    <mergeCell ref="D41:H41"/>
    <mergeCell ref="D42:H42"/>
    <mergeCell ref="D43:H43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7:H67"/>
    <mergeCell ref="D68:H68"/>
    <mergeCell ref="D69:H69"/>
    <mergeCell ref="D70:H70"/>
    <mergeCell ref="D71:H71"/>
    <mergeCell ref="D72:H72"/>
    <mergeCell ref="D80:H80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109:H109"/>
    <mergeCell ref="D112:H112"/>
    <mergeCell ref="D113:H113"/>
    <mergeCell ref="D114:H114"/>
    <mergeCell ref="D115:H115"/>
    <mergeCell ref="D116:H116"/>
    <mergeCell ref="D130:H130"/>
    <mergeCell ref="D131:H131"/>
    <mergeCell ref="D132:H132"/>
    <mergeCell ref="D133:H133"/>
    <mergeCell ref="D134:H134"/>
    <mergeCell ref="D135:H135"/>
    <mergeCell ref="D136:H136"/>
  </mergeCells>
  <conditionalFormatting sqref="J93:AX108">
    <cfRule type="expression" priority="2" aboveAverage="0" equalAverage="0" bottom="0" percent="0" rank="0" text="" dxfId="15">
      <formula>AND(J93=1,ISNUMBER(SEARCH("정제",$A93)))</formula>
    </cfRule>
    <cfRule type="expression" priority="3" aboveAverage="0" equalAverage="0" bottom="0" percent="0" rank="0" text="" dxfId="16">
      <formula>AND(J93=1,ISNUMBER(SEARCH("준비",$A93)))</formula>
    </cfRule>
    <cfRule type="expression" priority="4" aboveAverage="0" equalAverage="0" bottom="0" percent="0" rank="0" text="" dxfId="17">
      <formula>AND(J93=1,ISNUMBER(SEARCH("PQC",$A93)))</formula>
    </cfRule>
    <cfRule type="expression" priority="5" aboveAverage="0" equalAverage="0" bottom="0" percent="0" rank="0" text="" dxfId="18">
      <formula>AND(J93=1,ISNUMBER(SEARCH("충진",$A93)))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900"/>
    <pageSetUpPr fitToPage="false"/>
  </sheetPr>
  <dimension ref="A1:B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.5"/>
    <col collapsed="false" customWidth="true" hidden="false" outlineLevel="0" max="4" min="4" style="0" width="15"/>
    <col collapsed="false" customWidth="true" hidden="false" outlineLevel="0" max="15" min="5" style="0" width="10.5"/>
    <col collapsed="false" customWidth="true" hidden="false" outlineLevel="0" max="16" min="16" style="0" width="14"/>
    <col collapsed="false" customWidth="true" hidden="false" outlineLevel="0" max="35" min="17" style="0" width="10.5"/>
    <col collapsed="false" customWidth="true" hidden="false" outlineLevel="0" max="36" min="36" style="0" width="16"/>
    <col collapsed="false" customWidth="true" hidden="false" outlineLevel="0" max="55" min="37" style="0" width="10.5"/>
    <col collapsed="false" customWidth="true" hidden="false" outlineLevel="0" max="56" min="56" style="0" width="18"/>
    <col collapsed="false" customWidth="true" hidden="false" outlineLevel="0" max="57" min="57" style="0" width="60"/>
  </cols>
  <sheetData>
    <row r="1" customFormat="false" ht="21.6" hidden="false" customHeight="false" outlineLevel="0" collapsed="false">
      <c r="A1" s="1" t="s">
        <v>674</v>
      </c>
    </row>
    <row r="2" customFormat="false" ht="15" hidden="false" customHeight="false" outlineLevel="0" collapsed="false">
      <c r="A2" s="2" t="s">
        <v>675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2</v>
      </c>
      <c r="D3" s="4" t="s">
        <v>4</v>
      </c>
      <c r="E3" s="6" t="s">
        <v>2</v>
      </c>
      <c r="F3" s="4" t="s">
        <v>5</v>
      </c>
      <c r="G3" s="7" t="s">
        <v>2</v>
      </c>
      <c r="H3" s="4" t="s">
        <v>6</v>
      </c>
      <c r="I3" s="8" t="s">
        <v>2</v>
      </c>
      <c r="J3" s="4" t="s">
        <v>7</v>
      </c>
      <c r="K3" s="9" t="s">
        <v>2</v>
      </c>
      <c r="L3" s="4" t="s">
        <v>8</v>
      </c>
      <c r="M3" s="10" t="s">
        <v>2</v>
      </c>
      <c r="N3" s="4" t="s">
        <v>9</v>
      </c>
    </row>
    <row r="5" customFormat="false" ht="54" hidden="false" customHeight="true" outlineLevel="0" collapsed="false">
      <c r="A5" s="11" t="s">
        <v>676</v>
      </c>
      <c r="B5" s="11" t="s">
        <v>311</v>
      </c>
      <c r="C5" s="11" t="s">
        <v>677</v>
      </c>
      <c r="D5" s="11" t="s">
        <v>678</v>
      </c>
      <c r="E5" s="11" t="s">
        <v>679</v>
      </c>
      <c r="F5" s="11" t="s">
        <v>680</v>
      </c>
      <c r="G5" s="11" t="s">
        <v>681</v>
      </c>
      <c r="H5" s="11" t="s">
        <v>682</v>
      </c>
      <c r="I5" s="11" t="s">
        <v>683</v>
      </c>
      <c r="J5" s="11" t="s">
        <v>684</v>
      </c>
      <c r="K5" s="11" t="s">
        <v>685</v>
      </c>
      <c r="L5" s="11" t="s">
        <v>686</v>
      </c>
      <c r="M5" s="11" t="s">
        <v>687</v>
      </c>
      <c r="N5" s="11" t="s">
        <v>688</v>
      </c>
      <c r="O5" s="11" t="s">
        <v>689</v>
      </c>
      <c r="P5" s="11" t="s">
        <v>690</v>
      </c>
      <c r="Q5" s="33" t="s">
        <v>691</v>
      </c>
      <c r="R5" s="11" t="s">
        <v>692</v>
      </c>
      <c r="S5" s="11" t="s">
        <v>693</v>
      </c>
      <c r="T5" s="11" t="s">
        <v>694</v>
      </c>
      <c r="U5" s="11" t="s">
        <v>695</v>
      </c>
      <c r="V5" s="33" t="s">
        <v>696</v>
      </c>
      <c r="W5" s="11" t="s">
        <v>697</v>
      </c>
      <c r="X5" s="11" t="s">
        <v>698</v>
      </c>
      <c r="Y5" s="11" t="s">
        <v>699</v>
      </c>
      <c r="Z5" s="11" t="s">
        <v>700</v>
      </c>
      <c r="AA5" s="33" t="s">
        <v>701</v>
      </c>
      <c r="AB5" s="33" t="s">
        <v>702</v>
      </c>
      <c r="AC5" s="33" t="s">
        <v>703</v>
      </c>
      <c r="AD5" s="11" t="s">
        <v>704</v>
      </c>
      <c r="AE5" s="11" t="s">
        <v>705</v>
      </c>
      <c r="AF5" s="11" t="s">
        <v>706</v>
      </c>
      <c r="AG5" s="11" t="s">
        <v>707</v>
      </c>
      <c r="AH5" s="11" t="s">
        <v>708</v>
      </c>
      <c r="AI5" s="11" t="s">
        <v>709</v>
      </c>
      <c r="AJ5" s="33" t="s">
        <v>710</v>
      </c>
      <c r="AK5" s="33" t="s">
        <v>711</v>
      </c>
      <c r="AL5" s="33" t="s">
        <v>712</v>
      </c>
      <c r="AM5" s="11" t="s">
        <v>713</v>
      </c>
      <c r="AN5" s="11" t="s">
        <v>714</v>
      </c>
      <c r="AO5" s="11" t="s">
        <v>715</v>
      </c>
      <c r="AP5" s="11" t="s">
        <v>716</v>
      </c>
      <c r="AQ5" s="11" t="s">
        <v>717</v>
      </c>
      <c r="AR5" s="11" t="s">
        <v>718</v>
      </c>
      <c r="AS5" s="11" t="s">
        <v>719</v>
      </c>
      <c r="AT5" s="11" t="s">
        <v>720</v>
      </c>
      <c r="AU5" s="11" t="s">
        <v>721</v>
      </c>
      <c r="AV5" s="33" t="s">
        <v>722</v>
      </c>
      <c r="AW5" s="11" t="s">
        <v>723</v>
      </c>
      <c r="AX5" s="11" t="s">
        <v>724</v>
      </c>
      <c r="AY5" s="11" t="s">
        <v>725</v>
      </c>
      <c r="AZ5" s="11" t="s">
        <v>726</v>
      </c>
      <c r="BA5" s="11" t="s">
        <v>727</v>
      </c>
      <c r="BB5" s="11" t="s">
        <v>728</v>
      </c>
      <c r="BC5" s="11" t="s">
        <v>729</v>
      </c>
      <c r="BD5" s="11" t="s">
        <v>730</v>
      </c>
      <c r="BE5" s="11" t="s">
        <v>731</v>
      </c>
    </row>
    <row r="6" customFormat="false" ht="15" hidden="false" customHeight="false" outlineLevel="0" collapsed="false">
      <c r="A6" s="67" t="n">
        <v>46023</v>
      </c>
      <c r="B6" s="16" t="n">
        <f aca="false">YEAR(A6)</f>
        <v>2026</v>
      </c>
      <c r="C6" s="16" t="n">
        <f aca="false">DAY(EOMONTH(A6,0))</f>
        <v>31</v>
      </c>
      <c r="D6" s="9" t="str">
        <f aca="false">IF(A6&lt;01_Inputs!$B$75,"현재 (1대)",IF(A6&lt;=01_Inputs!$B$76,"공사",IF(A6&lt;01_Inputs!$B$78,"시운전",IF(AND(ISNUMBER(01_Inputs!$B$72),A6&gt;=01_Inputs!$B$72),"개선 (2대·105℃)","개선 (2대)"))))</f>
        <v>현재 (1대)</v>
      </c>
      <c r="E6" s="16" t="n">
        <f aca="false">IF(LEFT(D6,2)="개선",01_Inputs!$B$8,01_Inputs!$B$7)</f>
        <v>1</v>
      </c>
      <c r="F6" s="68"/>
      <c r="G6" s="15" t="n">
        <f aca="false">IF(D6="공사",IF(ISNUMBER(01_Inputs!$B$80),01_Inputs!$B$80,"미확인"),IF(D6="시운전","시운전",E6*C6*24-N(F6)))</f>
        <v>744</v>
      </c>
      <c r="H6" s="27" t="n">
        <f aca="false">IF(OR(D6="현재 (1대)",D6="공사"),03_Capacity_Model!$B$80,IF(D6="개선 (2대)",IF(ISNUMBER(01_Inputs!$B$83),01_Inputs!$B$83,"미확인"),IF(D6="개선 (2대·105℃)",IF(ISNUMBER(01_Inputs!$B$73),01_Inputs!$B$73,"미확인"),"-")))</f>
        <v>67.4716981132076</v>
      </c>
      <c r="I6" s="15" t="n">
        <f aca="false">0</f>
        <v>0</v>
      </c>
      <c r="J6" s="48" t="n">
        <f aca="false">IF(D6="시운전",IF(ISNUMBER(01_Inputs!$B$81),01_Inputs!$B$81,"미확인"),IF(AND(ISNUMBER(G6),ISNUMBER(H6)),INT((G6+I6)/H6),"미확인"))</f>
        <v>11</v>
      </c>
      <c r="K6" s="15" t="n">
        <f aca="false">IF(AND(ISNUMBER(G6),ISNUMBER(H6),ISNUMBER(J6)),G6+I6-J6*H6,"")</f>
        <v>1.81132075471692</v>
      </c>
      <c r="L6" s="57" t="str">
        <f aca="false">IF(COUNTIFS(02_Batch_Raw!$E$6:$E$61,"&gt;="&amp;A6,02_Batch_Raw!$E$6:$E$61,"&lt;="&amp;EOMONTH(A6,0))=0,"",COUNTIFS(02_Batch_Raw!$E$6:$E$61,"&gt;="&amp;A6,02_Batch_Raw!$E$6:$E$61,"&lt;="&amp;EOMONTH(A6,0)))</f>
        <v/>
      </c>
      <c r="M6" s="57" t="str">
        <f aca="false">""</f>
        <v/>
      </c>
      <c r="N6" s="69"/>
      <c r="O6" s="16" t="n">
        <f aca="false">IF(ISNUMBER(N6),N6,J6)</f>
        <v>11</v>
      </c>
      <c r="P6" s="13" t="str">
        <f aca="false">IF(ISNUMBER(N6),"실적 입력",IF(ISNUMBER(J6),"추정 생산 가능량","미확인"))</f>
        <v>추정 생산 가능량</v>
      </c>
      <c r="Q6" s="22" t="n">
        <f aca="false">IF(LEFT(D6,2)="개선",IF(ISNUMBER(01_Inputs!$B$61),01_Inputs!$B$61,01_Inputs!$B$49),01_Inputs!$B$49)</f>
        <v>190</v>
      </c>
      <c r="R6" s="22" t="n">
        <f aca="false">IF(ISNUMBER(O6),O6*Q6,"미확인")</f>
        <v>2090</v>
      </c>
      <c r="S6" s="45" t="n">
        <f aca="false">IF(ISNUMBER(R6),R6*IF(ISNUMBER(01_Inputs!$B$106),01_Inputs!$B$106,1),"미확인")</f>
        <v>2090</v>
      </c>
      <c r="T6" s="37" t="n">
        <f aca="false">IF(A6&lt;01_Inputs!$B$78,01_Inputs!$B$63,IF(D6="개선 (2대·105℃)",01_Inputs!$B$68,01_Inputs!$B$65))*1000/12</f>
        <v>2183.33333333333</v>
      </c>
      <c r="U6" s="70" t="n">
        <f aca="false">IF(ISNUMBER(01_Inputs!$C$126),01_Inputs!$C$126,"미제시")</f>
        <v>1600</v>
      </c>
      <c r="V6" s="70" t="str">
        <f aca="false">IF(ISNUMBER(01_Inputs!$C$127),01_Inputs!$C$127,"미제시")</f>
        <v>미제시</v>
      </c>
      <c r="W6" s="70" t="n">
        <f aca="false">IF(ISNUMBER(01_Inputs!$C$128),01_Inputs!$C$128,"미제시")</f>
        <v>0</v>
      </c>
      <c r="X6" s="70" t="str">
        <f aca="false">IF(ISNUMBER(01_Inputs!$C$129),01_Inputs!$C$129,"미제시")</f>
        <v>미제시</v>
      </c>
      <c r="Y6" s="35" t="n">
        <f aca="false">SUM(U6:X6)</f>
        <v>1600</v>
      </c>
      <c r="Z6" s="64" t="n">
        <f aca="false">Y6/Q6</f>
        <v>8.42105263157895</v>
      </c>
      <c r="AA6" s="64" t="n">
        <f aca="false">(N(U6)+N(V6))/01_Inputs!$B$42</f>
        <v>80</v>
      </c>
      <c r="AB6" s="15" t="n">
        <f aca="false">AA6*01_Inputs!$B$28</f>
        <v>160</v>
      </c>
      <c r="AC6" s="15" t="n">
        <f aca="false">AA6/01_Inputs!$B$29*01_Inputs!$B$32</f>
        <v>17.7777777777778</v>
      </c>
      <c r="AD6" s="64" t="n">
        <f aca="false">N(W6)/01_Inputs!$B$43</f>
        <v>0</v>
      </c>
      <c r="AE6" s="64" t="n">
        <f aca="false">N(X6)/01_Inputs!$B$44</f>
        <v>0</v>
      </c>
      <c r="AF6" s="13" t="str">
        <f aca="false">IF(AD6=0,"-",IF(A6&gt;=01_Inputs!$B$47,"ARS","수동"))</f>
        <v>-</v>
      </c>
      <c r="AG6" s="13" t="str">
        <f aca="false">IF(AE6=0,"-",IF(A6&gt;=01_Inputs!$B$46,"ARS","수동"))</f>
        <v>-</v>
      </c>
      <c r="AH6" s="15" t="n">
        <f aca="false">IF(AD6=0,0,IF(AF6="수동",AD6*01_Inputs!$B$34,IF(ISNUMBER(01_Inputs!$B$36),AD6*01_Inputs!$B$36,"미확인")))</f>
        <v>0</v>
      </c>
      <c r="AI6" s="15" t="n">
        <f aca="false">IF(AE6=0,0,IF(AG6="수동",IF(ISNUMBER(01_Inputs!$B$35),AE6*01_Inputs!$B$35,"미확인"),IF(ISNUMBER(01_Inputs!$B$37),AE6*01_Inputs!$B$37,"미확인")))</f>
        <v>0</v>
      </c>
      <c r="AJ6" s="15" t="n">
        <f aca="false">IF(AND(ISNUMBER(AH6),ISNUMBER(AI6)),AH6+AI6,"부분 "&amp;TEXT(N(AH6)+N(AI6),"0")&amp;" h + 미확인")</f>
        <v>0</v>
      </c>
      <c r="AK6" s="15" t="n">
        <f aca="false">(AD6+AE6)*01_Inputs!$B$38</f>
        <v>0</v>
      </c>
      <c r="AL6" s="15" t="n">
        <f aca="false">(AD6+AE6)*01_Inputs!$B$33</f>
        <v>0</v>
      </c>
      <c r="AM6" s="15" t="str">
        <f aca="false">IF(ISNUMBER(01_Inputs!$B$87),01_Inputs!$B$87,"미확인")</f>
        <v>미확인</v>
      </c>
      <c r="AN6" s="15" t="str">
        <f aca="false">IF(ISNUMBER(AM6),AM6-AB6,"미확인")</f>
        <v>미확인</v>
      </c>
      <c r="AO6" s="37" t="n">
        <f aca="false">T6-Y6</f>
        <v>583.333333333334</v>
      </c>
      <c r="AP6" s="37" t="n">
        <f aca="false">IF(ISNUMBER(S6),S6-Y6,"미확인")</f>
        <v>490</v>
      </c>
      <c r="AQ6" s="37" t="n">
        <f aca="false">IF(ISNUMBER(AP6),AP6,"보류")</f>
        <v>490</v>
      </c>
      <c r="AR6" s="37" t="str">
        <f aca="false">IF(ISNUMBER(01_Inputs!$B$103),01_Inputs!$B$103,"미입력")</f>
        <v>미입력</v>
      </c>
      <c r="AS6" s="37" t="str">
        <f aca="false">IF(AND(ISNUMBER(AR6),ISNUMBER(S6)),AR6+S6,"보류")</f>
        <v>보류</v>
      </c>
      <c r="AT6" s="37" t="str">
        <f aca="false">IF(ISNUMBER(AS6),MIN(AS6,U6),"보류")</f>
        <v>보류</v>
      </c>
      <c r="AU6" s="37" t="str">
        <f aca="false">IF(ISNUMBER(AS6),MIN(AS6-AT6,N(01_Inputs!$B$104)),"보류")</f>
        <v>보류</v>
      </c>
      <c r="AV6" s="37" t="str">
        <f aca="false">IF(ISNUMBER(AS6),IF((N(V6)+N(W6)+N(X6))=0,0,MIN(N(V6),(AS6-AT6-AU6)*N(V6)/(N(V6)+N(W6)+N(X6)))),"보류")</f>
        <v>보류</v>
      </c>
      <c r="AW6" s="37" t="str">
        <f aca="false">IF(ISNUMBER(AS6),IF((N(V6)+N(W6)+N(X6))=0,0,MIN(N(W6),(AS6-AT6-AU6)*N(W6)/(N(V6)+N(W6)+N(X6)))),"보류")</f>
        <v>보류</v>
      </c>
      <c r="AX6" s="37" t="str">
        <f aca="false">IF(ISNUMBER(AS6),IF((N(V6)+N(W6)+N(X6))=0,0,MIN(N(X6),(AS6-AT6-AU6)*N(X6)/(N(V6)+N(W6)+N(X6)))),"보류")</f>
        <v>보류</v>
      </c>
      <c r="AY6" s="37" t="str">
        <f aca="false">IF(ISNUMBER(AS6),Y6-AT6-AV6-AW6-AX6,"보류")</f>
        <v>보류</v>
      </c>
      <c r="AZ6" s="35" t="str">
        <f aca="false">IF(ISNUMBER(AS6),AS6-AT6-AV6-AW6-AX6,"보류")</f>
        <v>보류</v>
      </c>
      <c r="BA6" s="37" t="str">
        <f aca="false">IF(ISNUMBER(01_Inputs!$B$105),01_Inputs!$B$105,"미입력")</f>
        <v>미입력</v>
      </c>
      <c r="BB6" s="37" t="str">
        <f aca="false">IF(AND(ISNUMBER(AR6),ISNUMBER(BA6)),Y6+BA6-AR6,"보류")</f>
        <v>보류</v>
      </c>
      <c r="BC6" s="37" t="str">
        <f aca="false">IF(AND(ISNUMBER(AZ6),ISNUMBER(BA6)),AZ6-BA6,"보류")</f>
        <v>보류</v>
      </c>
      <c r="BD6" s="13" t="str">
        <f aca="false">IF(ISNUMBER(AZ6),"계산 가능",IF(ISNUMBER(AP6),"부분 (재고 입력 필요)","보류 (생산 조건 미확인)"))</f>
        <v>부분 (재고 입력 필요)</v>
      </c>
      <c r="BE6" s="9" t="str">
        <f aca="false">IF(D6="공사",IF(ISNUMBER(01_Inputs!$B$80),"","공사 중 가용시간·"),"")&amp;IF(D6="시운전",IF(ISNUMBER(01_Inputs!$B$81),"","시운전 양품·"),"")&amp;IF(D6="개선 (2대)",IF(ISNUMBER(01_Inputs!$B$83),"","설비별 간격·"),"")&amp;IF(D6="개선 (2대·105℃)",IF(ISNUMBER(01_Inputs!$B$73),"","105℃ 간격·"),"")&amp;IF(ISNUMBER(N6),"","실적·")&amp;IF(ISNUMBER(01_Inputs!$B$106),"","양품률(100% 상한)·")&amp;IF(COUNTIF(U6:X6,"미제시")&gt;0,"고객 물량 미제시·","")&amp;IF(ISNUMBER(AJ6),"","200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7" customFormat="false" ht="15" hidden="false" customHeight="false" outlineLevel="0" collapsed="false">
      <c r="A7" s="67" t="n">
        <v>46054</v>
      </c>
      <c r="B7" s="16" t="n">
        <f aca="false">YEAR(A7)</f>
        <v>2026</v>
      </c>
      <c r="C7" s="16" t="n">
        <f aca="false">DAY(EOMONTH(A7,0))</f>
        <v>28</v>
      </c>
      <c r="D7" s="9" t="str">
        <f aca="false">IF(A7&lt;01_Inputs!$B$75,"현재 (1대)",IF(A7&lt;=01_Inputs!$B$76,"공사",IF(A7&lt;01_Inputs!$B$78,"시운전",IF(AND(ISNUMBER(01_Inputs!$B$72),A7&gt;=01_Inputs!$B$72),"개선 (2대·105℃)","개선 (2대)"))))</f>
        <v>현재 (1대)</v>
      </c>
      <c r="E7" s="16" t="n">
        <f aca="false">IF(LEFT(D7,2)="개선",01_Inputs!$B$8,01_Inputs!$B$7)</f>
        <v>1</v>
      </c>
      <c r="F7" s="68"/>
      <c r="G7" s="15" t="n">
        <f aca="false">IF(D7="공사",IF(ISNUMBER(01_Inputs!$B$80),01_Inputs!$B$80,"미확인"),IF(D7="시운전","시운전",E7*C7*24-N(F7)))</f>
        <v>672</v>
      </c>
      <c r="H7" s="27" t="n">
        <f aca="false">IF(OR(D7="현재 (1대)",D7="공사"),03_Capacity_Model!$B$80,IF(D7="개선 (2대)",IF(ISNUMBER(01_Inputs!$B$83),01_Inputs!$B$83,"미확인"),IF(D7="개선 (2대·105℃)",IF(ISNUMBER(01_Inputs!$B$73),01_Inputs!$B$73,"미확인"),"-")))</f>
        <v>67.4716981132076</v>
      </c>
      <c r="I7" s="15" t="n">
        <f aca="false">IF(AND(ISNUMBER(K6),D6=D7),K6,0)</f>
        <v>1.81132075471692</v>
      </c>
      <c r="J7" s="48" t="n">
        <f aca="false">IF(D7="시운전",IF(ISNUMBER(01_Inputs!$B$81),01_Inputs!$B$81,"미확인"),IF(AND(ISNUMBER(G7),ISNUMBER(H7)),INT((G7+I7)/H7),"미확인"))</f>
        <v>9</v>
      </c>
      <c r="K7" s="15" t="n">
        <f aca="false">IF(AND(ISNUMBER(G7),ISNUMBER(H7),ISNUMBER(J7)),G7+I7-J7*H7,"")</f>
        <v>66.5660377358489</v>
      </c>
      <c r="L7" s="57" t="str">
        <f aca="false">IF(COUNTIFS(02_Batch_Raw!$E$6:$E$61,"&gt;="&amp;A7,02_Batch_Raw!$E$6:$E$61,"&lt;="&amp;EOMONTH(A7,0))=0,"",COUNTIFS(02_Batch_Raw!$E$6:$E$61,"&gt;="&amp;A7,02_Batch_Raw!$E$6:$E$61,"&lt;="&amp;EOMONTH(A7,0)))</f>
        <v/>
      </c>
      <c r="M7" s="57" t="str">
        <f aca="false">""</f>
        <v/>
      </c>
      <c r="N7" s="69"/>
      <c r="O7" s="16" t="n">
        <f aca="false">IF(ISNUMBER(N7),N7,J7)</f>
        <v>9</v>
      </c>
      <c r="P7" s="13" t="str">
        <f aca="false">IF(ISNUMBER(N7),"실적 입력",IF(ISNUMBER(J7),"추정 생산 가능량","미확인"))</f>
        <v>추정 생산 가능량</v>
      </c>
      <c r="Q7" s="22" t="n">
        <f aca="false">IF(LEFT(D7,2)="개선",IF(ISNUMBER(01_Inputs!$B$61),01_Inputs!$B$61,01_Inputs!$B$49),01_Inputs!$B$49)</f>
        <v>190</v>
      </c>
      <c r="R7" s="22" t="n">
        <f aca="false">IF(ISNUMBER(O7),O7*Q7,"미확인")</f>
        <v>1710</v>
      </c>
      <c r="S7" s="45" t="n">
        <f aca="false">IF(ISNUMBER(R7),R7*IF(ISNUMBER(01_Inputs!$B$106),01_Inputs!$B$106,1),"미확인")</f>
        <v>1710</v>
      </c>
      <c r="T7" s="37" t="n">
        <f aca="false">IF(A7&lt;01_Inputs!$B$78,01_Inputs!$B$63,IF(D7="개선 (2대·105℃)",01_Inputs!$B$68,01_Inputs!$B$65))*1000/12</f>
        <v>2183.33333333333</v>
      </c>
      <c r="U7" s="70" t="n">
        <f aca="false">IF(ISNUMBER(01_Inputs!$D$126),01_Inputs!$D$126,"미제시")</f>
        <v>1420</v>
      </c>
      <c r="V7" s="70" t="str">
        <f aca="false">IF(ISNUMBER(01_Inputs!$D$127),01_Inputs!$D$127,"미제시")</f>
        <v>미제시</v>
      </c>
      <c r="W7" s="70" t="n">
        <f aca="false">IF(ISNUMBER(01_Inputs!$D$128),01_Inputs!$D$128,"미제시")</f>
        <v>0</v>
      </c>
      <c r="X7" s="70" t="str">
        <f aca="false">IF(ISNUMBER(01_Inputs!$D$129),01_Inputs!$D$129,"미제시")</f>
        <v>미제시</v>
      </c>
      <c r="Y7" s="35" t="n">
        <f aca="false">SUM(U7:X7)</f>
        <v>1420</v>
      </c>
      <c r="Z7" s="64" t="n">
        <f aca="false">Y7/Q7</f>
        <v>7.47368421052632</v>
      </c>
      <c r="AA7" s="64" t="n">
        <f aca="false">(N(U7)+N(V7))/01_Inputs!$B$42</f>
        <v>71</v>
      </c>
      <c r="AB7" s="15" t="n">
        <f aca="false">AA7*01_Inputs!$B$28</f>
        <v>142</v>
      </c>
      <c r="AC7" s="15" t="n">
        <f aca="false">AA7/01_Inputs!$B$29*01_Inputs!$B$32</f>
        <v>15.7777777777778</v>
      </c>
      <c r="AD7" s="64" t="n">
        <f aca="false">N(W7)/01_Inputs!$B$43</f>
        <v>0</v>
      </c>
      <c r="AE7" s="64" t="n">
        <f aca="false">N(X7)/01_Inputs!$B$44</f>
        <v>0</v>
      </c>
      <c r="AF7" s="13" t="str">
        <f aca="false">IF(AD7=0,"-",IF(A7&gt;=01_Inputs!$B$47,"ARS","수동"))</f>
        <v>-</v>
      </c>
      <c r="AG7" s="13" t="str">
        <f aca="false">IF(AE7=0,"-",IF(A7&gt;=01_Inputs!$B$46,"ARS","수동"))</f>
        <v>-</v>
      </c>
      <c r="AH7" s="15" t="n">
        <f aca="false">IF(AD7=0,0,IF(AF7="수동",AD7*01_Inputs!$B$34,IF(ISNUMBER(01_Inputs!$B$36),AD7*01_Inputs!$B$36,"미확인")))</f>
        <v>0</v>
      </c>
      <c r="AI7" s="15" t="n">
        <f aca="false">IF(AE7=0,0,IF(AG7="수동",IF(ISNUMBER(01_Inputs!$B$35),AE7*01_Inputs!$B$35,"미확인"),IF(ISNUMBER(01_Inputs!$B$37),AE7*01_Inputs!$B$37,"미확인")))</f>
        <v>0</v>
      </c>
      <c r="AJ7" s="15" t="n">
        <f aca="false">IF(AND(ISNUMBER(AH7),ISNUMBER(AI7)),AH7+AI7,"부분 "&amp;TEXT(N(AH7)+N(AI7),"0")&amp;" h + 미확인")</f>
        <v>0</v>
      </c>
      <c r="AK7" s="15" t="n">
        <f aca="false">(AD7+AE7)*01_Inputs!$B$38</f>
        <v>0</v>
      </c>
      <c r="AL7" s="15" t="n">
        <f aca="false">(AD7+AE7)*01_Inputs!$B$33</f>
        <v>0</v>
      </c>
      <c r="AM7" s="15" t="str">
        <f aca="false">IF(ISNUMBER(01_Inputs!$B$87),01_Inputs!$B$87,"미확인")</f>
        <v>미확인</v>
      </c>
      <c r="AN7" s="15" t="str">
        <f aca="false">IF(ISNUMBER(AM7),AM7-AB7,"미확인")</f>
        <v>미확인</v>
      </c>
      <c r="AO7" s="37" t="n">
        <f aca="false">T7-Y7</f>
        <v>763.333333333334</v>
      </c>
      <c r="AP7" s="37" t="n">
        <f aca="false">IF(ISNUMBER(S7),S7-Y7,"미확인")</f>
        <v>290</v>
      </c>
      <c r="AQ7" s="37" t="n">
        <f aca="false">IF(AND(ISNUMBER(AP7),ISNUMBER(AQ6)),AQ6+AP7,"보류")</f>
        <v>780</v>
      </c>
      <c r="AR7" s="37" t="str">
        <f aca="false">IF(ISNUMBER(AZ6),AZ6,"보류")</f>
        <v>보류</v>
      </c>
      <c r="AS7" s="37" t="str">
        <f aca="false">IF(AND(ISNUMBER(AR7),ISNUMBER(S7)),AR7+S7,"보류")</f>
        <v>보류</v>
      </c>
      <c r="AT7" s="37" t="str">
        <f aca="false">IF(ISNUMBER(AS7),MIN(AS7,U7),"보류")</f>
        <v>보류</v>
      </c>
      <c r="AU7" s="37" t="str">
        <f aca="false">IF(ISNUMBER(AS7),MIN(AS7-AT7,N(01_Inputs!$B$104)),"보류")</f>
        <v>보류</v>
      </c>
      <c r="AV7" s="37" t="str">
        <f aca="false">IF(ISNUMBER(AS7),IF((N(V7)+N(W7)+N(X7))=0,0,MIN(N(V7),(AS7-AT7-AU7)*N(V7)/(N(V7)+N(W7)+N(X7)))),"보류")</f>
        <v>보류</v>
      </c>
      <c r="AW7" s="37" t="str">
        <f aca="false">IF(ISNUMBER(AS7),IF((N(V7)+N(W7)+N(X7))=0,0,MIN(N(W7),(AS7-AT7-AU7)*N(W7)/(N(V7)+N(W7)+N(X7)))),"보류")</f>
        <v>보류</v>
      </c>
      <c r="AX7" s="37" t="str">
        <f aca="false">IF(ISNUMBER(AS7),IF((N(V7)+N(W7)+N(X7))=0,0,MIN(N(X7),(AS7-AT7-AU7)*N(X7)/(N(V7)+N(W7)+N(X7)))),"보류")</f>
        <v>보류</v>
      </c>
      <c r="AY7" s="37" t="str">
        <f aca="false">IF(ISNUMBER(AS7),Y7-AT7-AV7-AW7-AX7,"보류")</f>
        <v>보류</v>
      </c>
      <c r="AZ7" s="35" t="str">
        <f aca="false">IF(ISNUMBER(AS7),AS7-AT7-AV7-AW7-AX7,"보류")</f>
        <v>보류</v>
      </c>
      <c r="BA7" s="37" t="str">
        <f aca="false">IF(ISNUMBER(01_Inputs!$B$105),01_Inputs!$B$105,"미입력")</f>
        <v>미입력</v>
      </c>
      <c r="BB7" s="37" t="str">
        <f aca="false">IF(AND(ISNUMBER(AR7),ISNUMBER(BA7)),Y7+BA7-AR7,"보류")</f>
        <v>보류</v>
      </c>
      <c r="BC7" s="37" t="str">
        <f aca="false">IF(AND(ISNUMBER(AZ7),ISNUMBER(BA7)),AZ7-BA7,"보류")</f>
        <v>보류</v>
      </c>
      <c r="BD7" s="13" t="str">
        <f aca="false">IF(ISNUMBER(AZ7),"계산 가능",IF(ISNUMBER(AP7),"부분 (재고 입력 필요)","보류 (생산 조건 미확인)"))</f>
        <v>부분 (재고 입력 필요)</v>
      </c>
      <c r="BE7" s="9" t="str">
        <f aca="false">IF(D7="공사",IF(ISNUMBER(01_Inputs!$B$80),"","공사 중 가용시간·"),"")&amp;IF(D7="시운전",IF(ISNUMBER(01_Inputs!$B$81),"","시운전 양품·"),"")&amp;IF(D7="개선 (2대)",IF(ISNUMBER(01_Inputs!$B$83),"","설비별 간격·"),"")&amp;IF(D7="개선 (2대·105℃)",IF(ISNUMBER(01_Inputs!$B$73),"","105℃ 간격·"),"")&amp;IF(ISNUMBER(N7),"","실적·")&amp;IF(ISNUMBER(01_Inputs!$B$106),"","양품률(100% 상한)·")&amp;IF(COUNTIF(U7:X7,"미제시")&gt;0,"고객 물량 미제시·","")&amp;IF(ISNUMBER(AJ7),"","200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8" customFormat="false" ht="15" hidden="false" customHeight="false" outlineLevel="0" collapsed="false">
      <c r="A8" s="67" t="n">
        <v>46082</v>
      </c>
      <c r="B8" s="16" t="n">
        <f aca="false">YEAR(A8)</f>
        <v>2026</v>
      </c>
      <c r="C8" s="16" t="n">
        <f aca="false">DAY(EOMONTH(A8,0))</f>
        <v>31</v>
      </c>
      <c r="D8" s="9" t="str">
        <f aca="false">IF(A8&lt;01_Inputs!$B$75,"현재 (1대)",IF(A8&lt;=01_Inputs!$B$76,"공사",IF(A8&lt;01_Inputs!$B$78,"시운전",IF(AND(ISNUMBER(01_Inputs!$B$72),A8&gt;=01_Inputs!$B$72),"개선 (2대·105℃)","개선 (2대)"))))</f>
        <v>현재 (1대)</v>
      </c>
      <c r="E8" s="16" t="n">
        <f aca="false">IF(LEFT(D8,2)="개선",01_Inputs!$B$8,01_Inputs!$B$7)</f>
        <v>1</v>
      </c>
      <c r="F8" s="68"/>
      <c r="G8" s="15" t="n">
        <f aca="false">IF(D8="공사",IF(ISNUMBER(01_Inputs!$B$80),01_Inputs!$B$80,"미확인"),IF(D8="시운전","시운전",E8*C8*24-N(F8)))</f>
        <v>744</v>
      </c>
      <c r="H8" s="27" t="n">
        <f aca="false">IF(OR(D8="현재 (1대)",D8="공사"),03_Capacity_Model!$B$80,IF(D8="개선 (2대)",IF(ISNUMBER(01_Inputs!$B$83),01_Inputs!$B$83,"미확인"),IF(D8="개선 (2대·105℃)",IF(ISNUMBER(01_Inputs!$B$73),01_Inputs!$B$73,"미확인"),"-")))</f>
        <v>67.4716981132076</v>
      </c>
      <c r="I8" s="15" t="n">
        <f aca="false">IF(AND(ISNUMBER(K7),D7=D8),K7,0)</f>
        <v>66.5660377358489</v>
      </c>
      <c r="J8" s="48" t="n">
        <f aca="false">IF(D8="시운전",IF(ISNUMBER(01_Inputs!$B$81),01_Inputs!$B$81,"미확인"),IF(AND(ISNUMBER(G8),ISNUMBER(H8)),INT((G8+I8)/H8),"미확인"))</f>
        <v>12</v>
      </c>
      <c r="K8" s="15" t="n">
        <f aca="false">IF(AND(ISNUMBER(G8),ISNUMBER(H8),ISNUMBER(J8)),G8+I8-J8*H8,"")</f>
        <v>0.905660377358231</v>
      </c>
      <c r="L8" s="57" t="str">
        <f aca="false">IF(COUNTIFS(02_Batch_Raw!$E$6:$E$61,"&gt;="&amp;A8,02_Batch_Raw!$E$6:$E$61,"&lt;="&amp;EOMONTH(A8,0))=0,"",COUNTIFS(02_Batch_Raw!$E$6:$E$61,"&gt;="&amp;A8,02_Batch_Raw!$E$6:$E$61,"&lt;="&amp;EOMONTH(A8,0)))</f>
        <v/>
      </c>
      <c r="M8" s="57" t="str">
        <f aca="false">""</f>
        <v/>
      </c>
      <c r="N8" s="69"/>
      <c r="O8" s="16" t="n">
        <f aca="false">IF(ISNUMBER(N8),N8,J8)</f>
        <v>12</v>
      </c>
      <c r="P8" s="13" t="str">
        <f aca="false">IF(ISNUMBER(N8),"실적 입력",IF(ISNUMBER(J8),"추정 생산 가능량","미확인"))</f>
        <v>추정 생산 가능량</v>
      </c>
      <c r="Q8" s="22" t="n">
        <f aca="false">IF(LEFT(D8,2)="개선",IF(ISNUMBER(01_Inputs!$B$61),01_Inputs!$B$61,01_Inputs!$B$49),01_Inputs!$B$49)</f>
        <v>190</v>
      </c>
      <c r="R8" s="22" t="n">
        <f aca="false">IF(ISNUMBER(O8),O8*Q8,"미확인")</f>
        <v>2280</v>
      </c>
      <c r="S8" s="45" t="n">
        <f aca="false">IF(ISNUMBER(R8),R8*IF(ISNUMBER(01_Inputs!$B$106),01_Inputs!$B$106,1),"미확인")</f>
        <v>2280</v>
      </c>
      <c r="T8" s="37" t="n">
        <f aca="false">IF(A8&lt;01_Inputs!$B$78,01_Inputs!$B$63,IF(D8="개선 (2대·105℃)",01_Inputs!$B$68,01_Inputs!$B$65))*1000/12</f>
        <v>2183.33333333333</v>
      </c>
      <c r="U8" s="70" t="n">
        <f aca="false">IF(ISNUMBER(01_Inputs!$E$126),01_Inputs!$E$126,"미제시")</f>
        <v>1440</v>
      </c>
      <c r="V8" s="70" t="str">
        <f aca="false">IF(ISNUMBER(01_Inputs!$E$127),01_Inputs!$E$127,"미제시")</f>
        <v>미제시</v>
      </c>
      <c r="W8" s="70" t="n">
        <f aca="false">IF(ISNUMBER(01_Inputs!$E$128),01_Inputs!$E$128,"미제시")</f>
        <v>0</v>
      </c>
      <c r="X8" s="70" t="str">
        <f aca="false">IF(ISNUMBER(01_Inputs!$E$129),01_Inputs!$E$129,"미제시")</f>
        <v>미제시</v>
      </c>
      <c r="Y8" s="35" t="n">
        <f aca="false">SUM(U8:X8)</f>
        <v>1440</v>
      </c>
      <c r="Z8" s="64" t="n">
        <f aca="false">Y8/Q8</f>
        <v>7.57894736842105</v>
      </c>
      <c r="AA8" s="64" t="n">
        <f aca="false">(N(U8)+N(V8))/01_Inputs!$B$42</f>
        <v>72</v>
      </c>
      <c r="AB8" s="15" t="n">
        <f aca="false">AA8*01_Inputs!$B$28</f>
        <v>144</v>
      </c>
      <c r="AC8" s="15" t="n">
        <f aca="false">AA8/01_Inputs!$B$29*01_Inputs!$B$32</f>
        <v>16</v>
      </c>
      <c r="AD8" s="64" t="n">
        <f aca="false">N(W8)/01_Inputs!$B$43</f>
        <v>0</v>
      </c>
      <c r="AE8" s="64" t="n">
        <f aca="false">N(X8)/01_Inputs!$B$44</f>
        <v>0</v>
      </c>
      <c r="AF8" s="13" t="str">
        <f aca="false">IF(AD8=0,"-",IF(A8&gt;=01_Inputs!$B$47,"ARS","수동"))</f>
        <v>-</v>
      </c>
      <c r="AG8" s="13" t="str">
        <f aca="false">IF(AE8=0,"-",IF(A8&gt;=01_Inputs!$B$46,"ARS","수동"))</f>
        <v>-</v>
      </c>
      <c r="AH8" s="15" t="n">
        <f aca="false">IF(AD8=0,0,IF(AF8="수동",AD8*01_Inputs!$B$34,IF(ISNUMBER(01_Inputs!$B$36),AD8*01_Inputs!$B$36,"미확인")))</f>
        <v>0</v>
      </c>
      <c r="AI8" s="15" t="n">
        <f aca="false">IF(AE8=0,0,IF(AG8="수동",IF(ISNUMBER(01_Inputs!$B$35),AE8*01_Inputs!$B$35,"미확인"),IF(ISNUMBER(01_Inputs!$B$37),AE8*01_Inputs!$B$37,"미확인")))</f>
        <v>0</v>
      </c>
      <c r="AJ8" s="15" t="n">
        <f aca="false">IF(AND(ISNUMBER(AH8),ISNUMBER(AI8)),AH8+AI8,"부분 "&amp;TEXT(N(AH8)+N(AI8),"0")&amp;" h + 미확인")</f>
        <v>0</v>
      </c>
      <c r="AK8" s="15" t="n">
        <f aca="false">(AD8+AE8)*01_Inputs!$B$38</f>
        <v>0</v>
      </c>
      <c r="AL8" s="15" t="n">
        <f aca="false">(AD8+AE8)*01_Inputs!$B$33</f>
        <v>0</v>
      </c>
      <c r="AM8" s="15" t="str">
        <f aca="false">IF(ISNUMBER(01_Inputs!$B$87),01_Inputs!$B$87,"미확인")</f>
        <v>미확인</v>
      </c>
      <c r="AN8" s="15" t="str">
        <f aca="false">IF(ISNUMBER(AM8),AM8-AB8,"미확인")</f>
        <v>미확인</v>
      </c>
      <c r="AO8" s="37" t="n">
        <f aca="false">T8-Y8</f>
        <v>743.333333333334</v>
      </c>
      <c r="AP8" s="37" t="n">
        <f aca="false">IF(ISNUMBER(S8),S8-Y8,"미확인")</f>
        <v>840</v>
      </c>
      <c r="AQ8" s="37" t="n">
        <f aca="false">IF(AND(ISNUMBER(AP8),ISNUMBER(AQ7)),AQ7+AP8,"보류")</f>
        <v>1620</v>
      </c>
      <c r="AR8" s="37" t="str">
        <f aca="false">IF(ISNUMBER(AZ7),AZ7,"보류")</f>
        <v>보류</v>
      </c>
      <c r="AS8" s="37" t="str">
        <f aca="false">IF(AND(ISNUMBER(AR8),ISNUMBER(S8)),AR8+S8,"보류")</f>
        <v>보류</v>
      </c>
      <c r="AT8" s="37" t="str">
        <f aca="false">IF(ISNUMBER(AS8),MIN(AS8,U8),"보류")</f>
        <v>보류</v>
      </c>
      <c r="AU8" s="37" t="str">
        <f aca="false">IF(ISNUMBER(AS8),MIN(AS8-AT8,N(01_Inputs!$B$104)),"보류")</f>
        <v>보류</v>
      </c>
      <c r="AV8" s="37" t="str">
        <f aca="false">IF(ISNUMBER(AS8),IF((N(V8)+N(W8)+N(X8))=0,0,MIN(N(V8),(AS8-AT8-AU8)*N(V8)/(N(V8)+N(W8)+N(X8)))),"보류")</f>
        <v>보류</v>
      </c>
      <c r="AW8" s="37" t="str">
        <f aca="false">IF(ISNUMBER(AS8),IF((N(V8)+N(W8)+N(X8))=0,0,MIN(N(W8),(AS8-AT8-AU8)*N(W8)/(N(V8)+N(W8)+N(X8)))),"보류")</f>
        <v>보류</v>
      </c>
      <c r="AX8" s="37" t="str">
        <f aca="false">IF(ISNUMBER(AS8),IF((N(V8)+N(W8)+N(X8))=0,0,MIN(N(X8),(AS8-AT8-AU8)*N(X8)/(N(V8)+N(W8)+N(X8)))),"보류")</f>
        <v>보류</v>
      </c>
      <c r="AY8" s="37" t="str">
        <f aca="false">IF(ISNUMBER(AS8),Y8-AT8-AV8-AW8-AX8,"보류")</f>
        <v>보류</v>
      </c>
      <c r="AZ8" s="35" t="str">
        <f aca="false">IF(ISNUMBER(AS8),AS8-AT8-AV8-AW8-AX8,"보류")</f>
        <v>보류</v>
      </c>
      <c r="BA8" s="37" t="str">
        <f aca="false">IF(ISNUMBER(01_Inputs!$B$105),01_Inputs!$B$105,"미입력")</f>
        <v>미입력</v>
      </c>
      <c r="BB8" s="37" t="str">
        <f aca="false">IF(AND(ISNUMBER(AR8),ISNUMBER(BA8)),Y8+BA8-AR8,"보류")</f>
        <v>보류</v>
      </c>
      <c r="BC8" s="37" t="str">
        <f aca="false">IF(AND(ISNUMBER(AZ8),ISNUMBER(BA8)),AZ8-BA8,"보류")</f>
        <v>보류</v>
      </c>
      <c r="BD8" s="13" t="str">
        <f aca="false">IF(ISNUMBER(AZ8),"계산 가능",IF(ISNUMBER(AP8),"부분 (재고 입력 필요)","보류 (생산 조건 미확인)"))</f>
        <v>부분 (재고 입력 필요)</v>
      </c>
      <c r="BE8" s="9" t="str">
        <f aca="false">IF(D8="공사",IF(ISNUMBER(01_Inputs!$B$80),"","공사 중 가용시간·"),"")&amp;IF(D8="시운전",IF(ISNUMBER(01_Inputs!$B$81),"","시운전 양품·"),"")&amp;IF(D8="개선 (2대)",IF(ISNUMBER(01_Inputs!$B$83),"","설비별 간격·"),"")&amp;IF(D8="개선 (2대·105℃)",IF(ISNUMBER(01_Inputs!$B$73),"","105℃ 간격·"),"")&amp;IF(ISNUMBER(N8),"","실적·")&amp;IF(ISNUMBER(01_Inputs!$B$106),"","양품률(100% 상한)·")&amp;IF(COUNTIF(U8:X8,"미제시")&gt;0,"고객 물량 미제시·","")&amp;IF(ISNUMBER(AJ8),"","200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9" customFormat="false" ht="15" hidden="false" customHeight="false" outlineLevel="0" collapsed="false">
      <c r="A9" s="67" t="n">
        <v>46113</v>
      </c>
      <c r="B9" s="16" t="n">
        <f aca="false">YEAR(A9)</f>
        <v>2026</v>
      </c>
      <c r="C9" s="16" t="n">
        <f aca="false">DAY(EOMONTH(A9,0))</f>
        <v>30</v>
      </c>
      <c r="D9" s="9" t="str">
        <f aca="false">IF(A9&lt;01_Inputs!$B$75,"현재 (1대)",IF(A9&lt;=01_Inputs!$B$76,"공사",IF(A9&lt;01_Inputs!$B$78,"시운전",IF(AND(ISNUMBER(01_Inputs!$B$72),A9&gt;=01_Inputs!$B$72),"개선 (2대·105℃)","개선 (2대)"))))</f>
        <v>현재 (1대)</v>
      </c>
      <c r="E9" s="16" t="n">
        <f aca="false">IF(LEFT(D9,2)="개선",01_Inputs!$B$8,01_Inputs!$B$7)</f>
        <v>1</v>
      </c>
      <c r="F9" s="68"/>
      <c r="G9" s="15" t="n">
        <f aca="false">IF(D9="공사",IF(ISNUMBER(01_Inputs!$B$80),01_Inputs!$B$80,"미확인"),IF(D9="시운전","시운전",E9*C9*24-N(F9)))</f>
        <v>720</v>
      </c>
      <c r="H9" s="27" t="n">
        <f aca="false">IF(OR(D9="현재 (1대)",D9="공사"),03_Capacity_Model!$B$80,IF(D9="개선 (2대)",IF(ISNUMBER(01_Inputs!$B$83),01_Inputs!$B$83,"미확인"),IF(D9="개선 (2대·105℃)",IF(ISNUMBER(01_Inputs!$B$73),01_Inputs!$B$73,"미확인"),"-")))</f>
        <v>67.4716981132076</v>
      </c>
      <c r="I9" s="15" t="n">
        <f aca="false">IF(AND(ISNUMBER(K8),D8=D9),K8,0)</f>
        <v>0.905660377358231</v>
      </c>
      <c r="J9" s="48" t="n">
        <f aca="false">IF(D9="시운전",IF(ISNUMBER(01_Inputs!$B$81),01_Inputs!$B$81,"미확인"),IF(AND(ISNUMBER(G9),ISNUMBER(H9)),INT((G9+I9)/H9),"미확인"))</f>
        <v>10</v>
      </c>
      <c r="K9" s="15" t="n">
        <f aca="false">IF(AND(ISNUMBER(G9),ISNUMBER(H9),ISNUMBER(J9)),G9+I9-J9*H9,"")</f>
        <v>46.1886792452827</v>
      </c>
      <c r="L9" s="57" t="str">
        <f aca="false">IF(COUNTIFS(02_Batch_Raw!$E$6:$E$61,"&gt;="&amp;A9,02_Batch_Raw!$E$6:$E$61,"&lt;="&amp;EOMONTH(A9,0))=0,"",COUNTIFS(02_Batch_Raw!$E$6:$E$61,"&gt;="&amp;A9,02_Batch_Raw!$E$6:$E$61,"&lt;="&amp;EOMONTH(A9,0)))</f>
        <v/>
      </c>
      <c r="M9" s="57" t="str">
        <f aca="false">""</f>
        <v/>
      </c>
      <c r="N9" s="69"/>
      <c r="O9" s="16" t="n">
        <f aca="false">IF(ISNUMBER(N9),N9,J9)</f>
        <v>10</v>
      </c>
      <c r="P9" s="13" t="str">
        <f aca="false">IF(ISNUMBER(N9),"실적 입력",IF(ISNUMBER(J9),"추정 생산 가능량","미확인"))</f>
        <v>추정 생산 가능량</v>
      </c>
      <c r="Q9" s="22" t="n">
        <f aca="false">IF(LEFT(D9,2)="개선",IF(ISNUMBER(01_Inputs!$B$61),01_Inputs!$B$61,01_Inputs!$B$49),01_Inputs!$B$49)</f>
        <v>190</v>
      </c>
      <c r="R9" s="22" t="n">
        <f aca="false">IF(ISNUMBER(O9),O9*Q9,"미확인")</f>
        <v>1900</v>
      </c>
      <c r="S9" s="45" t="n">
        <f aca="false">IF(ISNUMBER(R9),R9*IF(ISNUMBER(01_Inputs!$B$106),01_Inputs!$B$106,1),"미확인")</f>
        <v>1900</v>
      </c>
      <c r="T9" s="37" t="n">
        <f aca="false">IF(A9&lt;01_Inputs!$B$78,01_Inputs!$B$63,IF(D9="개선 (2대·105℃)",01_Inputs!$B$68,01_Inputs!$B$65))*1000/12</f>
        <v>2183.33333333333</v>
      </c>
      <c r="U9" s="70" t="n">
        <f aca="false">IF(ISNUMBER(01_Inputs!$F$126),01_Inputs!$F$126,"미제시")</f>
        <v>1580</v>
      </c>
      <c r="V9" s="70" t="str">
        <f aca="false">IF(ISNUMBER(01_Inputs!$F$127),01_Inputs!$F$127,"미제시")</f>
        <v>미제시</v>
      </c>
      <c r="W9" s="70" t="n">
        <f aca="false">IF(ISNUMBER(01_Inputs!$F$128),01_Inputs!$F$128,"미제시")</f>
        <v>0</v>
      </c>
      <c r="X9" s="70" t="str">
        <f aca="false">IF(ISNUMBER(01_Inputs!$F$129),01_Inputs!$F$129,"미제시")</f>
        <v>미제시</v>
      </c>
      <c r="Y9" s="35" t="n">
        <f aca="false">SUM(U9:X9)</f>
        <v>1580</v>
      </c>
      <c r="Z9" s="64" t="n">
        <f aca="false">Y9/Q9</f>
        <v>8.31578947368421</v>
      </c>
      <c r="AA9" s="64" t="n">
        <f aca="false">(N(U9)+N(V9))/01_Inputs!$B$42</f>
        <v>79</v>
      </c>
      <c r="AB9" s="15" t="n">
        <f aca="false">AA9*01_Inputs!$B$28</f>
        <v>158</v>
      </c>
      <c r="AC9" s="15" t="n">
        <f aca="false">AA9/01_Inputs!$B$29*01_Inputs!$B$32</f>
        <v>17.5555555555556</v>
      </c>
      <c r="AD9" s="64" t="n">
        <f aca="false">N(W9)/01_Inputs!$B$43</f>
        <v>0</v>
      </c>
      <c r="AE9" s="64" t="n">
        <f aca="false">N(X9)/01_Inputs!$B$44</f>
        <v>0</v>
      </c>
      <c r="AF9" s="13" t="str">
        <f aca="false">IF(AD9=0,"-",IF(A9&gt;=01_Inputs!$B$47,"ARS","수동"))</f>
        <v>-</v>
      </c>
      <c r="AG9" s="13" t="str">
        <f aca="false">IF(AE9=0,"-",IF(A9&gt;=01_Inputs!$B$46,"ARS","수동"))</f>
        <v>-</v>
      </c>
      <c r="AH9" s="15" t="n">
        <f aca="false">IF(AD9=0,0,IF(AF9="수동",AD9*01_Inputs!$B$34,IF(ISNUMBER(01_Inputs!$B$36),AD9*01_Inputs!$B$36,"미확인")))</f>
        <v>0</v>
      </c>
      <c r="AI9" s="15" t="n">
        <f aca="false">IF(AE9=0,0,IF(AG9="수동",IF(ISNUMBER(01_Inputs!$B$35),AE9*01_Inputs!$B$35,"미확인"),IF(ISNUMBER(01_Inputs!$B$37),AE9*01_Inputs!$B$37,"미확인")))</f>
        <v>0</v>
      </c>
      <c r="AJ9" s="15" t="n">
        <f aca="false">IF(AND(ISNUMBER(AH9),ISNUMBER(AI9)),AH9+AI9,"부분 "&amp;TEXT(N(AH9)+N(AI9),"0")&amp;" h + 미확인")</f>
        <v>0</v>
      </c>
      <c r="AK9" s="15" t="n">
        <f aca="false">(AD9+AE9)*01_Inputs!$B$38</f>
        <v>0</v>
      </c>
      <c r="AL9" s="15" t="n">
        <f aca="false">(AD9+AE9)*01_Inputs!$B$33</f>
        <v>0</v>
      </c>
      <c r="AM9" s="15" t="str">
        <f aca="false">IF(ISNUMBER(01_Inputs!$B$87),01_Inputs!$B$87,"미확인")</f>
        <v>미확인</v>
      </c>
      <c r="AN9" s="15" t="str">
        <f aca="false">IF(ISNUMBER(AM9),AM9-AB9,"미확인")</f>
        <v>미확인</v>
      </c>
      <c r="AO9" s="37" t="n">
        <f aca="false">T9-Y9</f>
        <v>603.333333333334</v>
      </c>
      <c r="AP9" s="37" t="n">
        <f aca="false">IF(ISNUMBER(S9),S9-Y9,"미확인")</f>
        <v>320</v>
      </c>
      <c r="AQ9" s="37" t="n">
        <f aca="false">IF(AND(ISNUMBER(AP9),ISNUMBER(AQ8)),AQ8+AP9,"보류")</f>
        <v>1940</v>
      </c>
      <c r="AR9" s="37" t="str">
        <f aca="false">IF(ISNUMBER(AZ8),AZ8,"보류")</f>
        <v>보류</v>
      </c>
      <c r="AS9" s="37" t="str">
        <f aca="false">IF(AND(ISNUMBER(AR9),ISNUMBER(S9)),AR9+S9,"보류")</f>
        <v>보류</v>
      </c>
      <c r="AT9" s="37" t="str">
        <f aca="false">IF(ISNUMBER(AS9),MIN(AS9,U9),"보류")</f>
        <v>보류</v>
      </c>
      <c r="AU9" s="37" t="str">
        <f aca="false">IF(ISNUMBER(AS9),MIN(AS9-AT9,N(01_Inputs!$B$104)),"보류")</f>
        <v>보류</v>
      </c>
      <c r="AV9" s="37" t="str">
        <f aca="false">IF(ISNUMBER(AS9),IF((N(V9)+N(W9)+N(X9))=0,0,MIN(N(V9),(AS9-AT9-AU9)*N(V9)/(N(V9)+N(W9)+N(X9)))),"보류")</f>
        <v>보류</v>
      </c>
      <c r="AW9" s="37" t="str">
        <f aca="false">IF(ISNUMBER(AS9),IF((N(V9)+N(W9)+N(X9))=0,0,MIN(N(W9),(AS9-AT9-AU9)*N(W9)/(N(V9)+N(W9)+N(X9)))),"보류")</f>
        <v>보류</v>
      </c>
      <c r="AX9" s="37" t="str">
        <f aca="false">IF(ISNUMBER(AS9),IF((N(V9)+N(W9)+N(X9))=0,0,MIN(N(X9),(AS9-AT9-AU9)*N(X9)/(N(V9)+N(W9)+N(X9)))),"보류")</f>
        <v>보류</v>
      </c>
      <c r="AY9" s="37" t="str">
        <f aca="false">IF(ISNUMBER(AS9),Y9-AT9-AV9-AW9-AX9,"보류")</f>
        <v>보류</v>
      </c>
      <c r="AZ9" s="35" t="str">
        <f aca="false">IF(ISNUMBER(AS9),AS9-AT9-AV9-AW9-AX9,"보류")</f>
        <v>보류</v>
      </c>
      <c r="BA9" s="37" t="str">
        <f aca="false">IF(ISNUMBER(01_Inputs!$B$105),01_Inputs!$B$105,"미입력")</f>
        <v>미입력</v>
      </c>
      <c r="BB9" s="37" t="str">
        <f aca="false">IF(AND(ISNUMBER(AR9),ISNUMBER(BA9)),Y9+BA9-AR9,"보류")</f>
        <v>보류</v>
      </c>
      <c r="BC9" s="37" t="str">
        <f aca="false">IF(AND(ISNUMBER(AZ9),ISNUMBER(BA9)),AZ9-BA9,"보류")</f>
        <v>보류</v>
      </c>
      <c r="BD9" s="13" t="str">
        <f aca="false">IF(ISNUMBER(AZ9),"계산 가능",IF(ISNUMBER(AP9),"부분 (재고 입력 필요)","보류 (생산 조건 미확인)"))</f>
        <v>부분 (재고 입력 필요)</v>
      </c>
      <c r="BE9" s="9" t="str">
        <f aca="false">IF(D9="공사",IF(ISNUMBER(01_Inputs!$B$80),"","공사 중 가용시간·"),"")&amp;IF(D9="시운전",IF(ISNUMBER(01_Inputs!$B$81),"","시운전 양품·"),"")&amp;IF(D9="개선 (2대)",IF(ISNUMBER(01_Inputs!$B$83),"","설비별 간격·"),"")&amp;IF(D9="개선 (2대·105℃)",IF(ISNUMBER(01_Inputs!$B$73),"","105℃ 간격·"),"")&amp;IF(ISNUMBER(N9),"","실적·")&amp;IF(ISNUMBER(01_Inputs!$B$106),"","양품률(100% 상한)·")&amp;IF(COUNTIF(U9:X9,"미제시")&gt;0,"고객 물량 미제시·","")&amp;IF(ISNUMBER(AJ9),"","200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0" customFormat="false" ht="15" hidden="false" customHeight="false" outlineLevel="0" collapsed="false">
      <c r="A10" s="67" t="n">
        <v>46143</v>
      </c>
      <c r="B10" s="16" t="n">
        <f aca="false">YEAR(A10)</f>
        <v>2026</v>
      </c>
      <c r="C10" s="16" t="n">
        <f aca="false">DAY(EOMONTH(A10,0))</f>
        <v>31</v>
      </c>
      <c r="D10" s="9" t="str">
        <f aca="false">IF(A10&lt;01_Inputs!$B$75,"현재 (1대)",IF(A10&lt;=01_Inputs!$B$76,"공사",IF(A10&lt;01_Inputs!$B$78,"시운전",IF(AND(ISNUMBER(01_Inputs!$B$72),A10&gt;=01_Inputs!$B$72),"개선 (2대·105℃)","개선 (2대)"))))</f>
        <v>현재 (1대)</v>
      </c>
      <c r="E10" s="16" t="n">
        <f aca="false">IF(LEFT(D10,2)="개선",01_Inputs!$B$8,01_Inputs!$B$7)</f>
        <v>1</v>
      </c>
      <c r="F10" s="68"/>
      <c r="G10" s="15" t="n">
        <f aca="false">IF(D10="공사",IF(ISNUMBER(01_Inputs!$B$80),01_Inputs!$B$80,"미확인"),IF(D10="시운전","시운전",E10*C10*24-N(F10)))</f>
        <v>744</v>
      </c>
      <c r="H10" s="27" t="n">
        <f aca="false">IF(OR(D10="현재 (1대)",D10="공사"),03_Capacity_Model!$B$80,IF(D10="개선 (2대)",IF(ISNUMBER(01_Inputs!$B$83),01_Inputs!$B$83,"미확인"),IF(D10="개선 (2대·105℃)",IF(ISNUMBER(01_Inputs!$B$73),01_Inputs!$B$73,"미확인"),"-")))</f>
        <v>67.4716981132076</v>
      </c>
      <c r="I10" s="15" t="n">
        <f aca="false">IF(AND(ISNUMBER(K9),D9=D10),K9,0)</f>
        <v>46.1886792452827</v>
      </c>
      <c r="J10" s="48" t="n">
        <f aca="false">IF(D10="시운전",IF(ISNUMBER(01_Inputs!$B$81),01_Inputs!$B$81,"미확인"),IF(AND(ISNUMBER(G10),ISNUMBER(H10)),INT((G10+I10)/H10),"미확인"))</f>
        <v>11</v>
      </c>
      <c r="K10" s="15" t="n">
        <f aca="false">IF(AND(ISNUMBER(G10),ISNUMBER(H10),ISNUMBER(J10)),G10+I10-J10*H10,"")</f>
        <v>47.9999999999997</v>
      </c>
      <c r="L10" s="57" t="n">
        <f aca="false">IF(COUNTIFS(02_Batch_Raw!$E$6:$E$61,"&gt;="&amp;A10,02_Batch_Raw!$E$6:$E$61,"&lt;="&amp;EOMONTH(A10,0))=0,"",COUNTIFS(02_Batch_Raw!$E$6:$E$61,"&gt;="&amp;A10,02_Batch_Raw!$E$6:$E$61,"&lt;="&amp;EOMONTH(A10,0)))</f>
        <v>2</v>
      </c>
      <c r="M10" s="57" t="str">
        <f aca="false">IF(ISNUMBER(02_Batch_Raw!$D$65),02_Batch_Raw!$D$65,"")</f>
        <v/>
      </c>
      <c r="N10" s="69"/>
      <c r="O10" s="16" t="n">
        <f aca="false">IF(ISNUMBER(N10),N10,J10)</f>
        <v>11</v>
      </c>
      <c r="P10" s="13" t="str">
        <f aca="false">IF(ISNUMBER(N10),"실적 입력",IF(ISNUMBER(J10),"추정 생산 가능량","미확인"))</f>
        <v>추정 생산 가능량</v>
      </c>
      <c r="Q10" s="22" t="n">
        <f aca="false">IF(LEFT(D10,2)="개선",IF(ISNUMBER(01_Inputs!$B$61),01_Inputs!$B$61,01_Inputs!$B$49),01_Inputs!$B$49)</f>
        <v>190</v>
      </c>
      <c r="R10" s="22" t="n">
        <f aca="false">IF(ISNUMBER(O10),O10*Q10,"미확인")</f>
        <v>2090</v>
      </c>
      <c r="S10" s="45" t="n">
        <f aca="false">IF(ISNUMBER(R10),R10*IF(ISNUMBER(01_Inputs!$B$106),01_Inputs!$B$106,1),"미확인")</f>
        <v>2090</v>
      </c>
      <c r="T10" s="37" t="n">
        <f aca="false">IF(A10&lt;01_Inputs!$B$78,01_Inputs!$B$63,IF(D10="개선 (2대·105℃)",01_Inputs!$B$68,01_Inputs!$B$65))*1000/12</f>
        <v>2183.33333333333</v>
      </c>
      <c r="U10" s="70" t="n">
        <f aca="false">IF(ISNUMBER(01_Inputs!$G$126),01_Inputs!$G$126,"미제시")</f>
        <v>1200</v>
      </c>
      <c r="V10" s="70" t="str">
        <f aca="false">IF(ISNUMBER(01_Inputs!$G$127),01_Inputs!$G$127,"미제시")</f>
        <v>미제시</v>
      </c>
      <c r="W10" s="70" t="n">
        <f aca="false">IF(ISNUMBER(01_Inputs!$G$128),01_Inputs!$G$128,"미제시")</f>
        <v>0</v>
      </c>
      <c r="X10" s="70" t="str">
        <f aca="false">IF(ISNUMBER(01_Inputs!$G$129),01_Inputs!$G$129,"미제시")</f>
        <v>미제시</v>
      </c>
      <c r="Y10" s="35" t="n">
        <f aca="false">SUM(U10:X10)</f>
        <v>1200</v>
      </c>
      <c r="Z10" s="64" t="n">
        <f aca="false">Y10/Q10</f>
        <v>6.31578947368421</v>
      </c>
      <c r="AA10" s="64" t="n">
        <f aca="false">(N(U10)+N(V10))/01_Inputs!$B$42</f>
        <v>60</v>
      </c>
      <c r="AB10" s="15" t="n">
        <f aca="false">AA10*01_Inputs!$B$28</f>
        <v>120</v>
      </c>
      <c r="AC10" s="15" t="n">
        <f aca="false">AA10/01_Inputs!$B$29*01_Inputs!$B$32</f>
        <v>13.3333333333333</v>
      </c>
      <c r="AD10" s="64" t="n">
        <f aca="false">N(W10)/01_Inputs!$B$43</f>
        <v>0</v>
      </c>
      <c r="AE10" s="64" t="n">
        <f aca="false">N(X10)/01_Inputs!$B$44</f>
        <v>0</v>
      </c>
      <c r="AF10" s="13" t="str">
        <f aca="false">IF(AD10=0,"-",IF(A10&gt;=01_Inputs!$B$47,"ARS","수동"))</f>
        <v>-</v>
      </c>
      <c r="AG10" s="13" t="str">
        <f aca="false">IF(AE10=0,"-",IF(A10&gt;=01_Inputs!$B$46,"ARS","수동"))</f>
        <v>-</v>
      </c>
      <c r="AH10" s="15" t="n">
        <f aca="false">IF(AD10=0,0,IF(AF10="수동",AD10*01_Inputs!$B$34,IF(ISNUMBER(01_Inputs!$B$36),AD10*01_Inputs!$B$36,"미확인")))</f>
        <v>0</v>
      </c>
      <c r="AI10" s="15" t="n">
        <f aca="false">IF(AE10=0,0,IF(AG10="수동",IF(ISNUMBER(01_Inputs!$B$35),AE10*01_Inputs!$B$35,"미확인"),IF(ISNUMBER(01_Inputs!$B$37),AE10*01_Inputs!$B$37,"미확인")))</f>
        <v>0</v>
      </c>
      <c r="AJ10" s="15" t="n">
        <f aca="false">IF(AND(ISNUMBER(AH10),ISNUMBER(AI10)),AH10+AI10,"부분 "&amp;TEXT(N(AH10)+N(AI10),"0")&amp;" h + 미확인")</f>
        <v>0</v>
      </c>
      <c r="AK10" s="15" t="n">
        <f aca="false">(AD10+AE10)*01_Inputs!$B$38</f>
        <v>0</v>
      </c>
      <c r="AL10" s="15" t="n">
        <f aca="false">(AD10+AE10)*01_Inputs!$B$33</f>
        <v>0</v>
      </c>
      <c r="AM10" s="15" t="str">
        <f aca="false">IF(ISNUMBER(01_Inputs!$B$87),01_Inputs!$B$87,"미확인")</f>
        <v>미확인</v>
      </c>
      <c r="AN10" s="15" t="str">
        <f aca="false">IF(ISNUMBER(AM10),AM10-AB10,"미확인")</f>
        <v>미확인</v>
      </c>
      <c r="AO10" s="37" t="n">
        <f aca="false">T10-Y10</f>
        <v>983.333333333334</v>
      </c>
      <c r="AP10" s="37" t="n">
        <f aca="false">IF(ISNUMBER(S10),S10-Y10,"미확인")</f>
        <v>890</v>
      </c>
      <c r="AQ10" s="37" t="n">
        <f aca="false">IF(AND(ISNUMBER(AP10),ISNUMBER(AQ9)),AQ9+AP10,"보류")</f>
        <v>2830</v>
      </c>
      <c r="AR10" s="37" t="str">
        <f aca="false">IF(ISNUMBER(AZ9),AZ9,"보류")</f>
        <v>보류</v>
      </c>
      <c r="AS10" s="37" t="str">
        <f aca="false">IF(AND(ISNUMBER(AR10),ISNUMBER(S10)),AR10+S10,"보류")</f>
        <v>보류</v>
      </c>
      <c r="AT10" s="37" t="str">
        <f aca="false">IF(ISNUMBER(AS10),MIN(AS10,U10),"보류")</f>
        <v>보류</v>
      </c>
      <c r="AU10" s="37" t="str">
        <f aca="false">IF(ISNUMBER(AS10),MIN(AS10-AT10,N(01_Inputs!$B$104)),"보류")</f>
        <v>보류</v>
      </c>
      <c r="AV10" s="37" t="str">
        <f aca="false">IF(ISNUMBER(AS10),IF((N(V10)+N(W10)+N(X10))=0,0,MIN(N(V10),(AS10-AT10-AU10)*N(V10)/(N(V10)+N(W10)+N(X10)))),"보류")</f>
        <v>보류</v>
      </c>
      <c r="AW10" s="37" t="str">
        <f aca="false">IF(ISNUMBER(AS10),IF((N(V10)+N(W10)+N(X10))=0,0,MIN(N(W10),(AS10-AT10-AU10)*N(W10)/(N(V10)+N(W10)+N(X10)))),"보류")</f>
        <v>보류</v>
      </c>
      <c r="AX10" s="37" t="str">
        <f aca="false">IF(ISNUMBER(AS10),IF((N(V10)+N(W10)+N(X10))=0,0,MIN(N(X10),(AS10-AT10-AU10)*N(X10)/(N(V10)+N(W10)+N(X10)))),"보류")</f>
        <v>보류</v>
      </c>
      <c r="AY10" s="37" t="str">
        <f aca="false">IF(ISNUMBER(AS10),Y10-AT10-AV10-AW10-AX10,"보류")</f>
        <v>보류</v>
      </c>
      <c r="AZ10" s="35" t="str">
        <f aca="false">IF(ISNUMBER(AS10),AS10-AT10-AV10-AW10-AX10,"보류")</f>
        <v>보류</v>
      </c>
      <c r="BA10" s="37" t="str">
        <f aca="false">IF(ISNUMBER(01_Inputs!$B$105),01_Inputs!$B$105,"미입력")</f>
        <v>미입력</v>
      </c>
      <c r="BB10" s="37" t="str">
        <f aca="false">IF(AND(ISNUMBER(AR10),ISNUMBER(BA10)),Y10+BA10-AR10,"보류")</f>
        <v>보류</v>
      </c>
      <c r="BC10" s="37" t="str">
        <f aca="false">IF(AND(ISNUMBER(AZ10),ISNUMBER(BA10)),AZ10-BA10,"보류")</f>
        <v>보류</v>
      </c>
      <c r="BD10" s="13" t="str">
        <f aca="false">IF(ISNUMBER(AZ10),"계산 가능",IF(ISNUMBER(AP10),"부분 (재고 입력 필요)","보류 (생산 조건 미확인)"))</f>
        <v>부분 (재고 입력 필요)</v>
      </c>
      <c r="BE10" s="9" t="str">
        <f aca="false">IF(D10="공사",IF(ISNUMBER(01_Inputs!$B$80),"","공사 중 가용시간·"),"")&amp;IF(D10="시운전",IF(ISNUMBER(01_Inputs!$B$81),"","시운전 양품·"),"")&amp;IF(D10="개선 (2대)",IF(ISNUMBER(01_Inputs!$B$83),"","설비별 간격·"),"")&amp;IF(D10="개선 (2대·105℃)",IF(ISNUMBER(01_Inputs!$B$73),"","105℃ 간격·"),"")&amp;IF(ISNUMBER(N10),"","실적·")&amp;IF(ISNUMBER(01_Inputs!$B$106),"","양품률(100% 상한)·")&amp;IF(COUNTIF(U10:X10,"미제시")&gt;0,"고객 물량 미제시·","")&amp;IF(ISNUMBER(AJ10),"","200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1" customFormat="false" ht="15" hidden="false" customHeight="false" outlineLevel="0" collapsed="false">
      <c r="A11" s="67" t="n">
        <v>46174</v>
      </c>
      <c r="B11" s="16" t="n">
        <f aca="false">YEAR(A11)</f>
        <v>2026</v>
      </c>
      <c r="C11" s="16" t="n">
        <f aca="false">DAY(EOMONTH(A11,0))</f>
        <v>30</v>
      </c>
      <c r="D11" s="9" t="str">
        <f aca="false">IF(A11&lt;01_Inputs!$B$75,"현재 (1대)",IF(A11&lt;=01_Inputs!$B$76,"공사",IF(A11&lt;01_Inputs!$B$78,"시운전",IF(AND(ISNUMBER(01_Inputs!$B$72),A11&gt;=01_Inputs!$B$72),"개선 (2대·105℃)","개선 (2대)"))))</f>
        <v>현재 (1대)</v>
      </c>
      <c r="E11" s="16" t="n">
        <f aca="false">IF(LEFT(D11,2)="개선",01_Inputs!$B$8,01_Inputs!$B$7)</f>
        <v>1</v>
      </c>
      <c r="F11" s="68"/>
      <c r="G11" s="15" t="n">
        <f aca="false">IF(D11="공사",IF(ISNUMBER(01_Inputs!$B$80),01_Inputs!$B$80,"미확인"),IF(D11="시운전","시운전",E11*C11*24-N(F11)))</f>
        <v>720</v>
      </c>
      <c r="H11" s="27" t="n">
        <f aca="false">IF(OR(D11="현재 (1대)",D11="공사"),03_Capacity_Model!$B$80,IF(D11="개선 (2대)",IF(ISNUMBER(01_Inputs!$B$83),01_Inputs!$B$83,"미확인"),IF(D11="개선 (2대·105℃)",IF(ISNUMBER(01_Inputs!$B$73),01_Inputs!$B$73,"미확인"),"-")))</f>
        <v>67.4716981132076</v>
      </c>
      <c r="I11" s="15" t="n">
        <f aca="false">IF(AND(ISNUMBER(K10),D10=D11),K10,0)</f>
        <v>47.9999999999997</v>
      </c>
      <c r="J11" s="48" t="n">
        <f aca="false">IF(D11="시운전",IF(ISNUMBER(01_Inputs!$B$81),01_Inputs!$B$81,"미확인"),IF(AND(ISNUMBER(G11),ISNUMBER(H11)),INT((G11+I11)/H11),"미확인"))</f>
        <v>11</v>
      </c>
      <c r="K11" s="15" t="n">
        <f aca="false">IF(AND(ISNUMBER(G11),ISNUMBER(H11),ISNUMBER(J11)),G11+I11-J11*H11,"")</f>
        <v>25.8113207547166</v>
      </c>
      <c r="L11" s="57" t="n">
        <f aca="false">IF(COUNTIFS(02_Batch_Raw!$E$6:$E$61,"&gt;="&amp;A11,02_Batch_Raw!$E$6:$E$61,"&lt;="&amp;EOMONTH(A11,0))=0,"",COUNTIFS(02_Batch_Raw!$E$6:$E$61,"&gt;="&amp;A11,02_Batch_Raw!$E$6:$E$61,"&lt;="&amp;EOMONTH(A11,0)))</f>
        <v>11</v>
      </c>
      <c r="M11" s="57" t="n">
        <f aca="false">IF(ISNUMBER(02_Batch_Raw!$D$66),02_Batch_Raw!$D$66,"")</f>
        <v>8</v>
      </c>
      <c r="N11" s="69"/>
      <c r="O11" s="16" t="n">
        <f aca="false">IF(ISNUMBER(N11),N11,J11)</f>
        <v>11</v>
      </c>
      <c r="P11" s="13" t="str">
        <f aca="false">IF(ISNUMBER(N11),"실적 입력",IF(ISNUMBER(J11),"추정 생산 가능량","미확인"))</f>
        <v>추정 생산 가능량</v>
      </c>
      <c r="Q11" s="22" t="n">
        <f aca="false">IF(LEFT(D11,2)="개선",IF(ISNUMBER(01_Inputs!$B$61),01_Inputs!$B$61,01_Inputs!$B$49),01_Inputs!$B$49)</f>
        <v>190</v>
      </c>
      <c r="R11" s="22" t="n">
        <f aca="false">IF(ISNUMBER(O11),O11*Q11,"미확인")</f>
        <v>2090</v>
      </c>
      <c r="S11" s="45" t="n">
        <f aca="false">IF(ISNUMBER(R11),R11*IF(ISNUMBER(01_Inputs!$B$106),01_Inputs!$B$106,1),"미확인")</f>
        <v>2090</v>
      </c>
      <c r="T11" s="37" t="n">
        <f aca="false">IF(A11&lt;01_Inputs!$B$78,01_Inputs!$B$63,IF(D11="개선 (2대·105℃)",01_Inputs!$B$68,01_Inputs!$B$65))*1000/12</f>
        <v>2183.33333333333</v>
      </c>
      <c r="U11" s="70" t="n">
        <f aca="false">IF(ISNUMBER(01_Inputs!$H$126),01_Inputs!$H$126,"미제시")</f>
        <v>1200</v>
      </c>
      <c r="V11" s="70" t="str">
        <f aca="false">IF(ISNUMBER(01_Inputs!$H$127),01_Inputs!$H$127,"미제시")</f>
        <v>미제시</v>
      </c>
      <c r="W11" s="70" t="n">
        <f aca="false">IF(ISNUMBER(01_Inputs!$H$128),01_Inputs!$H$128,"미제시")</f>
        <v>0</v>
      </c>
      <c r="X11" s="70" t="str">
        <f aca="false">IF(ISNUMBER(01_Inputs!$H$129),01_Inputs!$H$129,"미제시")</f>
        <v>미제시</v>
      </c>
      <c r="Y11" s="35" t="n">
        <f aca="false">SUM(U11:X11)</f>
        <v>1200</v>
      </c>
      <c r="Z11" s="64" t="n">
        <f aca="false">Y11/Q11</f>
        <v>6.31578947368421</v>
      </c>
      <c r="AA11" s="64" t="n">
        <f aca="false">(N(U11)+N(V11))/01_Inputs!$B$42</f>
        <v>60</v>
      </c>
      <c r="AB11" s="15" t="n">
        <f aca="false">AA11*01_Inputs!$B$28</f>
        <v>120</v>
      </c>
      <c r="AC11" s="15" t="n">
        <f aca="false">AA11/01_Inputs!$B$29*01_Inputs!$B$32</f>
        <v>13.3333333333333</v>
      </c>
      <c r="AD11" s="64" t="n">
        <f aca="false">N(W11)/01_Inputs!$B$43</f>
        <v>0</v>
      </c>
      <c r="AE11" s="64" t="n">
        <f aca="false">N(X11)/01_Inputs!$B$44</f>
        <v>0</v>
      </c>
      <c r="AF11" s="13" t="str">
        <f aca="false">IF(AD11=0,"-",IF(A11&gt;=01_Inputs!$B$47,"ARS","수동"))</f>
        <v>-</v>
      </c>
      <c r="AG11" s="13" t="str">
        <f aca="false">IF(AE11=0,"-",IF(A11&gt;=01_Inputs!$B$46,"ARS","수동"))</f>
        <v>-</v>
      </c>
      <c r="AH11" s="15" t="n">
        <f aca="false">IF(AD11=0,0,IF(AF11="수동",AD11*01_Inputs!$B$34,IF(ISNUMBER(01_Inputs!$B$36),AD11*01_Inputs!$B$36,"미확인")))</f>
        <v>0</v>
      </c>
      <c r="AI11" s="15" t="n">
        <f aca="false">IF(AE11=0,0,IF(AG11="수동",IF(ISNUMBER(01_Inputs!$B$35),AE11*01_Inputs!$B$35,"미확인"),IF(ISNUMBER(01_Inputs!$B$37),AE11*01_Inputs!$B$37,"미확인")))</f>
        <v>0</v>
      </c>
      <c r="AJ11" s="15" t="n">
        <f aca="false">IF(AND(ISNUMBER(AH11),ISNUMBER(AI11)),AH11+AI11,"부분 "&amp;TEXT(N(AH11)+N(AI11),"0")&amp;" h + 미확인")</f>
        <v>0</v>
      </c>
      <c r="AK11" s="15" t="n">
        <f aca="false">(AD11+AE11)*01_Inputs!$B$38</f>
        <v>0</v>
      </c>
      <c r="AL11" s="15" t="n">
        <f aca="false">(AD11+AE11)*01_Inputs!$B$33</f>
        <v>0</v>
      </c>
      <c r="AM11" s="15" t="str">
        <f aca="false">IF(ISNUMBER(01_Inputs!$B$87),01_Inputs!$B$87,"미확인")</f>
        <v>미확인</v>
      </c>
      <c r="AN11" s="15" t="str">
        <f aca="false">IF(ISNUMBER(AM11),AM11-AB11,"미확인")</f>
        <v>미확인</v>
      </c>
      <c r="AO11" s="37" t="n">
        <f aca="false">T11-Y11</f>
        <v>983.333333333334</v>
      </c>
      <c r="AP11" s="37" t="n">
        <f aca="false">IF(ISNUMBER(S11),S11-Y11,"미확인")</f>
        <v>890</v>
      </c>
      <c r="AQ11" s="37" t="n">
        <f aca="false">IF(AND(ISNUMBER(AP11),ISNUMBER(AQ10)),AQ10+AP11,"보류")</f>
        <v>3720</v>
      </c>
      <c r="AR11" s="37" t="str">
        <f aca="false">IF(ISNUMBER(AZ10),AZ10,"보류")</f>
        <v>보류</v>
      </c>
      <c r="AS11" s="37" t="str">
        <f aca="false">IF(AND(ISNUMBER(AR11),ISNUMBER(S11)),AR11+S11,"보류")</f>
        <v>보류</v>
      </c>
      <c r="AT11" s="37" t="str">
        <f aca="false">IF(ISNUMBER(AS11),MIN(AS11,U11),"보류")</f>
        <v>보류</v>
      </c>
      <c r="AU11" s="37" t="str">
        <f aca="false">IF(ISNUMBER(AS11),MIN(AS11-AT11,N(01_Inputs!$B$104)),"보류")</f>
        <v>보류</v>
      </c>
      <c r="AV11" s="37" t="str">
        <f aca="false">IF(ISNUMBER(AS11),IF((N(V11)+N(W11)+N(X11))=0,0,MIN(N(V11),(AS11-AT11-AU11)*N(V11)/(N(V11)+N(W11)+N(X11)))),"보류")</f>
        <v>보류</v>
      </c>
      <c r="AW11" s="37" t="str">
        <f aca="false">IF(ISNUMBER(AS11),IF((N(V11)+N(W11)+N(X11))=0,0,MIN(N(W11),(AS11-AT11-AU11)*N(W11)/(N(V11)+N(W11)+N(X11)))),"보류")</f>
        <v>보류</v>
      </c>
      <c r="AX11" s="37" t="str">
        <f aca="false">IF(ISNUMBER(AS11),IF((N(V11)+N(W11)+N(X11))=0,0,MIN(N(X11),(AS11-AT11-AU11)*N(X11)/(N(V11)+N(W11)+N(X11)))),"보류")</f>
        <v>보류</v>
      </c>
      <c r="AY11" s="37" t="str">
        <f aca="false">IF(ISNUMBER(AS11),Y11-AT11-AV11-AW11-AX11,"보류")</f>
        <v>보류</v>
      </c>
      <c r="AZ11" s="35" t="str">
        <f aca="false">IF(ISNUMBER(AS11),AS11-AT11-AV11-AW11-AX11,"보류")</f>
        <v>보류</v>
      </c>
      <c r="BA11" s="37" t="str">
        <f aca="false">IF(ISNUMBER(01_Inputs!$B$105),01_Inputs!$B$105,"미입력")</f>
        <v>미입력</v>
      </c>
      <c r="BB11" s="37" t="str">
        <f aca="false">IF(AND(ISNUMBER(AR11),ISNUMBER(BA11)),Y11+BA11-AR11,"보류")</f>
        <v>보류</v>
      </c>
      <c r="BC11" s="37" t="str">
        <f aca="false">IF(AND(ISNUMBER(AZ11),ISNUMBER(BA11)),AZ11-BA11,"보류")</f>
        <v>보류</v>
      </c>
      <c r="BD11" s="13" t="str">
        <f aca="false">IF(ISNUMBER(AZ11),"계산 가능",IF(ISNUMBER(AP11),"부분 (재고 입력 필요)","보류 (생산 조건 미확인)"))</f>
        <v>부분 (재고 입력 필요)</v>
      </c>
      <c r="BE11" s="9" t="str">
        <f aca="false">IF(D11="공사",IF(ISNUMBER(01_Inputs!$B$80),"","공사 중 가용시간·"),"")&amp;IF(D11="시운전",IF(ISNUMBER(01_Inputs!$B$81),"","시운전 양품·"),"")&amp;IF(D11="개선 (2대)",IF(ISNUMBER(01_Inputs!$B$83),"","설비별 간격·"),"")&amp;IF(D11="개선 (2대·105℃)",IF(ISNUMBER(01_Inputs!$B$73),"","105℃ 간격·"),"")&amp;IF(ISNUMBER(N11),"","실적·")&amp;IF(ISNUMBER(01_Inputs!$B$106),"","양품률(100% 상한)·")&amp;IF(COUNTIF(U11:X11,"미제시")&gt;0,"고객 물량 미제시·","")&amp;IF(ISNUMBER(AJ11),"","200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2" customFormat="false" ht="15" hidden="false" customHeight="false" outlineLevel="0" collapsed="false">
      <c r="A12" s="67" t="n">
        <v>46204</v>
      </c>
      <c r="B12" s="16" t="n">
        <f aca="false">YEAR(A12)</f>
        <v>2026</v>
      </c>
      <c r="C12" s="16" t="n">
        <f aca="false">DAY(EOMONTH(A12,0))</f>
        <v>31</v>
      </c>
      <c r="D12" s="9" t="str">
        <f aca="false">IF(A12&lt;01_Inputs!$B$75,"현재 (1대)",IF(A12&lt;=01_Inputs!$B$76,"공사",IF(A12&lt;01_Inputs!$B$78,"시운전",IF(AND(ISNUMBER(01_Inputs!$B$72),A12&gt;=01_Inputs!$B$72),"개선 (2대·105℃)","개선 (2대)"))))</f>
        <v>현재 (1대)</v>
      </c>
      <c r="E12" s="16" t="n">
        <f aca="false">IF(LEFT(D12,2)="개선",01_Inputs!$B$8,01_Inputs!$B$7)</f>
        <v>1</v>
      </c>
      <c r="F12" s="68"/>
      <c r="G12" s="15" t="n">
        <f aca="false">IF(D12="공사",IF(ISNUMBER(01_Inputs!$B$80),01_Inputs!$B$80,"미확인"),IF(D12="시운전","시운전",E12*C12*24-N(F12)))</f>
        <v>744</v>
      </c>
      <c r="H12" s="27" t="n">
        <f aca="false">IF(OR(D12="현재 (1대)",D12="공사"),03_Capacity_Model!$B$80,IF(D12="개선 (2대)",IF(ISNUMBER(01_Inputs!$B$83),01_Inputs!$B$83,"미확인"),IF(D12="개선 (2대·105℃)",IF(ISNUMBER(01_Inputs!$B$73),01_Inputs!$B$73,"미확인"),"-")))</f>
        <v>67.4716981132076</v>
      </c>
      <c r="I12" s="15" t="n">
        <f aca="false">IF(AND(ISNUMBER(K11),D11=D12),K11,0)</f>
        <v>25.8113207547166</v>
      </c>
      <c r="J12" s="48" t="n">
        <f aca="false">IF(D12="시운전",IF(ISNUMBER(01_Inputs!$B$81),01_Inputs!$B$81,"미확인"),IF(AND(ISNUMBER(G12),ISNUMBER(H12)),INT((G12+I12)/H12),"미확인"))</f>
        <v>11</v>
      </c>
      <c r="K12" s="15" t="n">
        <f aca="false">IF(AND(ISNUMBER(G12),ISNUMBER(H12),ISNUMBER(J12)),G12+I12-J12*H12,"")</f>
        <v>27.6226415094335</v>
      </c>
      <c r="L12" s="57" t="n">
        <f aca="false">IF(COUNTIFS(02_Batch_Raw!$E$6:$E$61,"&gt;="&amp;A12,02_Batch_Raw!$E$6:$E$61,"&lt;="&amp;EOMONTH(A12,0))=0,"",COUNTIFS(02_Batch_Raw!$E$6:$E$61,"&gt;="&amp;A12,02_Batch_Raw!$E$6:$E$61,"&lt;="&amp;EOMONTH(A12,0)))</f>
        <v>11</v>
      </c>
      <c r="M12" s="57" t="n">
        <f aca="false">IF(ISNUMBER(02_Batch_Raw!$D$67),02_Batch_Raw!$D$67,"")</f>
        <v>11</v>
      </c>
      <c r="N12" s="69"/>
      <c r="O12" s="16" t="n">
        <f aca="false">IF(ISNUMBER(N12),N12,J12)</f>
        <v>11</v>
      </c>
      <c r="P12" s="13" t="str">
        <f aca="false">IF(ISNUMBER(N12),"실적 입력",IF(ISNUMBER(J12),"추정 생산 가능량","미확인"))</f>
        <v>추정 생산 가능량</v>
      </c>
      <c r="Q12" s="22" t="n">
        <f aca="false">IF(LEFT(D12,2)="개선",IF(ISNUMBER(01_Inputs!$B$61),01_Inputs!$B$61,01_Inputs!$B$49),01_Inputs!$B$49)</f>
        <v>190</v>
      </c>
      <c r="R12" s="22" t="n">
        <f aca="false">IF(ISNUMBER(O12),O12*Q12,"미확인")</f>
        <v>2090</v>
      </c>
      <c r="S12" s="45" t="n">
        <f aca="false">IF(ISNUMBER(R12),R12*IF(ISNUMBER(01_Inputs!$B$106),01_Inputs!$B$106,1),"미확인")</f>
        <v>2090</v>
      </c>
      <c r="T12" s="37" t="n">
        <f aca="false">IF(A12&lt;01_Inputs!$B$78,01_Inputs!$B$63,IF(D12="개선 (2대·105℃)",01_Inputs!$B$68,01_Inputs!$B$65))*1000/12</f>
        <v>2183.33333333333</v>
      </c>
      <c r="U12" s="70" t="n">
        <f aca="false">IF(ISNUMBER(01_Inputs!$I$126),01_Inputs!$I$126,"미제시")</f>
        <v>1360</v>
      </c>
      <c r="V12" s="70" t="str">
        <f aca="false">IF(ISNUMBER(01_Inputs!$I$127),01_Inputs!$I$127,"미제시")</f>
        <v>미제시</v>
      </c>
      <c r="W12" s="70" t="n">
        <f aca="false">IF(ISNUMBER(01_Inputs!$I$128),01_Inputs!$I$128,"미제시")</f>
        <v>0</v>
      </c>
      <c r="X12" s="70" t="str">
        <f aca="false">IF(ISNUMBER(01_Inputs!$I$129),01_Inputs!$I$129,"미제시")</f>
        <v>미제시</v>
      </c>
      <c r="Y12" s="35" t="n">
        <f aca="false">SUM(U12:X12)</f>
        <v>1360</v>
      </c>
      <c r="Z12" s="64" t="n">
        <f aca="false">Y12/Q12</f>
        <v>7.15789473684211</v>
      </c>
      <c r="AA12" s="64" t="n">
        <f aca="false">(N(U12)+N(V12))/01_Inputs!$B$42</f>
        <v>68</v>
      </c>
      <c r="AB12" s="15" t="n">
        <f aca="false">AA12*01_Inputs!$B$28</f>
        <v>136</v>
      </c>
      <c r="AC12" s="15" t="n">
        <f aca="false">AA12/01_Inputs!$B$29*01_Inputs!$B$32</f>
        <v>15.1111111111111</v>
      </c>
      <c r="AD12" s="64" t="n">
        <f aca="false">N(W12)/01_Inputs!$B$43</f>
        <v>0</v>
      </c>
      <c r="AE12" s="64" t="n">
        <f aca="false">N(X12)/01_Inputs!$B$44</f>
        <v>0</v>
      </c>
      <c r="AF12" s="13" t="str">
        <f aca="false">IF(AD12=0,"-",IF(A12&gt;=01_Inputs!$B$47,"ARS","수동"))</f>
        <v>-</v>
      </c>
      <c r="AG12" s="13" t="str">
        <f aca="false">IF(AE12=0,"-",IF(A12&gt;=01_Inputs!$B$46,"ARS","수동"))</f>
        <v>-</v>
      </c>
      <c r="AH12" s="15" t="n">
        <f aca="false">IF(AD12=0,0,IF(AF12="수동",AD12*01_Inputs!$B$34,IF(ISNUMBER(01_Inputs!$B$36),AD12*01_Inputs!$B$36,"미확인")))</f>
        <v>0</v>
      </c>
      <c r="AI12" s="15" t="n">
        <f aca="false">IF(AE12=0,0,IF(AG12="수동",IF(ISNUMBER(01_Inputs!$B$35),AE12*01_Inputs!$B$35,"미확인"),IF(ISNUMBER(01_Inputs!$B$37),AE12*01_Inputs!$B$37,"미확인")))</f>
        <v>0</v>
      </c>
      <c r="AJ12" s="15" t="n">
        <f aca="false">IF(AND(ISNUMBER(AH12),ISNUMBER(AI12)),AH12+AI12,"부분 "&amp;TEXT(N(AH12)+N(AI12),"0")&amp;" h + 미확인")</f>
        <v>0</v>
      </c>
      <c r="AK12" s="15" t="n">
        <f aca="false">(AD12+AE12)*01_Inputs!$B$38</f>
        <v>0</v>
      </c>
      <c r="AL12" s="15" t="n">
        <f aca="false">(AD12+AE12)*01_Inputs!$B$33</f>
        <v>0</v>
      </c>
      <c r="AM12" s="15" t="str">
        <f aca="false">IF(ISNUMBER(01_Inputs!$B$87),01_Inputs!$B$87,"미확인")</f>
        <v>미확인</v>
      </c>
      <c r="AN12" s="15" t="str">
        <f aca="false">IF(ISNUMBER(AM12),AM12-AB12,"미확인")</f>
        <v>미확인</v>
      </c>
      <c r="AO12" s="37" t="n">
        <f aca="false">T12-Y12</f>
        <v>823.333333333334</v>
      </c>
      <c r="AP12" s="37" t="n">
        <f aca="false">IF(ISNUMBER(S12),S12-Y12,"미확인")</f>
        <v>730</v>
      </c>
      <c r="AQ12" s="37" t="n">
        <f aca="false">IF(AND(ISNUMBER(AP12),ISNUMBER(AQ11)),AQ11+AP12,"보류")</f>
        <v>4450</v>
      </c>
      <c r="AR12" s="37" t="str">
        <f aca="false">IF(ISNUMBER(AZ11),AZ11,"보류")</f>
        <v>보류</v>
      </c>
      <c r="AS12" s="37" t="str">
        <f aca="false">IF(AND(ISNUMBER(AR12),ISNUMBER(S12)),AR12+S12,"보류")</f>
        <v>보류</v>
      </c>
      <c r="AT12" s="37" t="str">
        <f aca="false">IF(ISNUMBER(AS12),MIN(AS12,U12),"보류")</f>
        <v>보류</v>
      </c>
      <c r="AU12" s="37" t="str">
        <f aca="false">IF(ISNUMBER(AS12),MIN(AS12-AT12,N(01_Inputs!$B$104)),"보류")</f>
        <v>보류</v>
      </c>
      <c r="AV12" s="37" t="str">
        <f aca="false">IF(ISNUMBER(AS12),IF((N(V12)+N(W12)+N(X12))=0,0,MIN(N(V12),(AS12-AT12-AU12)*N(V12)/(N(V12)+N(W12)+N(X12)))),"보류")</f>
        <v>보류</v>
      </c>
      <c r="AW12" s="37" t="str">
        <f aca="false">IF(ISNUMBER(AS12),IF((N(V12)+N(W12)+N(X12))=0,0,MIN(N(W12),(AS12-AT12-AU12)*N(W12)/(N(V12)+N(W12)+N(X12)))),"보류")</f>
        <v>보류</v>
      </c>
      <c r="AX12" s="37" t="str">
        <f aca="false">IF(ISNUMBER(AS12),IF((N(V12)+N(W12)+N(X12))=0,0,MIN(N(X12),(AS12-AT12-AU12)*N(X12)/(N(V12)+N(W12)+N(X12)))),"보류")</f>
        <v>보류</v>
      </c>
      <c r="AY12" s="37" t="str">
        <f aca="false">IF(ISNUMBER(AS12),Y12-AT12-AV12-AW12-AX12,"보류")</f>
        <v>보류</v>
      </c>
      <c r="AZ12" s="35" t="str">
        <f aca="false">IF(ISNUMBER(AS12),AS12-AT12-AV12-AW12-AX12,"보류")</f>
        <v>보류</v>
      </c>
      <c r="BA12" s="37" t="str">
        <f aca="false">IF(ISNUMBER(01_Inputs!$B$105),01_Inputs!$B$105,"미입력")</f>
        <v>미입력</v>
      </c>
      <c r="BB12" s="37" t="str">
        <f aca="false">IF(AND(ISNUMBER(AR12),ISNUMBER(BA12)),Y12+BA12-AR12,"보류")</f>
        <v>보류</v>
      </c>
      <c r="BC12" s="37" t="str">
        <f aca="false">IF(AND(ISNUMBER(AZ12),ISNUMBER(BA12)),AZ12-BA12,"보류")</f>
        <v>보류</v>
      </c>
      <c r="BD12" s="13" t="str">
        <f aca="false">IF(ISNUMBER(AZ12),"계산 가능",IF(ISNUMBER(AP12),"부분 (재고 입력 필요)","보류 (생산 조건 미확인)"))</f>
        <v>부분 (재고 입력 필요)</v>
      </c>
      <c r="BE12" s="9" t="str">
        <f aca="false">IF(D12="공사",IF(ISNUMBER(01_Inputs!$B$80),"","공사 중 가용시간·"),"")&amp;IF(D12="시운전",IF(ISNUMBER(01_Inputs!$B$81),"","시운전 양품·"),"")&amp;IF(D12="개선 (2대)",IF(ISNUMBER(01_Inputs!$B$83),"","설비별 간격·"),"")&amp;IF(D12="개선 (2대·105℃)",IF(ISNUMBER(01_Inputs!$B$73),"","105℃ 간격·"),"")&amp;IF(ISNUMBER(N12),"","실적·")&amp;IF(ISNUMBER(01_Inputs!$B$106),"","양품률(100% 상한)·")&amp;IF(COUNTIF(U12:X12,"미제시")&gt;0,"고객 물량 미제시·","")&amp;IF(ISNUMBER(AJ12),"","200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3" customFormat="false" ht="15" hidden="false" customHeight="false" outlineLevel="0" collapsed="false">
      <c r="A13" s="67" t="n">
        <v>46235</v>
      </c>
      <c r="B13" s="16" t="n">
        <f aca="false">YEAR(A13)</f>
        <v>2026</v>
      </c>
      <c r="C13" s="16" t="n">
        <f aca="false">DAY(EOMONTH(A13,0))</f>
        <v>31</v>
      </c>
      <c r="D13" s="9" t="str">
        <f aca="false">IF(A13&lt;01_Inputs!$B$75,"현재 (1대)",IF(A13&lt;=01_Inputs!$B$76,"공사",IF(A13&lt;01_Inputs!$B$78,"시운전",IF(AND(ISNUMBER(01_Inputs!$B$72),A13&gt;=01_Inputs!$B$72),"개선 (2대·105℃)","개선 (2대)"))))</f>
        <v>현재 (1대)</v>
      </c>
      <c r="E13" s="16" t="n">
        <f aca="false">IF(LEFT(D13,2)="개선",01_Inputs!$B$8,01_Inputs!$B$7)</f>
        <v>1</v>
      </c>
      <c r="F13" s="68"/>
      <c r="G13" s="15" t="n">
        <f aca="false">IF(D13="공사",IF(ISNUMBER(01_Inputs!$B$80),01_Inputs!$B$80,"미확인"),IF(D13="시운전","시운전",E13*C13*24-N(F13)))</f>
        <v>744</v>
      </c>
      <c r="H13" s="27" t="n">
        <f aca="false">IF(OR(D13="현재 (1대)",D13="공사"),03_Capacity_Model!$B$80,IF(D13="개선 (2대)",IF(ISNUMBER(01_Inputs!$B$83),01_Inputs!$B$83,"미확인"),IF(D13="개선 (2대·105℃)",IF(ISNUMBER(01_Inputs!$B$73),01_Inputs!$B$73,"미확인"),"-")))</f>
        <v>67.4716981132076</v>
      </c>
      <c r="I13" s="15" t="n">
        <f aca="false">IF(AND(ISNUMBER(K12),D12=D13),K12,0)</f>
        <v>27.6226415094335</v>
      </c>
      <c r="J13" s="48" t="n">
        <f aca="false">IF(D13="시운전",IF(ISNUMBER(01_Inputs!$B$81),01_Inputs!$B$81,"미확인"),IF(AND(ISNUMBER(G13),ISNUMBER(H13)),INT((G13+I13)/H13),"미확인"))</f>
        <v>11</v>
      </c>
      <c r="K13" s="15" t="n">
        <f aca="false">IF(AND(ISNUMBER(G13),ISNUMBER(H13),ISNUMBER(J13)),G13+I13-J13*H13,"")</f>
        <v>29.4339622641504</v>
      </c>
      <c r="L13" s="57" t="n">
        <f aca="false">IF(COUNTIFS(02_Batch_Raw!$E$6:$E$61,"&gt;="&amp;A13,02_Batch_Raw!$E$6:$E$61,"&lt;="&amp;EOMONTH(A13,0))=0,"",COUNTIFS(02_Batch_Raw!$E$6:$E$61,"&gt;="&amp;A13,02_Batch_Raw!$E$6:$E$61,"&lt;="&amp;EOMONTH(A13,0)))</f>
        <v>11</v>
      </c>
      <c r="M13" s="57" t="n">
        <f aca="false">IF(ISNUMBER(02_Batch_Raw!$D$68),02_Batch_Raw!$D$68,"")</f>
        <v>8</v>
      </c>
      <c r="N13" s="69"/>
      <c r="O13" s="16" t="n">
        <f aca="false">IF(ISNUMBER(N13),N13,J13)</f>
        <v>11</v>
      </c>
      <c r="P13" s="13" t="str">
        <f aca="false">IF(ISNUMBER(N13),"실적 입력",IF(ISNUMBER(J13),"추정 생산 가능량","미확인"))</f>
        <v>추정 생산 가능량</v>
      </c>
      <c r="Q13" s="22" t="n">
        <f aca="false">IF(LEFT(D13,2)="개선",IF(ISNUMBER(01_Inputs!$B$61),01_Inputs!$B$61,01_Inputs!$B$49),01_Inputs!$B$49)</f>
        <v>190</v>
      </c>
      <c r="R13" s="22" t="n">
        <f aca="false">IF(ISNUMBER(O13),O13*Q13,"미확인")</f>
        <v>2090</v>
      </c>
      <c r="S13" s="45" t="n">
        <f aca="false">IF(ISNUMBER(R13),R13*IF(ISNUMBER(01_Inputs!$B$106),01_Inputs!$B$106,1),"미확인")</f>
        <v>2090</v>
      </c>
      <c r="T13" s="37" t="n">
        <f aca="false">IF(A13&lt;01_Inputs!$B$78,01_Inputs!$B$63,IF(D13="개선 (2대·105℃)",01_Inputs!$B$68,01_Inputs!$B$65))*1000/12</f>
        <v>2183.33333333333</v>
      </c>
      <c r="U13" s="70" t="n">
        <f aca="false">IF(ISNUMBER(01_Inputs!$J$126),01_Inputs!$J$126,"미제시")</f>
        <v>1420</v>
      </c>
      <c r="V13" s="70" t="str">
        <f aca="false">IF(ISNUMBER(01_Inputs!$J$127),01_Inputs!$J$127,"미제시")</f>
        <v>미제시</v>
      </c>
      <c r="W13" s="70" t="n">
        <f aca="false">IF(ISNUMBER(01_Inputs!$J$128),01_Inputs!$J$128,"미제시")</f>
        <v>0</v>
      </c>
      <c r="X13" s="70" t="str">
        <f aca="false">IF(ISNUMBER(01_Inputs!$J$129),01_Inputs!$J$129,"미제시")</f>
        <v>미제시</v>
      </c>
      <c r="Y13" s="35" t="n">
        <f aca="false">SUM(U13:X13)</f>
        <v>1420</v>
      </c>
      <c r="Z13" s="64" t="n">
        <f aca="false">Y13/Q13</f>
        <v>7.47368421052632</v>
      </c>
      <c r="AA13" s="64" t="n">
        <f aca="false">(N(U13)+N(V13))/01_Inputs!$B$42</f>
        <v>71</v>
      </c>
      <c r="AB13" s="15" t="n">
        <f aca="false">AA13*01_Inputs!$B$28</f>
        <v>142</v>
      </c>
      <c r="AC13" s="15" t="n">
        <f aca="false">AA13/01_Inputs!$B$29*01_Inputs!$B$32</f>
        <v>15.7777777777778</v>
      </c>
      <c r="AD13" s="64" t="n">
        <f aca="false">N(W13)/01_Inputs!$B$43</f>
        <v>0</v>
      </c>
      <c r="AE13" s="64" t="n">
        <f aca="false">N(X13)/01_Inputs!$B$44</f>
        <v>0</v>
      </c>
      <c r="AF13" s="13" t="str">
        <f aca="false">IF(AD13=0,"-",IF(A13&gt;=01_Inputs!$B$47,"ARS","수동"))</f>
        <v>-</v>
      </c>
      <c r="AG13" s="13" t="str">
        <f aca="false">IF(AE13=0,"-",IF(A13&gt;=01_Inputs!$B$46,"ARS","수동"))</f>
        <v>-</v>
      </c>
      <c r="AH13" s="15" t="n">
        <f aca="false">IF(AD13=0,0,IF(AF13="수동",AD13*01_Inputs!$B$34,IF(ISNUMBER(01_Inputs!$B$36),AD13*01_Inputs!$B$36,"미확인")))</f>
        <v>0</v>
      </c>
      <c r="AI13" s="15" t="n">
        <f aca="false">IF(AE13=0,0,IF(AG13="수동",IF(ISNUMBER(01_Inputs!$B$35),AE13*01_Inputs!$B$35,"미확인"),IF(ISNUMBER(01_Inputs!$B$37),AE13*01_Inputs!$B$37,"미확인")))</f>
        <v>0</v>
      </c>
      <c r="AJ13" s="15" t="n">
        <f aca="false">IF(AND(ISNUMBER(AH13),ISNUMBER(AI13)),AH13+AI13,"부분 "&amp;TEXT(N(AH13)+N(AI13),"0")&amp;" h + 미확인")</f>
        <v>0</v>
      </c>
      <c r="AK13" s="15" t="n">
        <f aca="false">(AD13+AE13)*01_Inputs!$B$38</f>
        <v>0</v>
      </c>
      <c r="AL13" s="15" t="n">
        <f aca="false">(AD13+AE13)*01_Inputs!$B$33</f>
        <v>0</v>
      </c>
      <c r="AM13" s="15" t="str">
        <f aca="false">IF(ISNUMBER(01_Inputs!$B$87),01_Inputs!$B$87,"미확인")</f>
        <v>미확인</v>
      </c>
      <c r="AN13" s="15" t="str">
        <f aca="false">IF(ISNUMBER(AM13),AM13-AB13,"미확인")</f>
        <v>미확인</v>
      </c>
      <c r="AO13" s="37" t="n">
        <f aca="false">T13-Y13</f>
        <v>763.333333333334</v>
      </c>
      <c r="AP13" s="37" t="n">
        <f aca="false">IF(ISNUMBER(S13),S13-Y13,"미확인")</f>
        <v>670</v>
      </c>
      <c r="AQ13" s="37" t="n">
        <f aca="false">IF(AND(ISNUMBER(AP13),ISNUMBER(AQ12)),AQ12+AP13,"보류")</f>
        <v>5120</v>
      </c>
      <c r="AR13" s="37" t="str">
        <f aca="false">IF(ISNUMBER(AZ12),AZ12,"보류")</f>
        <v>보류</v>
      </c>
      <c r="AS13" s="37" t="str">
        <f aca="false">IF(AND(ISNUMBER(AR13),ISNUMBER(S13)),AR13+S13,"보류")</f>
        <v>보류</v>
      </c>
      <c r="AT13" s="37" t="str">
        <f aca="false">IF(ISNUMBER(AS13),MIN(AS13,U13),"보류")</f>
        <v>보류</v>
      </c>
      <c r="AU13" s="37" t="str">
        <f aca="false">IF(ISNUMBER(AS13),MIN(AS13-AT13,N(01_Inputs!$B$104)),"보류")</f>
        <v>보류</v>
      </c>
      <c r="AV13" s="37" t="str">
        <f aca="false">IF(ISNUMBER(AS13),IF((N(V13)+N(W13)+N(X13))=0,0,MIN(N(V13),(AS13-AT13-AU13)*N(V13)/(N(V13)+N(W13)+N(X13)))),"보류")</f>
        <v>보류</v>
      </c>
      <c r="AW13" s="37" t="str">
        <f aca="false">IF(ISNUMBER(AS13),IF((N(V13)+N(W13)+N(X13))=0,0,MIN(N(W13),(AS13-AT13-AU13)*N(W13)/(N(V13)+N(W13)+N(X13)))),"보류")</f>
        <v>보류</v>
      </c>
      <c r="AX13" s="37" t="str">
        <f aca="false">IF(ISNUMBER(AS13),IF((N(V13)+N(W13)+N(X13))=0,0,MIN(N(X13),(AS13-AT13-AU13)*N(X13)/(N(V13)+N(W13)+N(X13)))),"보류")</f>
        <v>보류</v>
      </c>
      <c r="AY13" s="37" t="str">
        <f aca="false">IF(ISNUMBER(AS13),Y13-AT13-AV13-AW13-AX13,"보류")</f>
        <v>보류</v>
      </c>
      <c r="AZ13" s="35" t="str">
        <f aca="false">IF(ISNUMBER(AS13),AS13-AT13-AV13-AW13-AX13,"보류")</f>
        <v>보류</v>
      </c>
      <c r="BA13" s="37" t="str">
        <f aca="false">IF(ISNUMBER(01_Inputs!$B$105),01_Inputs!$B$105,"미입력")</f>
        <v>미입력</v>
      </c>
      <c r="BB13" s="37" t="str">
        <f aca="false">IF(AND(ISNUMBER(AR13),ISNUMBER(BA13)),Y13+BA13-AR13,"보류")</f>
        <v>보류</v>
      </c>
      <c r="BC13" s="37" t="str">
        <f aca="false">IF(AND(ISNUMBER(AZ13),ISNUMBER(BA13)),AZ13-BA13,"보류")</f>
        <v>보류</v>
      </c>
      <c r="BD13" s="13" t="str">
        <f aca="false">IF(ISNUMBER(AZ13),"계산 가능",IF(ISNUMBER(AP13),"부분 (재고 입력 필요)","보류 (생산 조건 미확인)"))</f>
        <v>부분 (재고 입력 필요)</v>
      </c>
      <c r="BE13" s="9" t="str">
        <f aca="false">IF(D13="공사",IF(ISNUMBER(01_Inputs!$B$80),"","공사 중 가용시간·"),"")&amp;IF(D13="시운전",IF(ISNUMBER(01_Inputs!$B$81),"","시운전 양품·"),"")&amp;IF(D13="개선 (2대)",IF(ISNUMBER(01_Inputs!$B$83),"","설비별 간격·"),"")&amp;IF(D13="개선 (2대·105℃)",IF(ISNUMBER(01_Inputs!$B$73),"","105℃ 간격·"),"")&amp;IF(ISNUMBER(N13),"","실적·")&amp;IF(ISNUMBER(01_Inputs!$B$106),"","양품률(100% 상한)·")&amp;IF(COUNTIF(U13:X13,"미제시")&gt;0,"고객 물량 미제시·","")&amp;IF(ISNUMBER(AJ13),"","200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4" customFormat="false" ht="15" hidden="false" customHeight="false" outlineLevel="0" collapsed="false">
      <c r="A14" s="67" t="n">
        <v>46266</v>
      </c>
      <c r="B14" s="16" t="n">
        <f aca="false">YEAR(A14)</f>
        <v>2026</v>
      </c>
      <c r="C14" s="16" t="n">
        <f aca="false">DAY(EOMONTH(A14,0))</f>
        <v>30</v>
      </c>
      <c r="D14" s="9" t="str">
        <f aca="false">IF(A14&lt;01_Inputs!$B$75,"현재 (1대)",IF(A14&lt;=01_Inputs!$B$76,"공사",IF(A14&lt;01_Inputs!$B$78,"시운전",IF(AND(ISNUMBER(01_Inputs!$B$72),A14&gt;=01_Inputs!$B$72),"개선 (2대·105℃)","개선 (2대)"))))</f>
        <v>현재 (1대)</v>
      </c>
      <c r="E14" s="16" t="n">
        <f aca="false">IF(LEFT(D14,2)="개선",01_Inputs!$B$8,01_Inputs!$B$7)</f>
        <v>1</v>
      </c>
      <c r="F14" s="68"/>
      <c r="G14" s="15" t="n">
        <f aca="false">IF(D14="공사",IF(ISNUMBER(01_Inputs!$B$80),01_Inputs!$B$80,"미확인"),IF(D14="시운전","시운전",E14*C14*24-N(F14)))</f>
        <v>720</v>
      </c>
      <c r="H14" s="27" t="n">
        <f aca="false">IF(OR(D14="현재 (1대)",D14="공사"),03_Capacity_Model!$B$80,IF(D14="개선 (2대)",IF(ISNUMBER(01_Inputs!$B$83),01_Inputs!$B$83,"미확인"),IF(D14="개선 (2대·105℃)",IF(ISNUMBER(01_Inputs!$B$73),01_Inputs!$B$73,"미확인"),"-")))</f>
        <v>67.4716981132076</v>
      </c>
      <c r="I14" s="15" t="n">
        <f aca="false">IF(AND(ISNUMBER(K13),D13=D14),K13,0)</f>
        <v>29.4339622641504</v>
      </c>
      <c r="J14" s="48" t="n">
        <f aca="false">IF(D14="시운전",IF(ISNUMBER(01_Inputs!$B$81),01_Inputs!$B$81,"미확인"),IF(AND(ISNUMBER(G14),ISNUMBER(H14)),INT((G14+I14)/H14),"미확인"))</f>
        <v>11</v>
      </c>
      <c r="K14" s="15" t="n">
        <f aca="false">IF(AND(ISNUMBER(G14),ISNUMBER(H14),ISNUMBER(J14)),G14+I14-J14*H14,"")</f>
        <v>7.24528301886733</v>
      </c>
      <c r="L14" s="57" t="n">
        <f aca="false">IF(COUNTIFS(02_Batch_Raw!$E$6:$E$61,"&gt;="&amp;A14,02_Batch_Raw!$E$6:$E$61,"&lt;="&amp;EOMONTH(A14,0))=0,"",COUNTIFS(02_Batch_Raw!$E$6:$E$61,"&gt;="&amp;A14,02_Batch_Raw!$E$6:$E$61,"&lt;="&amp;EOMONTH(A14,0)))</f>
        <v>10</v>
      </c>
      <c r="M14" s="57" t="n">
        <f aca="false">IF(ISNUMBER(02_Batch_Raw!$D$69),02_Batch_Raw!$D$69,"")</f>
        <v>8</v>
      </c>
      <c r="N14" s="69"/>
      <c r="O14" s="16" t="n">
        <f aca="false">IF(ISNUMBER(N14),N14,J14)</f>
        <v>11</v>
      </c>
      <c r="P14" s="13" t="str">
        <f aca="false">IF(ISNUMBER(N14),"실적 입력",IF(ISNUMBER(J14),"추정 생산 가능량","미확인"))</f>
        <v>추정 생산 가능량</v>
      </c>
      <c r="Q14" s="22" t="n">
        <f aca="false">IF(LEFT(D14,2)="개선",IF(ISNUMBER(01_Inputs!$B$61),01_Inputs!$B$61,01_Inputs!$B$49),01_Inputs!$B$49)</f>
        <v>190</v>
      </c>
      <c r="R14" s="22" t="n">
        <f aca="false">IF(ISNUMBER(O14),O14*Q14,"미확인")</f>
        <v>2090</v>
      </c>
      <c r="S14" s="45" t="n">
        <f aca="false">IF(ISNUMBER(R14),R14*IF(ISNUMBER(01_Inputs!$B$106),01_Inputs!$B$106,1),"미확인")</f>
        <v>2090</v>
      </c>
      <c r="T14" s="37" t="n">
        <f aca="false">IF(A14&lt;01_Inputs!$B$78,01_Inputs!$B$63,IF(D14="개선 (2대·105℃)",01_Inputs!$B$68,01_Inputs!$B$65))*1000/12</f>
        <v>2183.33333333333</v>
      </c>
      <c r="U14" s="70" t="n">
        <f aca="false">IF(ISNUMBER(01_Inputs!$K$126),01_Inputs!$K$126,"미제시")</f>
        <v>1380</v>
      </c>
      <c r="V14" s="70" t="str">
        <f aca="false">IF(ISNUMBER(01_Inputs!$K$127),01_Inputs!$K$127,"미제시")</f>
        <v>미제시</v>
      </c>
      <c r="W14" s="70" t="n">
        <f aca="false">IF(ISNUMBER(01_Inputs!$K$128),01_Inputs!$K$128,"미제시")</f>
        <v>560</v>
      </c>
      <c r="X14" s="70" t="str">
        <f aca="false">IF(ISNUMBER(01_Inputs!$K$129),01_Inputs!$K$129,"미제시")</f>
        <v>미제시</v>
      </c>
      <c r="Y14" s="35" t="n">
        <f aca="false">SUM(U14:X14)</f>
        <v>1940</v>
      </c>
      <c r="Z14" s="64" t="n">
        <f aca="false">Y14/Q14</f>
        <v>10.2105263157895</v>
      </c>
      <c r="AA14" s="64" t="n">
        <f aca="false">(N(U14)+N(V14))/01_Inputs!$B$42</f>
        <v>69</v>
      </c>
      <c r="AB14" s="15" t="n">
        <f aca="false">AA14*01_Inputs!$B$28</f>
        <v>138</v>
      </c>
      <c r="AC14" s="15" t="n">
        <f aca="false">AA14/01_Inputs!$B$29*01_Inputs!$B$32</f>
        <v>15.3333333333333</v>
      </c>
      <c r="AD14" s="64" t="n">
        <f aca="false">N(W14)/01_Inputs!$B$43</f>
        <v>4</v>
      </c>
      <c r="AE14" s="64" t="n">
        <f aca="false">N(X14)/01_Inputs!$B$44</f>
        <v>0</v>
      </c>
      <c r="AF14" s="13" t="str">
        <f aca="false">IF(AD14=0,"-",IF(A14&gt;=01_Inputs!$B$47,"ARS","수동"))</f>
        <v>수동</v>
      </c>
      <c r="AG14" s="13" t="str">
        <f aca="false">IF(AE14=0,"-",IF(A14&gt;=01_Inputs!$B$46,"ARS","수동"))</f>
        <v>-</v>
      </c>
      <c r="AH14" s="15" t="n">
        <f aca="false">IF(AD14=0,0,IF(AF14="수동",AD14*01_Inputs!$B$34,IF(ISNUMBER(01_Inputs!$B$36),AD14*01_Inputs!$B$36,"미확인")))</f>
        <v>32</v>
      </c>
      <c r="AI14" s="15" t="n">
        <f aca="false">IF(AE14=0,0,IF(AG14="수동",IF(ISNUMBER(01_Inputs!$B$35),AE14*01_Inputs!$B$35,"미확인"),IF(ISNUMBER(01_Inputs!$B$37),AE14*01_Inputs!$B$37,"미확인")))</f>
        <v>0</v>
      </c>
      <c r="AJ14" s="15" t="n">
        <f aca="false">IF(AND(ISNUMBER(AH14),ISNUMBER(AI14)),AH14+AI14,"부분 "&amp;TEXT(N(AH14)+N(AI14),"0")&amp;" h + 미확인")</f>
        <v>32</v>
      </c>
      <c r="AK14" s="15" t="n">
        <f aca="false">(AD14+AE14)*01_Inputs!$B$38</f>
        <v>32</v>
      </c>
      <c r="AL14" s="15" t="n">
        <f aca="false">(AD14+AE14)*01_Inputs!$B$33</f>
        <v>8</v>
      </c>
      <c r="AM14" s="15" t="str">
        <f aca="false">IF(ISNUMBER(01_Inputs!$B$87),01_Inputs!$B$87,"미확인")</f>
        <v>미확인</v>
      </c>
      <c r="AN14" s="15" t="str">
        <f aca="false">IF(ISNUMBER(AM14),AM14-AB14,"미확인")</f>
        <v>미확인</v>
      </c>
      <c r="AO14" s="37" t="n">
        <f aca="false">T14-Y14</f>
        <v>243.333333333333</v>
      </c>
      <c r="AP14" s="37" t="n">
        <f aca="false">IF(ISNUMBER(S14),S14-Y14,"미확인")</f>
        <v>150</v>
      </c>
      <c r="AQ14" s="37" t="n">
        <f aca="false">IF(AND(ISNUMBER(AP14),ISNUMBER(AQ13)),AQ13+AP14,"보류")</f>
        <v>5270</v>
      </c>
      <c r="AR14" s="37" t="str">
        <f aca="false">IF(ISNUMBER(AZ13),AZ13,"보류")</f>
        <v>보류</v>
      </c>
      <c r="AS14" s="37" t="str">
        <f aca="false">IF(AND(ISNUMBER(AR14),ISNUMBER(S14)),AR14+S14,"보류")</f>
        <v>보류</v>
      </c>
      <c r="AT14" s="37" t="str">
        <f aca="false">IF(ISNUMBER(AS14),MIN(AS14,U14),"보류")</f>
        <v>보류</v>
      </c>
      <c r="AU14" s="37" t="str">
        <f aca="false">IF(ISNUMBER(AS14),MIN(AS14-AT14,N(01_Inputs!$B$104)),"보류")</f>
        <v>보류</v>
      </c>
      <c r="AV14" s="37" t="str">
        <f aca="false">IF(ISNUMBER(AS14),IF((N(V14)+N(W14)+N(X14))=0,0,MIN(N(V14),(AS14-AT14-AU14)*N(V14)/(N(V14)+N(W14)+N(X14)))),"보류")</f>
        <v>보류</v>
      </c>
      <c r="AW14" s="37" t="str">
        <f aca="false">IF(ISNUMBER(AS14),IF((N(V14)+N(W14)+N(X14))=0,0,MIN(N(W14),(AS14-AT14-AU14)*N(W14)/(N(V14)+N(W14)+N(X14)))),"보류")</f>
        <v>보류</v>
      </c>
      <c r="AX14" s="37" t="str">
        <f aca="false">IF(ISNUMBER(AS14),IF((N(V14)+N(W14)+N(X14))=0,0,MIN(N(X14),(AS14-AT14-AU14)*N(X14)/(N(V14)+N(W14)+N(X14)))),"보류")</f>
        <v>보류</v>
      </c>
      <c r="AY14" s="37" t="str">
        <f aca="false">IF(ISNUMBER(AS14),Y14-AT14-AV14-AW14-AX14,"보류")</f>
        <v>보류</v>
      </c>
      <c r="AZ14" s="35" t="str">
        <f aca="false">IF(ISNUMBER(AS14),AS14-AT14-AV14-AW14-AX14,"보류")</f>
        <v>보류</v>
      </c>
      <c r="BA14" s="37" t="str">
        <f aca="false">IF(ISNUMBER(01_Inputs!$B$105),01_Inputs!$B$105,"미입력")</f>
        <v>미입력</v>
      </c>
      <c r="BB14" s="37" t="str">
        <f aca="false">IF(AND(ISNUMBER(AR14),ISNUMBER(BA14)),Y14+BA14-AR14,"보류")</f>
        <v>보류</v>
      </c>
      <c r="BC14" s="37" t="str">
        <f aca="false">IF(AND(ISNUMBER(AZ14),ISNUMBER(BA14)),AZ14-BA14,"보류")</f>
        <v>보류</v>
      </c>
      <c r="BD14" s="13" t="str">
        <f aca="false">IF(ISNUMBER(AZ14),"계산 가능",IF(ISNUMBER(AP14),"부분 (재고 입력 필요)","보류 (생산 조건 미확인)"))</f>
        <v>부분 (재고 입력 필요)</v>
      </c>
      <c r="BE14" s="9" t="str">
        <f aca="false">IF(D14="공사",IF(ISNUMBER(01_Inputs!$B$80),"","공사 중 가용시간·"),"")&amp;IF(D14="시운전",IF(ISNUMBER(01_Inputs!$B$81),"","시운전 양품·"),"")&amp;IF(D14="개선 (2대)",IF(ISNUMBER(01_Inputs!$B$83),"","설비별 간격·"),"")&amp;IF(D14="개선 (2대·105℃)",IF(ISNUMBER(01_Inputs!$B$73),"","105℃ 간격·"),"")&amp;IF(ISNUMBER(N14),"","실적·")&amp;IF(ISNUMBER(01_Inputs!$B$106),"","양품률(100% 상한)·")&amp;IF(COUNTIF(U14:X14,"미제시")&gt;0,"고객 물량 미제시·","")&amp;IF(ISNUMBER(AJ14),"","200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5" customFormat="false" ht="15" hidden="false" customHeight="false" outlineLevel="0" collapsed="false">
      <c r="A15" s="67" t="n">
        <v>46296</v>
      </c>
      <c r="B15" s="16" t="n">
        <f aca="false">YEAR(A15)</f>
        <v>2026</v>
      </c>
      <c r="C15" s="16" t="n">
        <f aca="false">DAY(EOMONTH(A15,0))</f>
        <v>31</v>
      </c>
      <c r="D15" s="9" t="str">
        <f aca="false">IF(A15&lt;01_Inputs!$B$75,"현재 (1대)",IF(A15&lt;=01_Inputs!$B$76,"공사",IF(A15&lt;01_Inputs!$B$78,"시운전",IF(AND(ISNUMBER(01_Inputs!$B$72),A15&gt;=01_Inputs!$B$72),"개선 (2대·105℃)","개선 (2대)"))))</f>
        <v>현재 (1대)</v>
      </c>
      <c r="E15" s="16" t="n">
        <f aca="false">IF(LEFT(D15,2)="개선",01_Inputs!$B$8,01_Inputs!$B$7)</f>
        <v>1</v>
      </c>
      <c r="F15" s="68"/>
      <c r="G15" s="15" t="n">
        <f aca="false">IF(D15="공사",IF(ISNUMBER(01_Inputs!$B$80),01_Inputs!$B$80,"미확인"),IF(D15="시운전","시운전",E15*C15*24-N(F15)))</f>
        <v>744</v>
      </c>
      <c r="H15" s="27" t="n">
        <f aca="false">IF(OR(D15="현재 (1대)",D15="공사"),03_Capacity_Model!$B$80,IF(D15="개선 (2대)",IF(ISNUMBER(01_Inputs!$B$83),01_Inputs!$B$83,"미확인"),IF(D15="개선 (2대·105℃)",IF(ISNUMBER(01_Inputs!$B$73),01_Inputs!$B$73,"미확인"),"-")))</f>
        <v>67.4716981132076</v>
      </c>
      <c r="I15" s="15" t="n">
        <f aca="false">IF(AND(ISNUMBER(K14),D14=D15),K14,0)</f>
        <v>7.24528301886733</v>
      </c>
      <c r="J15" s="48" t="n">
        <f aca="false">IF(D15="시운전",IF(ISNUMBER(01_Inputs!$B$81),01_Inputs!$B$81,"미확인"),IF(AND(ISNUMBER(G15),ISNUMBER(H15)),INT((G15+I15)/H15),"미확인"))</f>
        <v>11</v>
      </c>
      <c r="K15" s="15" t="n">
        <f aca="false">IF(AND(ISNUMBER(G15),ISNUMBER(H15),ISNUMBER(J15)),G15+I15-J15*H15,"")</f>
        <v>9.05660377358424</v>
      </c>
      <c r="L15" s="57" t="n">
        <f aca="false">IF(COUNTIFS(02_Batch_Raw!$E$6:$E$61,"&gt;="&amp;A15,02_Batch_Raw!$E$6:$E$61,"&lt;="&amp;EOMONTH(A15,0))=0,"",COUNTIFS(02_Batch_Raw!$E$6:$E$61,"&gt;="&amp;A15,02_Batch_Raw!$E$6:$E$61,"&lt;="&amp;EOMONTH(A15,0)))</f>
        <v>11</v>
      </c>
      <c r="M15" s="57" t="n">
        <f aca="false">IF(ISNUMBER(02_Batch_Raw!$D$70),02_Batch_Raw!$D$70,"")</f>
        <v>11</v>
      </c>
      <c r="N15" s="69"/>
      <c r="O15" s="16" t="n">
        <f aca="false">IF(ISNUMBER(N15),N15,J15)</f>
        <v>11</v>
      </c>
      <c r="P15" s="13" t="str">
        <f aca="false">IF(ISNUMBER(N15),"실적 입력",IF(ISNUMBER(J15),"추정 생산 가능량","미확인"))</f>
        <v>추정 생산 가능량</v>
      </c>
      <c r="Q15" s="22" t="n">
        <f aca="false">IF(LEFT(D15,2)="개선",IF(ISNUMBER(01_Inputs!$B$61),01_Inputs!$B$61,01_Inputs!$B$49),01_Inputs!$B$49)</f>
        <v>190</v>
      </c>
      <c r="R15" s="22" t="n">
        <f aca="false">IF(ISNUMBER(O15),O15*Q15,"미확인")</f>
        <v>2090</v>
      </c>
      <c r="S15" s="45" t="n">
        <f aca="false">IF(ISNUMBER(R15),R15*IF(ISNUMBER(01_Inputs!$B$106),01_Inputs!$B$106,1),"미확인")</f>
        <v>2090</v>
      </c>
      <c r="T15" s="37" t="n">
        <f aca="false">IF(A15&lt;01_Inputs!$B$78,01_Inputs!$B$63,IF(D15="개선 (2대·105℃)",01_Inputs!$B$68,01_Inputs!$B$65))*1000/12</f>
        <v>2183.33333333333</v>
      </c>
      <c r="U15" s="70" t="n">
        <f aca="false">IF(ISNUMBER(01_Inputs!$L$126),01_Inputs!$L$126,"미제시")</f>
        <v>1480</v>
      </c>
      <c r="V15" s="70" t="str">
        <f aca="false">IF(ISNUMBER(01_Inputs!$L$127),01_Inputs!$L$127,"미제시")</f>
        <v>미제시</v>
      </c>
      <c r="W15" s="70" t="n">
        <f aca="false">IF(ISNUMBER(01_Inputs!$L$128),01_Inputs!$L$128,"미제시")</f>
        <v>560</v>
      </c>
      <c r="X15" s="70" t="str">
        <f aca="false">IF(ISNUMBER(01_Inputs!$L$129),01_Inputs!$L$129,"미제시")</f>
        <v>미제시</v>
      </c>
      <c r="Y15" s="35" t="n">
        <f aca="false">SUM(U15:X15)</f>
        <v>2040</v>
      </c>
      <c r="Z15" s="64" t="n">
        <f aca="false">Y15/Q15</f>
        <v>10.7368421052632</v>
      </c>
      <c r="AA15" s="64" t="n">
        <f aca="false">(N(U15)+N(V15))/01_Inputs!$B$42</f>
        <v>74</v>
      </c>
      <c r="AB15" s="15" t="n">
        <f aca="false">AA15*01_Inputs!$B$28</f>
        <v>148</v>
      </c>
      <c r="AC15" s="15" t="n">
        <f aca="false">AA15/01_Inputs!$B$29*01_Inputs!$B$32</f>
        <v>16.4444444444444</v>
      </c>
      <c r="AD15" s="64" t="n">
        <f aca="false">N(W15)/01_Inputs!$B$43</f>
        <v>4</v>
      </c>
      <c r="AE15" s="64" t="n">
        <f aca="false">N(X15)/01_Inputs!$B$44</f>
        <v>0</v>
      </c>
      <c r="AF15" s="13" t="str">
        <f aca="false">IF(AD15=0,"-",IF(A15&gt;=01_Inputs!$B$47,"ARS","수동"))</f>
        <v>수동</v>
      </c>
      <c r="AG15" s="13" t="str">
        <f aca="false">IF(AE15=0,"-",IF(A15&gt;=01_Inputs!$B$46,"ARS","수동"))</f>
        <v>-</v>
      </c>
      <c r="AH15" s="15" t="n">
        <f aca="false">IF(AD15=0,0,IF(AF15="수동",AD15*01_Inputs!$B$34,IF(ISNUMBER(01_Inputs!$B$36),AD15*01_Inputs!$B$36,"미확인")))</f>
        <v>32</v>
      </c>
      <c r="AI15" s="15" t="n">
        <f aca="false">IF(AE15=0,0,IF(AG15="수동",IF(ISNUMBER(01_Inputs!$B$35),AE15*01_Inputs!$B$35,"미확인"),IF(ISNUMBER(01_Inputs!$B$37),AE15*01_Inputs!$B$37,"미확인")))</f>
        <v>0</v>
      </c>
      <c r="AJ15" s="15" t="n">
        <f aca="false">IF(AND(ISNUMBER(AH15),ISNUMBER(AI15)),AH15+AI15,"부분 "&amp;TEXT(N(AH15)+N(AI15),"0")&amp;" h + 미확인")</f>
        <v>32</v>
      </c>
      <c r="AK15" s="15" t="n">
        <f aca="false">(AD15+AE15)*01_Inputs!$B$38</f>
        <v>32</v>
      </c>
      <c r="AL15" s="15" t="n">
        <f aca="false">(AD15+AE15)*01_Inputs!$B$33</f>
        <v>8</v>
      </c>
      <c r="AM15" s="15" t="str">
        <f aca="false">IF(ISNUMBER(01_Inputs!$B$87),01_Inputs!$B$87,"미확인")</f>
        <v>미확인</v>
      </c>
      <c r="AN15" s="15" t="str">
        <f aca="false">IF(ISNUMBER(AM15),AM15-AB15,"미확인")</f>
        <v>미확인</v>
      </c>
      <c r="AO15" s="37" t="n">
        <f aca="false">T15-Y15</f>
        <v>143.333333333333</v>
      </c>
      <c r="AP15" s="37" t="n">
        <f aca="false">IF(ISNUMBER(S15),S15-Y15,"미확인")</f>
        <v>50</v>
      </c>
      <c r="AQ15" s="37" t="n">
        <f aca="false">IF(AND(ISNUMBER(AP15),ISNUMBER(AQ14)),AQ14+AP15,"보류")</f>
        <v>5320</v>
      </c>
      <c r="AR15" s="37" t="str">
        <f aca="false">IF(ISNUMBER(AZ14),AZ14,"보류")</f>
        <v>보류</v>
      </c>
      <c r="AS15" s="37" t="str">
        <f aca="false">IF(AND(ISNUMBER(AR15),ISNUMBER(S15)),AR15+S15,"보류")</f>
        <v>보류</v>
      </c>
      <c r="AT15" s="37" t="str">
        <f aca="false">IF(ISNUMBER(AS15),MIN(AS15,U15),"보류")</f>
        <v>보류</v>
      </c>
      <c r="AU15" s="37" t="str">
        <f aca="false">IF(ISNUMBER(AS15),MIN(AS15-AT15,N(01_Inputs!$B$104)),"보류")</f>
        <v>보류</v>
      </c>
      <c r="AV15" s="37" t="str">
        <f aca="false">IF(ISNUMBER(AS15),IF((N(V15)+N(W15)+N(X15))=0,0,MIN(N(V15),(AS15-AT15-AU15)*N(V15)/(N(V15)+N(W15)+N(X15)))),"보류")</f>
        <v>보류</v>
      </c>
      <c r="AW15" s="37" t="str">
        <f aca="false">IF(ISNUMBER(AS15),IF((N(V15)+N(W15)+N(X15))=0,0,MIN(N(W15),(AS15-AT15-AU15)*N(W15)/(N(V15)+N(W15)+N(X15)))),"보류")</f>
        <v>보류</v>
      </c>
      <c r="AX15" s="37" t="str">
        <f aca="false">IF(ISNUMBER(AS15),IF((N(V15)+N(W15)+N(X15))=0,0,MIN(N(X15),(AS15-AT15-AU15)*N(X15)/(N(V15)+N(W15)+N(X15)))),"보류")</f>
        <v>보류</v>
      </c>
      <c r="AY15" s="37" t="str">
        <f aca="false">IF(ISNUMBER(AS15),Y15-AT15-AV15-AW15-AX15,"보류")</f>
        <v>보류</v>
      </c>
      <c r="AZ15" s="35" t="str">
        <f aca="false">IF(ISNUMBER(AS15),AS15-AT15-AV15-AW15-AX15,"보류")</f>
        <v>보류</v>
      </c>
      <c r="BA15" s="37" t="str">
        <f aca="false">IF(ISNUMBER(01_Inputs!$B$105),01_Inputs!$B$105,"미입력")</f>
        <v>미입력</v>
      </c>
      <c r="BB15" s="37" t="str">
        <f aca="false">IF(AND(ISNUMBER(AR15),ISNUMBER(BA15)),Y15+BA15-AR15,"보류")</f>
        <v>보류</v>
      </c>
      <c r="BC15" s="37" t="str">
        <f aca="false">IF(AND(ISNUMBER(AZ15),ISNUMBER(BA15)),AZ15-BA15,"보류")</f>
        <v>보류</v>
      </c>
      <c r="BD15" s="13" t="str">
        <f aca="false">IF(ISNUMBER(AZ15),"계산 가능",IF(ISNUMBER(AP15),"부분 (재고 입력 필요)","보류 (생산 조건 미확인)"))</f>
        <v>부분 (재고 입력 필요)</v>
      </c>
      <c r="BE15" s="9" t="str">
        <f aca="false">IF(D15="공사",IF(ISNUMBER(01_Inputs!$B$80),"","공사 중 가용시간·"),"")&amp;IF(D15="시운전",IF(ISNUMBER(01_Inputs!$B$81),"","시운전 양품·"),"")&amp;IF(D15="개선 (2대)",IF(ISNUMBER(01_Inputs!$B$83),"","설비별 간격·"),"")&amp;IF(D15="개선 (2대·105℃)",IF(ISNUMBER(01_Inputs!$B$73),"","105℃ 간격·"),"")&amp;IF(ISNUMBER(N15),"","실적·")&amp;IF(ISNUMBER(01_Inputs!$B$106),"","양품률(100% 상한)·")&amp;IF(COUNTIF(U15:X15,"미제시")&gt;0,"고객 물량 미제시·","")&amp;IF(ISNUMBER(AJ15),"","200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6" customFormat="false" ht="15" hidden="false" customHeight="false" outlineLevel="0" collapsed="false">
      <c r="A16" s="67" t="n">
        <v>46327</v>
      </c>
      <c r="B16" s="16" t="n">
        <f aca="false">YEAR(A16)</f>
        <v>2026</v>
      </c>
      <c r="C16" s="16" t="n">
        <f aca="false">DAY(EOMONTH(A16,0))</f>
        <v>30</v>
      </c>
      <c r="D16" s="9" t="str">
        <f aca="false">IF(A16&lt;01_Inputs!$B$75,"현재 (1대)",IF(A16&lt;=01_Inputs!$B$76,"공사",IF(A16&lt;01_Inputs!$B$78,"시운전",IF(AND(ISNUMBER(01_Inputs!$B$72),A16&gt;=01_Inputs!$B$72),"개선 (2대·105℃)","개선 (2대)"))))</f>
        <v>현재 (1대)</v>
      </c>
      <c r="E16" s="16" t="n">
        <f aca="false">IF(LEFT(D16,2)="개선",01_Inputs!$B$8,01_Inputs!$B$7)</f>
        <v>1</v>
      </c>
      <c r="F16" s="68"/>
      <c r="G16" s="15" t="n">
        <f aca="false">IF(D16="공사",IF(ISNUMBER(01_Inputs!$B$80),01_Inputs!$B$80,"미확인"),IF(D16="시운전","시운전",E16*C16*24-N(F16)))</f>
        <v>720</v>
      </c>
      <c r="H16" s="27" t="n">
        <f aca="false">IF(OR(D16="현재 (1대)",D16="공사"),03_Capacity_Model!$B$80,IF(D16="개선 (2대)",IF(ISNUMBER(01_Inputs!$B$83),01_Inputs!$B$83,"미확인"),IF(D16="개선 (2대·105℃)",IF(ISNUMBER(01_Inputs!$B$73),01_Inputs!$B$73,"미확인"),"-")))</f>
        <v>67.4716981132076</v>
      </c>
      <c r="I16" s="15" t="n">
        <f aca="false">IF(AND(ISNUMBER(K15),D15=D16),K15,0)</f>
        <v>9.05660377358424</v>
      </c>
      <c r="J16" s="48" t="n">
        <f aca="false">IF(D16="시운전",IF(ISNUMBER(01_Inputs!$B$81),01_Inputs!$B$81,"미확인"),IF(AND(ISNUMBER(G16),ISNUMBER(H16)),INT((G16+I16)/H16),"미확인"))</f>
        <v>10</v>
      </c>
      <c r="K16" s="15" t="n">
        <f aca="false">IF(AND(ISNUMBER(G16),ISNUMBER(H16),ISNUMBER(J16)),G16+I16-J16*H16,"")</f>
        <v>54.3396226415088</v>
      </c>
      <c r="L16" s="57" t="str">
        <f aca="false">IF(COUNTIFS(02_Batch_Raw!$E$6:$E$61,"&gt;="&amp;A16,02_Batch_Raw!$E$6:$E$61,"&lt;="&amp;EOMONTH(A16,0))=0,"",COUNTIFS(02_Batch_Raw!$E$6:$E$61,"&gt;="&amp;A16,02_Batch_Raw!$E$6:$E$61,"&lt;="&amp;EOMONTH(A16,0)))</f>
        <v/>
      </c>
      <c r="M16" s="57" t="str">
        <f aca="false">""</f>
        <v/>
      </c>
      <c r="N16" s="69"/>
      <c r="O16" s="16" t="n">
        <f aca="false">IF(ISNUMBER(N16),N16,J16)</f>
        <v>10</v>
      </c>
      <c r="P16" s="13" t="str">
        <f aca="false">IF(ISNUMBER(N16),"실적 입력",IF(ISNUMBER(J16),"추정 생산 가능량","미확인"))</f>
        <v>추정 생산 가능량</v>
      </c>
      <c r="Q16" s="22" t="n">
        <f aca="false">IF(LEFT(D16,2)="개선",IF(ISNUMBER(01_Inputs!$B$61),01_Inputs!$B$61,01_Inputs!$B$49),01_Inputs!$B$49)</f>
        <v>190</v>
      </c>
      <c r="R16" s="22" t="n">
        <f aca="false">IF(ISNUMBER(O16),O16*Q16,"미확인")</f>
        <v>1900</v>
      </c>
      <c r="S16" s="45" t="n">
        <f aca="false">IF(ISNUMBER(R16),R16*IF(ISNUMBER(01_Inputs!$B$106),01_Inputs!$B$106,1),"미확인")</f>
        <v>1900</v>
      </c>
      <c r="T16" s="37" t="n">
        <f aca="false">IF(A16&lt;01_Inputs!$B$78,01_Inputs!$B$63,IF(D16="개선 (2대·105℃)",01_Inputs!$B$68,01_Inputs!$B$65))*1000/12</f>
        <v>2183.33333333333</v>
      </c>
      <c r="U16" s="70" t="n">
        <f aca="false">IF(ISNUMBER(01_Inputs!$M$126),01_Inputs!$M$126,"미제시")</f>
        <v>1480</v>
      </c>
      <c r="V16" s="70" t="str">
        <f aca="false">IF(ISNUMBER(01_Inputs!$M$127),01_Inputs!$M$127,"미제시")</f>
        <v>미제시</v>
      </c>
      <c r="W16" s="70" t="n">
        <f aca="false">IF(ISNUMBER(01_Inputs!$M$128),01_Inputs!$M$128,"미제시")</f>
        <v>560</v>
      </c>
      <c r="X16" s="70" t="str">
        <f aca="false">IF(ISNUMBER(01_Inputs!$M$129),01_Inputs!$M$129,"미제시")</f>
        <v>미제시</v>
      </c>
      <c r="Y16" s="35" t="n">
        <f aca="false">SUM(U16:X16)</f>
        <v>2040</v>
      </c>
      <c r="Z16" s="64" t="n">
        <f aca="false">Y16/Q16</f>
        <v>10.7368421052632</v>
      </c>
      <c r="AA16" s="64" t="n">
        <f aca="false">(N(U16)+N(V16))/01_Inputs!$B$42</f>
        <v>74</v>
      </c>
      <c r="AB16" s="15" t="n">
        <f aca="false">AA16*01_Inputs!$B$28</f>
        <v>148</v>
      </c>
      <c r="AC16" s="15" t="n">
        <f aca="false">AA16/01_Inputs!$B$29*01_Inputs!$B$32</f>
        <v>16.4444444444444</v>
      </c>
      <c r="AD16" s="64" t="n">
        <f aca="false">N(W16)/01_Inputs!$B$43</f>
        <v>4</v>
      </c>
      <c r="AE16" s="64" t="n">
        <f aca="false">N(X16)/01_Inputs!$B$44</f>
        <v>0</v>
      </c>
      <c r="AF16" s="13" t="str">
        <f aca="false">IF(AD16=0,"-",IF(A16&gt;=01_Inputs!$B$47,"ARS","수동"))</f>
        <v>수동</v>
      </c>
      <c r="AG16" s="13" t="str">
        <f aca="false">IF(AE16=0,"-",IF(A16&gt;=01_Inputs!$B$46,"ARS","수동"))</f>
        <v>-</v>
      </c>
      <c r="AH16" s="15" t="n">
        <f aca="false">IF(AD16=0,0,IF(AF16="수동",AD16*01_Inputs!$B$34,IF(ISNUMBER(01_Inputs!$B$36),AD16*01_Inputs!$B$36,"미확인")))</f>
        <v>32</v>
      </c>
      <c r="AI16" s="15" t="n">
        <f aca="false">IF(AE16=0,0,IF(AG16="수동",IF(ISNUMBER(01_Inputs!$B$35),AE16*01_Inputs!$B$35,"미확인"),IF(ISNUMBER(01_Inputs!$B$37),AE16*01_Inputs!$B$37,"미확인")))</f>
        <v>0</v>
      </c>
      <c r="AJ16" s="15" t="n">
        <f aca="false">IF(AND(ISNUMBER(AH16),ISNUMBER(AI16)),AH16+AI16,"부분 "&amp;TEXT(N(AH16)+N(AI16),"0")&amp;" h + 미확인")</f>
        <v>32</v>
      </c>
      <c r="AK16" s="15" t="n">
        <f aca="false">(AD16+AE16)*01_Inputs!$B$38</f>
        <v>32</v>
      </c>
      <c r="AL16" s="15" t="n">
        <f aca="false">(AD16+AE16)*01_Inputs!$B$33</f>
        <v>8</v>
      </c>
      <c r="AM16" s="15" t="str">
        <f aca="false">IF(ISNUMBER(01_Inputs!$B$87),01_Inputs!$B$87,"미확인")</f>
        <v>미확인</v>
      </c>
      <c r="AN16" s="15" t="str">
        <f aca="false">IF(ISNUMBER(AM16),AM16-AB16,"미확인")</f>
        <v>미확인</v>
      </c>
      <c r="AO16" s="37" t="n">
        <f aca="false">T16-Y16</f>
        <v>143.333333333333</v>
      </c>
      <c r="AP16" s="37" t="n">
        <f aca="false">IF(ISNUMBER(S16),S16-Y16,"미확인")</f>
        <v>-140</v>
      </c>
      <c r="AQ16" s="37" t="n">
        <f aca="false">IF(AND(ISNUMBER(AP16),ISNUMBER(AQ15)),AQ15+AP16,"보류")</f>
        <v>5180</v>
      </c>
      <c r="AR16" s="37" t="str">
        <f aca="false">IF(ISNUMBER(AZ15),AZ15,"보류")</f>
        <v>보류</v>
      </c>
      <c r="AS16" s="37" t="str">
        <f aca="false">IF(AND(ISNUMBER(AR16),ISNUMBER(S16)),AR16+S16,"보류")</f>
        <v>보류</v>
      </c>
      <c r="AT16" s="37" t="str">
        <f aca="false">IF(ISNUMBER(AS16),MIN(AS16,U16),"보류")</f>
        <v>보류</v>
      </c>
      <c r="AU16" s="37" t="str">
        <f aca="false">IF(ISNUMBER(AS16),MIN(AS16-AT16,N(01_Inputs!$B$104)),"보류")</f>
        <v>보류</v>
      </c>
      <c r="AV16" s="37" t="str">
        <f aca="false">IF(ISNUMBER(AS16),IF((N(V16)+N(W16)+N(X16))=0,0,MIN(N(V16),(AS16-AT16-AU16)*N(V16)/(N(V16)+N(W16)+N(X16)))),"보류")</f>
        <v>보류</v>
      </c>
      <c r="AW16" s="37" t="str">
        <f aca="false">IF(ISNUMBER(AS16),IF((N(V16)+N(W16)+N(X16))=0,0,MIN(N(W16),(AS16-AT16-AU16)*N(W16)/(N(V16)+N(W16)+N(X16)))),"보류")</f>
        <v>보류</v>
      </c>
      <c r="AX16" s="37" t="str">
        <f aca="false">IF(ISNUMBER(AS16),IF((N(V16)+N(W16)+N(X16))=0,0,MIN(N(X16),(AS16-AT16-AU16)*N(X16)/(N(V16)+N(W16)+N(X16)))),"보류")</f>
        <v>보류</v>
      </c>
      <c r="AY16" s="37" t="str">
        <f aca="false">IF(ISNUMBER(AS16),Y16-AT16-AV16-AW16-AX16,"보류")</f>
        <v>보류</v>
      </c>
      <c r="AZ16" s="35" t="str">
        <f aca="false">IF(ISNUMBER(AS16),AS16-AT16-AV16-AW16-AX16,"보류")</f>
        <v>보류</v>
      </c>
      <c r="BA16" s="37" t="str">
        <f aca="false">IF(ISNUMBER(01_Inputs!$B$105),01_Inputs!$B$105,"미입력")</f>
        <v>미입력</v>
      </c>
      <c r="BB16" s="37" t="str">
        <f aca="false">IF(AND(ISNUMBER(AR16),ISNUMBER(BA16)),Y16+BA16-AR16,"보류")</f>
        <v>보류</v>
      </c>
      <c r="BC16" s="37" t="str">
        <f aca="false">IF(AND(ISNUMBER(AZ16),ISNUMBER(BA16)),AZ16-BA16,"보류")</f>
        <v>보류</v>
      </c>
      <c r="BD16" s="13" t="str">
        <f aca="false">IF(ISNUMBER(AZ16),"계산 가능",IF(ISNUMBER(AP16),"부분 (재고 입력 필요)","보류 (생산 조건 미확인)"))</f>
        <v>부분 (재고 입력 필요)</v>
      </c>
      <c r="BE16" s="9" t="str">
        <f aca="false">IF(D16="공사",IF(ISNUMBER(01_Inputs!$B$80),"","공사 중 가용시간·"),"")&amp;IF(D16="시운전",IF(ISNUMBER(01_Inputs!$B$81),"","시운전 양품·"),"")&amp;IF(D16="개선 (2대)",IF(ISNUMBER(01_Inputs!$B$83),"","설비별 간격·"),"")&amp;IF(D16="개선 (2대·105℃)",IF(ISNUMBER(01_Inputs!$B$73),"","105℃ 간격·"),"")&amp;IF(ISNUMBER(N16),"","실적·")&amp;IF(ISNUMBER(01_Inputs!$B$106),"","양품률(100% 상한)·")&amp;IF(COUNTIF(U16:X16,"미제시")&gt;0,"고객 물량 미제시·","")&amp;IF(ISNUMBER(AJ16),"","200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7" customFormat="false" ht="15" hidden="false" customHeight="false" outlineLevel="0" collapsed="false">
      <c r="A17" s="67" t="n">
        <v>46357</v>
      </c>
      <c r="B17" s="16" t="n">
        <f aca="false">YEAR(A17)</f>
        <v>2026</v>
      </c>
      <c r="C17" s="16" t="n">
        <f aca="false">DAY(EOMONTH(A17,0))</f>
        <v>31</v>
      </c>
      <c r="D17" s="9" t="str">
        <f aca="false">IF(A17&lt;01_Inputs!$B$75,"현재 (1대)",IF(A17&lt;=01_Inputs!$B$76,"공사",IF(A17&lt;01_Inputs!$B$78,"시운전",IF(AND(ISNUMBER(01_Inputs!$B$72),A17&gt;=01_Inputs!$B$72),"개선 (2대·105℃)","개선 (2대)"))))</f>
        <v>현재 (1대)</v>
      </c>
      <c r="E17" s="16" t="n">
        <f aca="false">IF(LEFT(D17,2)="개선",01_Inputs!$B$8,01_Inputs!$B$7)</f>
        <v>1</v>
      </c>
      <c r="F17" s="68"/>
      <c r="G17" s="15" t="n">
        <f aca="false">IF(D17="공사",IF(ISNUMBER(01_Inputs!$B$80),01_Inputs!$B$80,"미확인"),IF(D17="시운전","시운전",E17*C17*24-N(F17)))</f>
        <v>744</v>
      </c>
      <c r="H17" s="27" t="n">
        <f aca="false">IF(OR(D17="현재 (1대)",D17="공사"),03_Capacity_Model!$B$80,IF(D17="개선 (2대)",IF(ISNUMBER(01_Inputs!$B$83),01_Inputs!$B$83,"미확인"),IF(D17="개선 (2대·105℃)",IF(ISNUMBER(01_Inputs!$B$73),01_Inputs!$B$73,"미확인"),"-")))</f>
        <v>67.4716981132076</v>
      </c>
      <c r="I17" s="15" t="n">
        <f aca="false">IF(AND(ISNUMBER(K16),D16=D17),K16,0)</f>
        <v>54.3396226415088</v>
      </c>
      <c r="J17" s="48" t="n">
        <f aca="false">IF(D17="시운전",IF(ISNUMBER(01_Inputs!$B$81),01_Inputs!$B$81,"미확인"),IF(AND(ISNUMBER(G17),ISNUMBER(H17)),INT((G17+I17)/H17),"미확인"))</f>
        <v>11</v>
      </c>
      <c r="K17" s="15" t="n">
        <f aca="false">IF(AND(ISNUMBER(G17),ISNUMBER(H17),ISNUMBER(J17)),G17+I17-J17*H17,"")</f>
        <v>56.1509433962257</v>
      </c>
      <c r="L17" s="57" t="str">
        <f aca="false">IF(COUNTIFS(02_Batch_Raw!$E$6:$E$61,"&gt;="&amp;A17,02_Batch_Raw!$E$6:$E$61,"&lt;="&amp;EOMONTH(A17,0))=0,"",COUNTIFS(02_Batch_Raw!$E$6:$E$61,"&gt;="&amp;A17,02_Batch_Raw!$E$6:$E$61,"&lt;="&amp;EOMONTH(A17,0)))</f>
        <v/>
      </c>
      <c r="M17" s="57" t="str">
        <f aca="false">""</f>
        <v/>
      </c>
      <c r="N17" s="69"/>
      <c r="O17" s="16" t="n">
        <f aca="false">IF(ISNUMBER(N17),N17,J17)</f>
        <v>11</v>
      </c>
      <c r="P17" s="13" t="str">
        <f aca="false">IF(ISNUMBER(N17),"실적 입력",IF(ISNUMBER(J17),"추정 생산 가능량","미확인"))</f>
        <v>추정 생산 가능량</v>
      </c>
      <c r="Q17" s="22" t="n">
        <f aca="false">IF(LEFT(D17,2)="개선",IF(ISNUMBER(01_Inputs!$B$61),01_Inputs!$B$61,01_Inputs!$B$49),01_Inputs!$B$49)</f>
        <v>190</v>
      </c>
      <c r="R17" s="22" t="n">
        <f aca="false">IF(ISNUMBER(O17),O17*Q17,"미확인")</f>
        <v>2090</v>
      </c>
      <c r="S17" s="45" t="n">
        <f aca="false">IF(ISNUMBER(R17),R17*IF(ISNUMBER(01_Inputs!$B$106),01_Inputs!$B$106,1),"미확인")</f>
        <v>2090</v>
      </c>
      <c r="T17" s="37" t="n">
        <f aca="false">IF(A17&lt;01_Inputs!$B$78,01_Inputs!$B$63,IF(D17="개선 (2대·105℃)",01_Inputs!$B$68,01_Inputs!$B$65))*1000/12</f>
        <v>2183.33333333333</v>
      </c>
      <c r="U17" s="70" t="n">
        <f aca="false">IF(ISNUMBER(01_Inputs!$N$126),01_Inputs!$N$126,"미제시")</f>
        <v>1420</v>
      </c>
      <c r="V17" s="70" t="str">
        <f aca="false">IF(ISNUMBER(01_Inputs!$N$127),01_Inputs!$N$127,"미제시")</f>
        <v>미제시</v>
      </c>
      <c r="W17" s="70" t="n">
        <f aca="false">IF(ISNUMBER(01_Inputs!$N$128),01_Inputs!$N$128,"미제시")</f>
        <v>560</v>
      </c>
      <c r="X17" s="70" t="str">
        <f aca="false">IF(ISNUMBER(01_Inputs!$N$129),01_Inputs!$N$129,"미제시")</f>
        <v>미제시</v>
      </c>
      <c r="Y17" s="35" t="n">
        <f aca="false">SUM(U17:X17)</f>
        <v>1980</v>
      </c>
      <c r="Z17" s="64" t="n">
        <f aca="false">Y17/Q17</f>
        <v>10.4210526315789</v>
      </c>
      <c r="AA17" s="64" t="n">
        <f aca="false">(N(U17)+N(V17))/01_Inputs!$B$42</f>
        <v>71</v>
      </c>
      <c r="AB17" s="15" t="n">
        <f aca="false">AA17*01_Inputs!$B$28</f>
        <v>142</v>
      </c>
      <c r="AC17" s="15" t="n">
        <f aca="false">AA17/01_Inputs!$B$29*01_Inputs!$B$32</f>
        <v>15.7777777777778</v>
      </c>
      <c r="AD17" s="64" t="n">
        <f aca="false">N(W17)/01_Inputs!$B$43</f>
        <v>4</v>
      </c>
      <c r="AE17" s="64" t="n">
        <f aca="false">N(X17)/01_Inputs!$B$44</f>
        <v>0</v>
      </c>
      <c r="AF17" s="13" t="str">
        <f aca="false">IF(AD17=0,"-",IF(A17&gt;=01_Inputs!$B$47,"ARS","수동"))</f>
        <v>수동</v>
      </c>
      <c r="AG17" s="13" t="str">
        <f aca="false">IF(AE17=0,"-",IF(A17&gt;=01_Inputs!$B$46,"ARS","수동"))</f>
        <v>-</v>
      </c>
      <c r="AH17" s="15" t="n">
        <f aca="false">IF(AD17=0,0,IF(AF17="수동",AD17*01_Inputs!$B$34,IF(ISNUMBER(01_Inputs!$B$36),AD17*01_Inputs!$B$36,"미확인")))</f>
        <v>32</v>
      </c>
      <c r="AI17" s="15" t="n">
        <f aca="false">IF(AE17=0,0,IF(AG17="수동",IF(ISNUMBER(01_Inputs!$B$35),AE17*01_Inputs!$B$35,"미확인"),IF(ISNUMBER(01_Inputs!$B$37),AE17*01_Inputs!$B$37,"미확인")))</f>
        <v>0</v>
      </c>
      <c r="AJ17" s="15" t="n">
        <f aca="false">IF(AND(ISNUMBER(AH17),ISNUMBER(AI17)),AH17+AI17,"부분 "&amp;TEXT(N(AH17)+N(AI17),"0")&amp;" h + 미확인")</f>
        <v>32</v>
      </c>
      <c r="AK17" s="15" t="n">
        <f aca="false">(AD17+AE17)*01_Inputs!$B$38</f>
        <v>32</v>
      </c>
      <c r="AL17" s="15" t="n">
        <f aca="false">(AD17+AE17)*01_Inputs!$B$33</f>
        <v>8</v>
      </c>
      <c r="AM17" s="15" t="str">
        <f aca="false">IF(ISNUMBER(01_Inputs!$B$87),01_Inputs!$B$87,"미확인")</f>
        <v>미확인</v>
      </c>
      <c r="AN17" s="15" t="str">
        <f aca="false">IF(ISNUMBER(AM17),AM17-AB17,"미확인")</f>
        <v>미확인</v>
      </c>
      <c r="AO17" s="37" t="n">
        <f aca="false">T17-Y17</f>
        <v>203.333333333333</v>
      </c>
      <c r="AP17" s="37" t="n">
        <f aca="false">IF(ISNUMBER(S17),S17-Y17,"미확인")</f>
        <v>110</v>
      </c>
      <c r="AQ17" s="37" t="n">
        <f aca="false">IF(AND(ISNUMBER(AP17),ISNUMBER(AQ16)),AQ16+AP17,"보류")</f>
        <v>5290</v>
      </c>
      <c r="AR17" s="37" t="str">
        <f aca="false">IF(ISNUMBER(AZ16),AZ16,"보류")</f>
        <v>보류</v>
      </c>
      <c r="AS17" s="37" t="str">
        <f aca="false">IF(AND(ISNUMBER(AR17),ISNUMBER(S17)),AR17+S17,"보류")</f>
        <v>보류</v>
      </c>
      <c r="AT17" s="37" t="str">
        <f aca="false">IF(ISNUMBER(AS17),MIN(AS17,U17),"보류")</f>
        <v>보류</v>
      </c>
      <c r="AU17" s="37" t="str">
        <f aca="false">IF(ISNUMBER(AS17),MIN(AS17-AT17,N(01_Inputs!$B$104)),"보류")</f>
        <v>보류</v>
      </c>
      <c r="AV17" s="37" t="str">
        <f aca="false">IF(ISNUMBER(AS17),IF((N(V17)+N(W17)+N(X17))=0,0,MIN(N(V17),(AS17-AT17-AU17)*N(V17)/(N(V17)+N(W17)+N(X17)))),"보류")</f>
        <v>보류</v>
      </c>
      <c r="AW17" s="37" t="str">
        <f aca="false">IF(ISNUMBER(AS17),IF((N(V17)+N(W17)+N(X17))=0,0,MIN(N(W17),(AS17-AT17-AU17)*N(W17)/(N(V17)+N(W17)+N(X17)))),"보류")</f>
        <v>보류</v>
      </c>
      <c r="AX17" s="37" t="str">
        <f aca="false">IF(ISNUMBER(AS17),IF((N(V17)+N(W17)+N(X17))=0,0,MIN(N(X17),(AS17-AT17-AU17)*N(X17)/(N(V17)+N(W17)+N(X17)))),"보류")</f>
        <v>보류</v>
      </c>
      <c r="AY17" s="37" t="str">
        <f aca="false">IF(ISNUMBER(AS17),Y17-AT17-AV17-AW17-AX17,"보류")</f>
        <v>보류</v>
      </c>
      <c r="AZ17" s="35" t="str">
        <f aca="false">IF(ISNUMBER(AS17),AS17-AT17-AV17-AW17-AX17,"보류")</f>
        <v>보류</v>
      </c>
      <c r="BA17" s="37" t="str">
        <f aca="false">IF(ISNUMBER(01_Inputs!$B$105),01_Inputs!$B$105,"미입력")</f>
        <v>미입력</v>
      </c>
      <c r="BB17" s="37" t="str">
        <f aca="false">IF(AND(ISNUMBER(AR17),ISNUMBER(BA17)),Y17+BA17-AR17,"보류")</f>
        <v>보류</v>
      </c>
      <c r="BC17" s="37" t="str">
        <f aca="false">IF(AND(ISNUMBER(AZ17),ISNUMBER(BA17)),AZ17-BA17,"보류")</f>
        <v>보류</v>
      </c>
      <c r="BD17" s="13" t="str">
        <f aca="false">IF(ISNUMBER(AZ17),"계산 가능",IF(ISNUMBER(AP17),"부분 (재고 입력 필요)","보류 (생산 조건 미확인)"))</f>
        <v>부분 (재고 입력 필요)</v>
      </c>
      <c r="BE17" s="9" t="str">
        <f aca="false">IF(D17="공사",IF(ISNUMBER(01_Inputs!$B$80),"","공사 중 가용시간·"),"")&amp;IF(D17="시운전",IF(ISNUMBER(01_Inputs!$B$81),"","시운전 양품·"),"")&amp;IF(D17="개선 (2대)",IF(ISNUMBER(01_Inputs!$B$83),"","설비별 간격·"),"")&amp;IF(D17="개선 (2대·105℃)",IF(ISNUMBER(01_Inputs!$B$73),"","105℃ 간격·"),"")&amp;IF(ISNUMBER(N17),"","실적·")&amp;IF(ISNUMBER(01_Inputs!$B$106),"","양품률(100% 상한)·")&amp;IF(COUNTIF(U17:X17,"미제시")&gt;0,"고객 물량 미제시·","")&amp;IF(ISNUMBER(AJ17),"","200 L 충진시간·")&amp;IF(ISNUMBER(01_Inputs!$B$87),"","글로브 박스 가용·")&amp;IF(ISNUMBER(01_Inputs!$B$103),"","기초재고·")</f>
        <v>실적·양품률(100% 상한)·고객 물량 미제시·글로브 박스 가용·기초재고·</v>
      </c>
    </row>
    <row r="18" customFormat="false" ht="15" hidden="false" customHeight="false" outlineLevel="0" collapsed="false">
      <c r="A18" s="67" t="n">
        <v>46388</v>
      </c>
      <c r="B18" s="16" t="n">
        <f aca="false">YEAR(A18)</f>
        <v>2027</v>
      </c>
      <c r="C18" s="16" t="n">
        <f aca="false">DAY(EOMONTH(A18,0))</f>
        <v>31</v>
      </c>
      <c r="D18" s="9" t="str">
        <f aca="false">IF(A18&lt;01_Inputs!$B$75,"현재 (1대)",IF(A18&lt;=01_Inputs!$B$76,"공사",IF(A18&lt;01_Inputs!$B$78,"시운전",IF(AND(ISNUMBER(01_Inputs!$B$72),A18&gt;=01_Inputs!$B$72),"개선 (2대·105℃)","개선 (2대)"))))</f>
        <v>현재 (1대)</v>
      </c>
      <c r="E18" s="16" t="n">
        <f aca="false">IF(LEFT(D18,2)="개선",01_Inputs!$B$8,01_Inputs!$B$7)</f>
        <v>1</v>
      </c>
      <c r="F18" s="68"/>
      <c r="G18" s="15" t="n">
        <f aca="false">IF(D18="공사",IF(ISNUMBER(01_Inputs!$B$80),01_Inputs!$B$80,"미확인"),IF(D18="시운전","시운전",E18*C18*24-N(F18)))</f>
        <v>744</v>
      </c>
      <c r="H18" s="27" t="n">
        <f aca="false">IF(OR(D18="현재 (1대)",D18="공사"),03_Capacity_Model!$B$80,IF(D18="개선 (2대)",IF(ISNUMBER(01_Inputs!$B$83),01_Inputs!$B$83,"미확인"),IF(D18="개선 (2대·105℃)",IF(ISNUMBER(01_Inputs!$B$73),01_Inputs!$B$73,"미확인"),"-")))</f>
        <v>67.4716981132076</v>
      </c>
      <c r="I18" s="15" t="n">
        <f aca="false">IF(AND(ISNUMBER(K17),D17=D18),K17,0)</f>
        <v>56.1509433962257</v>
      </c>
      <c r="J18" s="48" t="n">
        <f aca="false">IF(D18="시운전",IF(ISNUMBER(01_Inputs!$B$81),01_Inputs!$B$81,"미확인"),IF(AND(ISNUMBER(G18),ISNUMBER(H18)),INT((G18+I18)/H18),"미확인"))</f>
        <v>11</v>
      </c>
      <c r="K18" s="15" t="n">
        <f aca="false">IF(AND(ISNUMBER(G18),ISNUMBER(H18),ISNUMBER(J18)),G18+I18-J18*H18,"")</f>
        <v>57.9622641509426</v>
      </c>
      <c r="L18" s="57" t="str">
        <f aca="false">IF(COUNTIFS(02_Batch_Raw!$E$6:$E$61,"&gt;="&amp;A18,02_Batch_Raw!$E$6:$E$61,"&lt;="&amp;EOMONTH(A18,0))=0,"",COUNTIFS(02_Batch_Raw!$E$6:$E$61,"&gt;="&amp;A18,02_Batch_Raw!$E$6:$E$61,"&lt;="&amp;EOMONTH(A18,0)))</f>
        <v/>
      </c>
      <c r="M18" s="57" t="str">
        <f aca="false">""</f>
        <v/>
      </c>
      <c r="N18" s="69"/>
      <c r="O18" s="16" t="n">
        <f aca="false">IF(ISNUMBER(N18),N18,J18)</f>
        <v>11</v>
      </c>
      <c r="P18" s="13" t="str">
        <f aca="false">IF(ISNUMBER(N18),"실적 입력",IF(ISNUMBER(J18),"추정 생산 가능량","미확인"))</f>
        <v>추정 생산 가능량</v>
      </c>
      <c r="Q18" s="22" t="n">
        <f aca="false">IF(LEFT(D18,2)="개선",IF(ISNUMBER(01_Inputs!$B$61),01_Inputs!$B$61,01_Inputs!$B$49),01_Inputs!$B$49)</f>
        <v>190</v>
      </c>
      <c r="R18" s="22" t="n">
        <f aca="false">IF(ISNUMBER(O18),O18*Q18,"미확인")</f>
        <v>2090</v>
      </c>
      <c r="S18" s="45" t="n">
        <f aca="false">IF(ISNUMBER(R18),R18*IF(ISNUMBER(01_Inputs!$B$106),01_Inputs!$B$106,1),"미확인")</f>
        <v>2090</v>
      </c>
      <c r="T18" s="37" t="n">
        <f aca="false">IF(A18&lt;01_Inputs!$B$78,01_Inputs!$B$63,IF(D18="개선 (2대·105℃)",01_Inputs!$B$68,01_Inputs!$B$65))*1000/12</f>
        <v>2183.33333333333</v>
      </c>
      <c r="U18" s="70" t="n">
        <f aca="false">IF(ISNUMBER(01_Inputs!$C$130),01_Inputs!$C$130,"미제시")</f>
        <v>1893.33333333333</v>
      </c>
      <c r="V18" s="70" t="n">
        <f aca="false">IF(ISNUMBER(01_Inputs!$C$131),01_Inputs!$C$131,"미제시")</f>
        <v>0</v>
      </c>
      <c r="W18" s="70" t="n">
        <f aca="false">IF(ISNUMBER(01_Inputs!$C$132),01_Inputs!$C$132,"미제시")</f>
        <v>560</v>
      </c>
      <c r="X18" s="70" t="n">
        <f aca="false">IF(ISNUMBER(01_Inputs!$C$133),01_Inputs!$C$133,"미제시")</f>
        <v>300</v>
      </c>
      <c r="Y18" s="35" t="n">
        <f aca="false">SUM(U18:X18)</f>
        <v>2753.33333333333</v>
      </c>
      <c r="Z18" s="64" t="n">
        <f aca="false">Y18/Q18</f>
        <v>14.4912280701754</v>
      </c>
      <c r="AA18" s="64" t="n">
        <f aca="false">(N(U18)+N(V18))/01_Inputs!$B$42</f>
        <v>94.6666666666667</v>
      </c>
      <c r="AB18" s="15" t="n">
        <f aca="false">AA18*01_Inputs!$B$28</f>
        <v>189.333333333333</v>
      </c>
      <c r="AC18" s="15" t="n">
        <f aca="false">AA18/01_Inputs!$B$29*01_Inputs!$B$32</f>
        <v>21.037037037037</v>
      </c>
      <c r="AD18" s="64" t="n">
        <f aca="false">N(W18)/01_Inputs!$B$43</f>
        <v>4</v>
      </c>
      <c r="AE18" s="64" t="n">
        <f aca="false">N(X18)/01_Inputs!$B$44</f>
        <v>2</v>
      </c>
      <c r="AF18" s="13" t="str">
        <f aca="false">IF(AD18=0,"-",IF(A18&gt;=01_Inputs!$B$47,"ARS","수동"))</f>
        <v>ARS</v>
      </c>
      <c r="AG18" s="13" t="str">
        <f aca="false">IF(AE18=0,"-",IF(A18&gt;=01_Inputs!$B$46,"ARS","수동"))</f>
        <v>수동</v>
      </c>
      <c r="AH18" s="15" t="str">
        <f aca="false">IF(AD18=0,0,IF(AF18="수동",AD18*01_Inputs!$B$34,IF(ISNUMBER(01_Inputs!$B$36),AD18*01_Inputs!$B$36,"미확인")))</f>
        <v>미확인</v>
      </c>
      <c r="AI18" s="15" t="str">
        <f aca="false">IF(AE18=0,0,IF(AG18="수동",IF(ISNUMBER(01_Inputs!$B$35),AE18*01_Inputs!$B$35,"미확인"),IF(ISNUMBER(01_Inputs!$B$37),AE18*01_Inputs!$B$37,"미확인")))</f>
        <v>미확인</v>
      </c>
      <c r="AJ18" s="15" t="str">
        <f aca="false">IF(AND(ISNUMBER(AH18),ISNUMBER(AI18)),AH18+AI18,"부분 "&amp;TEXT(N(AH18)+N(AI18),"0")&amp;" h + 미확인")</f>
        <v>부분 0 h + 미확인</v>
      </c>
      <c r="AK18" s="15" t="n">
        <f aca="false">(AD18+AE18)*01_Inputs!$B$38</f>
        <v>48</v>
      </c>
      <c r="AL18" s="15" t="n">
        <f aca="false">(AD18+AE18)*01_Inputs!$B$33</f>
        <v>12</v>
      </c>
      <c r="AM18" s="15" t="str">
        <f aca="false">IF(ISNUMBER(01_Inputs!$B$87),01_Inputs!$B$87,"미확인")</f>
        <v>미확인</v>
      </c>
      <c r="AN18" s="15" t="str">
        <f aca="false">IF(ISNUMBER(AM18),AM18-AB18,"미확인")</f>
        <v>미확인</v>
      </c>
      <c r="AO18" s="37" t="n">
        <f aca="false">T18-Y18</f>
        <v>-570</v>
      </c>
      <c r="AP18" s="37" t="n">
        <f aca="false">IF(ISNUMBER(S18),S18-Y18,"미확인")</f>
        <v>-663.333333333333</v>
      </c>
      <c r="AQ18" s="37" t="n">
        <f aca="false">IF(AND(ISNUMBER(AP18),ISNUMBER(AQ17)),AQ17+AP18,"보류")</f>
        <v>4626.66666666667</v>
      </c>
      <c r="AR18" s="37" t="str">
        <f aca="false">IF(ISNUMBER(AZ17),AZ17,"보류")</f>
        <v>보류</v>
      </c>
      <c r="AS18" s="37" t="str">
        <f aca="false">IF(AND(ISNUMBER(AR18),ISNUMBER(S18)),AR18+S18,"보류")</f>
        <v>보류</v>
      </c>
      <c r="AT18" s="37" t="str">
        <f aca="false">IF(ISNUMBER(AS18),MIN(AS18,U18),"보류")</f>
        <v>보류</v>
      </c>
      <c r="AU18" s="37" t="str">
        <f aca="false">IF(ISNUMBER(AS18),MIN(AS18-AT18,N(01_Inputs!$B$104)),"보류")</f>
        <v>보류</v>
      </c>
      <c r="AV18" s="37" t="str">
        <f aca="false">IF(ISNUMBER(AS18),IF((N(V18)+N(W18)+N(X18))=0,0,MIN(N(V18),(AS18-AT18-AU18)*N(V18)/(N(V18)+N(W18)+N(X18)))),"보류")</f>
        <v>보류</v>
      </c>
      <c r="AW18" s="37" t="str">
        <f aca="false">IF(ISNUMBER(AS18),IF((N(V18)+N(W18)+N(X18))=0,0,MIN(N(W18),(AS18-AT18-AU18)*N(W18)/(N(V18)+N(W18)+N(X18)))),"보류")</f>
        <v>보류</v>
      </c>
      <c r="AX18" s="37" t="str">
        <f aca="false">IF(ISNUMBER(AS18),IF((N(V18)+N(W18)+N(X18))=0,0,MIN(N(X18),(AS18-AT18-AU18)*N(X18)/(N(V18)+N(W18)+N(X18)))),"보류")</f>
        <v>보류</v>
      </c>
      <c r="AY18" s="37" t="str">
        <f aca="false">IF(ISNUMBER(AS18),Y18-AT18-AV18-AW18-AX18,"보류")</f>
        <v>보류</v>
      </c>
      <c r="AZ18" s="35" t="str">
        <f aca="false">IF(ISNUMBER(AS18),AS18-AT18-AV18-AW18-AX18,"보류")</f>
        <v>보류</v>
      </c>
      <c r="BA18" s="37" t="str">
        <f aca="false">IF(ISNUMBER(01_Inputs!$B$105),01_Inputs!$B$105,"미입력")</f>
        <v>미입력</v>
      </c>
      <c r="BB18" s="37" t="str">
        <f aca="false">IF(AND(ISNUMBER(AR18),ISNUMBER(BA18)),Y18+BA18-AR18,"보류")</f>
        <v>보류</v>
      </c>
      <c r="BC18" s="37" t="str">
        <f aca="false">IF(AND(ISNUMBER(AZ18),ISNUMBER(BA18)),AZ18-BA18,"보류")</f>
        <v>보류</v>
      </c>
      <c r="BD18" s="13" t="str">
        <f aca="false">IF(ISNUMBER(AZ18),"계산 가능",IF(ISNUMBER(AP18),"부분 (재고 입력 필요)","보류 (생산 조건 미확인)"))</f>
        <v>부분 (재고 입력 필요)</v>
      </c>
      <c r="BE18" s="9" t="str">
        <f aca="false">IF(D18="공사",IF(ISNUMBER(01_Inputs!$B$80),"","공사 중 가용시간·"),"")&amp;IF(D18="시운전",IF(ISNUMBER(01_Inputs!$B$81),"","시운전 양품·"),"")&amp;IF(D18="개선 (2대)",IF(ISNUMBER(01_Inputs!$B$83),"","설비별 간격·"),"")&amp;IF(D18="개선 (2대·105℃)",IF(ISNUMBER(01_Inputs!$B$73),"","105℃ 간격·"),"")&amp;IF(ISNUMBER(N18),"","실적·")&amp;IF(ISNUMBER(01_Inputs!$B$106),"","양품률(100% 상한)·")&amp;IF(COUNTIF(U18:X18,"미제시")&gt;0,"고객 물량 미제시·","")&amp;IF(ISNUMBER(AJ18),"","200 L 충진시간·")&amp;IF(ISNUMBER(01_Inputs!$B$87),"","글로브 박스 가용·")&amp;IF(ISNUMBER(01_Inputs!$B$103),"","기초재고·")</f>
        <v>실적·양품률(100% 상한)·200 L 충진시간·글로브 박스 가용·기초재고·</v>
      </c>
    </row>
    <row r="19" customFormat="false" ht="15" hidden="false" customHeight="false" outlineLevel="0" collapsed="false">
      <c r="A19" s="67" t="n">
        <v>46419</v>
      </c>
      <c r="B19" s="16" t="n">
        <f aca="false">YEAR(A19)</f>
        <v>2027</v>
      </c>
      <c r="C19" s="16" t="n">
        <f aca="false">DAY(EOMONTH(A19,0))</f>
        <v>28</v>
      </c>
      <c r="D19" s="9" t="str">
        <f aca="false">IF(A19&lt;01_Inputs!$B$75,"현재 (1대)",IF(A19&lt;=01_Inputs!$B$76,"공사",IF(A19&lt;01_Inputs!$B$78,"시운전",IF(AND(ISNUMBER(01_Inputs!$B$72),A19&gt;=01_Inputs!$B$72),"개선 (2대·105℃)","개선 (2대)"))))</f>
        <v>공사</v>
      </c>
      <c r="E19" s="16" t="n">
        <f aca="false">IF(LEFT(D19,2)="개선",01_Inputs!$B$8,01_Inputs!$B$7)</f>
        <v>1</v>
      </c>
      <c r="F19" s="68"/>
      <c r="G19" s="15" t="str">
        <f aca="false">IF(D19="공사",IF(ISNUMBER(01_Inputs!$B$80),01_Inputs!$B$80,"미확인"),IF(D19="시운전","시운전",E19*C19*24-N(F19)))</f>
        <v>미확인</v>
      </c>
      <c r="H19" s="27" t="n">
        <f aca="false">IF(OR(D19="현재 (1대)",D19="공사"),03_Capacity_Model!$B$80,IF(D19="개선 (2대)",IF(ISNUMBER(01_Inputs!$B$83),01_Inputs!$B$83,"미확인"),IF(D19="개선 (2대·105℃)",IF(ISNUMBER(01_Inputs!$B$73),01_Inputs!$B$73,"미확인"),"-")))</f>
        <v>67.4716981132076</v>
      </c>
      <c r="I19" s="15" t="n">
        <f aca="false">IF(AND(ISNUMBER(K18),D18=D19),K18,0)</f>
        <v>0</v>
      </c>
      <c r="J19" s="48" t="str">
        <f aca="false">IF(D19="시운전",IF(ISNUMBER(01_Inputs!$B$81),01_Inputs!$B$81,"미확인"),IF(AND(ISNUMBER(G19),ISNUMBER(H19)),INT((G19+I19)/H19),"미확인"))</f>
        <v>미확인</v>
      </c>
      <c r="K19" s="15" t="str">
        <f aca="false">IF(AND(ISNUMBER(G19),ISNUMBER(H19),ISNUMBER(J19)),G19+I19-J19*H19,"")</f>
        <v/>
      </c>
      <c r="L19" s="57" t="str">
        <f aca="false">IF(COUNTIFS(02_Batch_Raw!$E$6:$E$61,"&gt;="&amp;A19,02_Batch_Raw!$E$6:$E$61,"&lt;="&amp;EOMONTH(A19,0))=0,"",COUNTIFS(02_Batch_Raw!$E$6:$E$61,"&gt;="&amp;A19,02_Batch_Raw!$E$6:$E$61,"&lt;="&amp;EOMONTH(A19,0)))</f>
        <v/>
      </c>
      <c r="M19" s="57" t="str">
        <f aca="false">""</f>
        <v/>
      </c>
      <c r="N19" s="69"/>
      <c r="O19" s="16" t="str">
        <f aca="false">IF(ISNUMBER(N19),N19,J19)</f>
        <v>미확인</v>
      </c>
      <c r="P19" s="13" t="str">
        <f aca="false">IF(ISNUMBER(N19),"실적 입력",IF(ISNUMBER(J19),"추정 생산 가능량","미확인"))</f>
        <v>미확인</v>
      </c>
      <c r="Q19" s="22" t="n">
        <f aca="false">IF(LEFT(D19,2)="개선",IF(ISNUMBER(01_Inputs!$B$61),01_Inputs!$B$61,01_Inputs!$B$49),01_Inputs!$B$49)</f>
        <v>190</v>
      </c>
      <c r="R19" s="22" t="str">
        <f aca="false">IF(ISNUMBER(O19),O19*Q19,"미확인")</f>
        <v>미확인</v>
      </c>
      <c r="S19" s="45" t="str">
        <f aca="false">IF(ISNUMBER(R19),R19*IF(ISNUMBER(01_Inputs!$B$106),01_Inputs!$B$106,1),"미확인")</f>
        <v>미확인</v>
      </c>
      <c r="T19" s="37" t="n">
        <f aca="false">IF(A19&lt;01_Inputs!$B$78,01_Inputs!$B$63,IF(D19="개선 (2대·105℃)",01_Inputs!$B$68,01_Inputs!$B$65))*1000/12</f>
        <v>2183.33333333333</v>
      </c>
      <c r="U19" s="70" t="n">
        <f aca="false">IF(ISNUMBER(01_Inputs!$D$130),01_Inputs!$D$130,"미제시")</f>
        <v>1893.33333333333</v>
      </c>
      <c r="V19" s="70" t="n">
        <f aca="false">IF(ISNUMBER(01_Inputs!$D$131),01_Inputs!$D$131,"미제시")</f>
        <v>0</v>
      </c>
      <c r="W19" s="70" t="n">
        <f aca="false">IF(ISNUMBER(01_Inputs!$D$132),01_Inputs!$D$132,"미제시")</f>
        <v>560</v>
      </c>
      <c r="X19" s="70" t="n">
        <f aca="false">IF(ISNUMBER(01_Inputs!$D$133),01_Inputs!$D$133,"미제시")</f>
        <v>300</v>
      </c>
      <c r="Y19" s="35" t="n">
        <f aca="false">SUM(U19:X19)</f>
        <v>2753.33333333333</v>
      </c>
      <c r="Z19" s="64" t="n">
        <f aca="false">Y19/Q19</f>
        <v>14.4912280701754</v>
      </c>
      <c r="AA19" s="64" t="n">
        <f aca="false">(N(U19)+N(V19))/01_Inputs!$B$42</f>
        <v>94.6666666666667</v>
      </c>
      <c r="AB19" s="15" t="n">
        <f aca="false">AA19*01_Inputs!$B$28</f>
        <v>189.333333333333</v>
      </c>
      <c r="AC19" s="15" t="n">
        <f aca="false">AA19/01_Inputs!$B$29*01_Inputs!$B$32</f>
        <v>21.037037037037</v>
      </c>
      <c r="AD19" s="64" t="n">
        <f aca="false">N(W19)/01_Inputs!$B$43</f>
        <v>4</v>
      </c>
      <c r="AE19" s="64" t="n">
        <f aca="false">N(X19)/01_Inputs!$B$44</f>
        <v>2</v>
      </c>
      <c r="AF19" s="13" t="str">
        <f aca="false">IF(AD19=0,"-",IF(A19&gt;=01_Inputs!$B$47,"ARS","수동"))</f>
        <v>ARS</v>
      </c>
      <c r="AG19" s="13" t="str">
        <f aca="false">IF(AE19=0,"-",IF(A19&gt;=01_Inputs!$B$46,"ARS","수동"))</f>
        <v>수동</v>
      </c>
      <c r="AH19" s="15" t="str">
        <f aca="false">IF(AD19=0,0,IF(AF19="수동",AD19*01_Inputs!$B$34,IF(ISNUMBER(01_Inputs!$B$36),AD19*01_Inputs!$B$36,"미확인")))</f>
        <v>미확인</v>
      </c>
      <c r="AI19" s="15" t="str">
        <f aca="false">IF(AE19=0,0,IF(AG19="수동",IF(ISNUMBER(01_Inputs!$B$35),AE19*01_Inputs!$B$35,"미확인"),IF(ISNUMBER(01_Inputs!$B$37),AE19*01_Inputs!$B$37,"미확인")))</f>
        <v>미확인</v>
      </c>
      <c r="AJ19" s="15" t="str">
        <f aca="false">IF(AND(ISNUMBER(AH19),ISNUMBER(AI19)),AH19+AI19,"부분 "&amp;TEXT(N(AH19)+N(AI19),"0")&amp;" h + 미확인")</f>
        <v>부분 0 h + 미확인</v>
      </c>
      <c r="AK19" s="15" t="n">
        <f aca="false">(AD19+AE19)*01_Inputs!$B$38</f>
        <v>48</v>
      </c>
      <c r="AL19" s="15" t="n">
        <f aca="false">(AD19+AE19)*01_Inputs!$B$33</f>
        <v>12</v>
      </c>
      <c r="AM19" s="15" t="str">
        <f aca="false">IF(ISNUMBER(01_Inputs!$B$87),01_Inputs!$B$87,"미확인")</f>
        <v>미확인</v>
      </c>
      <c r="AN19" s="15" t="str">
        <f aca="false">IF(ISNUMBER(AM19),AM19-AB19,"미확인")</f>
        <v>미확인</v>
      </c>
      <c r="AO19" s="37" t="n">
        <f aca="false">T19-Y19</f>
        <v>-570</v>
      </c>
      <c r="AP19" s="37" t="str">
        <f aca="false">IF(ISNUMBER(S19),S19-Y19,"미확인")</f>
        <v>미확인</v>
      </c>
      <c r="AQ19" s="37" t="str">
        <f aca="false">IF(AND(ISNUMBER(AP19),ISNUMBER(AQ18)),AQ18+AP19,"보류")</f>
        <v>보류</v>
      </c>
      <c r="AR19" s="37" t="str">
        <f aca="false">IF(ISNUMBER(AZ18),AZ18,"보류")</f>
        <v>보류</v>
      </c>
      <c r="AS19" s="37" t="str">
        <f aca="false">IF(AND(ISNUMBER(AR19),ISNUMBER(S19)),AR19+S19,"보류")</f>
        <v>보류</v>
      </c>
      <c r="AT19" s="37" t="str">
        <f aca="false">IF(ISNUMBER(AS19),MIN(AS19,U19),"보류")</f>
        <v>보류</v>
      </c>
      <c r="AU19" s="37" t="str">
        <f aca="false">IF(ISNUMBER(AS19),MIN(AS19-AT19,N(01_Inputs!$B$104)),"보류")</f>
        <v>보류</v>
      </c>
      <c r="AV19" s="37" t="str">
        <f aca="false">IF(ISNUMBER(AS19),IF((N(V19)+N(W19)+N(X19))=0,0,MIN(N(V19),(AS19-AT19-AU19)*N(V19)/(N(V19)+N(W19)+N(X19)))),"보류")</f>
        <v>보류</v>
      </c>
      <c r="AW19" s="37" t="str">
        <f aca="false">IF(ISNUMBER(AS19),IF((N(V19)+N(W19)+N(X19))=0,0,MIN(N(W19),(AS19-AT19-AU19)*N(W19)/(N(V19)+N(W19)+N(X19)))),"보류")</f>
        <v>보류</v>
      </c>
      <c r="AX19" s="37" t="str">
        <f aca="false">IF(ISNUMBER(AS19),IF((N(V19)+N(W19)+N(X19))=0,0,MIN(N(X19),(AS19-AT19-AU19)*N(X19)/(N(V19)+N(W19)+N(X19)))),"보류")</f>
        <v>보류</v>
      </c>
      <c r="AY19" s="37" t="str">
        <f aca="false">IF(ISNUMBER(AS19),Y19-AT19-AV19-AW19-AX19,"보류")</f>
        <v>보류</v>
      </c>
      <c r="AZ19" s="35" t="str">
        <f aca="false">IF(ISNUMBER(AS19),AS19-AT19-AV19-AW19-AX19,"보류")</f>
        <v>보류</v>
      </c>
      <c r="BA19" s="37" t="str">
        <f aca="false">IF(ISNUMBER(01_Inputs!$B$105),01_Inputs!$B$105,"미입력")</f>
        <v>미입력</v>
      </c>
      <c r="BB19" s="37" t="str">
        <f aca="false">IF(AND(ISNUMBER(AR19),ISNUMBER(BA19)),Y19+BA19-AR19,"보류")</f>
        <v>보류</v>
      </c>
      <c r="BC19" s="37" t="str">
        <f aca="false">IF(AND(ISNUMBER(AZ19),ISNUMBER(BA19)),AZ19-BA19,"보류")</f>
        <v>보류</v>
      </c>
      <c r="BD19" s="13" t="str">
        <f aca="false">IF(ISNUMBER(AZ19),"계산 가능",IF(ISNUMBER(AP19),"부분 (재고 입력 필요)","보류 (생산 조건 미확인)"))</f>
        <v>보류 (생산 조건 미확인)</v>
      </c>
      <c r="BE19" s="9" t="str">
        <f aca="false">IF(D19="공사",IF(ISNUMBER(01_Inputs!$B$80),"","공사 중 가용시간·"),"")&amp;IF(D19="시운전",IF(ISNUMBER(01_Inputs!$B$81),"","시운전 양품·"),"")&amp;IF(D19="개선 (2대)",IF(ISNUMBER(01_Inputs!$B$83),"","설비별 간격·"),"")&amp;IF(D19="개선 (2대·105℃)",IF(ISNUMBER(01_Inputs!$B$73),"","105℃ 간격·"),"")&amp;IF(ISNUMBER(N19),"","실적·")&amp;IF(ISNUMBER(01_Inputs!$B$106),"","양품률(100% 상한)·")&amp;IF(COUNTIF(U19:X19,"미제시")&gt;0,"고객 물량 미제시·","")&amp;IF(ISNUMBER(AJ19),"","200 L 충진시간·")&amp;IF(ISNUMBER(01_Inputs!$B$87),"","글로브 박스 가용·")&amp;IF(ISNUMBER(01_Inputs!$B$103),"","기초재고·")</f>
        <v>공사 중 가용시간·실적·양품률(100% 상한)·200 L 충진시간·글로브 박스 가용·기초재고·</v>
      </c>
    </row>
    <row r="20" customFormat="false" ht="15" hidden="false" customHeight="false" outlineLevel="0" collapsed="false">
      <c r="A20" s="67" t="n">
        <v>46447</v>
      </c>
      <c r="B20" s="16" t="n">
        <f aca="false">YEAR(A20)</f>
        <v>2027</v>
      </c>
      <c r="C20" s="16" t="n">
        <f aca="false">DAY(EOMONTH(A20,0))</f>
        <v>31</v>
      </c>
      <c r="D20" s="9" t="str">
        <f aca="false">IF(A20&lt;01_Inputs!$B$75,"현재 (1대)",IF(A20&lt;=01_Inputs!$B$76,"공사",IF(A20&lt;01_Inputs!$B$78,"시운전",IF(AND(ISNUMBER(01_Inputs!$B$72),A20&gt;=01_Inputs!$B$72),"개선 (2대·105℃)","개선 (2대)"))))</f>
        <v>공사</v>
      </c>
      <c r="E20" s="16" t="n">
        <f aca="false">IF(LEFT(D20,2)="개선",01_Inputs!$B$8,01_Inputs!$B$7)</f>
        <v>1</v>
      </c>
      <c r="F20" s="68"/>
      <c r="G20" s="15" t="str">
        <f aca="false">IF(D20="공사",IF(ISNUMBER(01_Inputs!$B$80),01_Inputs!$B$80,"미확인"),IF(D20="시운전","시운전",E20*C20*24-N(F20)))</f>
        <v>미확인</v>
      </c>
      <c r="H20" s="27" t="n">
        <f aca="false">IF(OR(D20="현재 (1대)",D20="공사"),03_Capacity_Model!$B$80,IF(D20="개선 (2대)",IF(ISNUMBER(01_Inputs!$B$83),01_Inputs!$B$83,"미확인"),IF(D20="개선 (2대·105℃)",IF(ISNUMBER(01_Inputs!$B$73),01_Inputs!$B$73,"미확인"),"-")))</f>
        <v>67.4716981132076</v>
      </c>
      <c r="I20" s="15" t="n">
        <f aca="false">IF(AND(ISNUMBER(K19),D19=D20),K19,0)</f>
        <v>0</v>
      </c>
      <c r="J20" s="48" t="str">
        <f aca="false">IF(D20="시운전",IF(ISNUMBER(01_Inputs!$B$81),01_Inputs!$B$81,"미확인"),IF(AND(ISNUMBER(G20),ISNUMBER(H20)),INT((G20+I20)/H20),"미확인"))</f>
        <v>미확인</v>
      </c>
      <c r="K20" s="15" t="str">
        <f aca="false">IF(AND(ISNUMBER(G20),ISNUMBER(H20),ISNUMBER(J20)),G20+I20-J20*H20,"")</f>
        <v/>
      </c>
      <c r="L20" s="57" t="str">
        <f aca="false">IF(COUNTIFS(02_Batch_Raw!$E$6:$E$61,"&gt;="&amp;A20,02_Batch_Raw!$E$6:$E$61,"&lt;="&amp;EOMONTH(A20,0))=0,"",COUNTIFS(02_Batch_Raw!$E$6:$E$61,"&gt;="&amp;A20,02_Batch_Raw!$E$6:$E$61,"&lt;="&amp;EOMONTH(A20,0)))</f>
        <v/>
      </c>
      <c r="M20" s="57" t="str">
        <f aca="false">""</f>
        <v/>
      </c>
      <c r="N20" s="69"/>
      <c r="O20" s="16" t="str">
        <f aca="false">IF(ISNUMBER(N20),N20,J20)</f>
        <v>미확인</v>
      </c>
      <c r="P20" s="13" t="str">
        <f aca="false">IF(ISNUMBER(N20),"실적 입력",IF(ISNUMBER(J20),"추정 생산 가능량","미확인"))</f>
        <v>미확인</v>
      </c>
      <c r="Q20" s="22" t="n">
        <f aca="false">IF(LEFT(D20,2)="개선",IF(ISNUMBER(01_Inputs!$B$61),01_Inputs!$B$61,01_Inputs!$B$49),01_Inputs!$B$49)</f>
        <v>190</v>
      </c>
      <c r="R20" s="22" t="str">
        <f aca="false">IF(ISNUMBER(O20),O20*Q20,"미확인")</f>
        <v>미확인</v>
      </c>
      <c r="S20" s="45" t="str">
        <f aca="false">IF(ISNUMBER(R20),R20*IF(ISNUMBER(01_Inputs!$B$106),01_Inputs!$B$106,1),"미확인")</f>
        <v>미확인</v>
      </c>
      <c r="T20" s="37" t="n">
        <f aca="false">IF(A20&lt;01_Inputs!$B$78,01_Inputs!$B$63,IF(D20="개선 (2대·105℃)",01_Inputs!$B$68,01_Inputs!$B$65))*1000/12</f>
        <v>2183.33333333333</v>
      </c>
      <c r="U20" s="70" t="n">
        <f aca="false">IF(ISNUMBER(01_Inputs!$E$130),01_Inputs!$E$130,"미제시")</f>
        <v>1893.33333333333</v>
      </c>
      <c r="V20" s="70" t="n">
        <f aca="false">IF(ISNUMBER(01_Inputs!$E$131),01_Inputs!$E$131,"미제시")</f>
        <v>580</v>
      </c>
      <c r="W20" s="70" t="n">
        <f aca="false">IF(ISNUMBER(01_Inputs!$E$132),01_Inputs!$E$132,"미제시")</f>
        <v>560</v>
      </c>
      <c r="X20" s="70" t="n">
        <f aca="false">IF(ISNUMBER(01_Inputs!$E$133),01_Inputs!$E$133,"미제시")</f>
        <v>300</v>
      </c>
      <c r="Y20" s="35" t="n">
        <f aca="false">SUM(U20:X20)</f>
        <v>3333.33333333333</v>
      </c>
      <c r="Z20" s="64" t="n">
        <f aca="false">Y20/Q20</f>
        <v>17.5438596491228</v>
      </c>
      <c r="AA20" s="64" t="n">
        <f aca="false">(N(U20)+N(V20))/01_Inputs!$B$42</f>
        <v>123.666666666667</v>
      </c>
      <c r="AB20" s="15" t="n">
        <f aca="false">AA20*01_Inputs!$B$28</f>
        <v>247.333333333333</v>
      </c>
      <c r="AC20" s="15" t="n">
        <f aca="false">AA20/01_Inputs!$B$29*01_Inputs!$B$32</f>
        <v>27.4814814814815</v>
      </c>
      <c r="AD20" s="64" t="n">
        <f aca="false">N(W20)/01_Inputs!$B$43</f>
        <v>4</v>
      </c>
      <c r="AE20" s="64" t="n">
        <f aca="false">N(X20)/01_Inputs!$B$44</f>
        <v>2</v>
      </c>
      <c r="AF20" s="13" t="str">
        <f aca="false">IF(AD20=0,"-",IF(A20&gt;=01_Inputs!$B$47,"ARS","수동"))</f>
        <v>ARS</v>
      </c>
      <c r="AG20" s="13" t="str">
        <f aca="false">IF(AE20=0,"-",IF(A20&gt;=01_Inputs!$B$46,"ARS","수동"))</f>
        <v>수동</v>
      </c>
      <c r="AH20" s="15" t="str">
        <f aca="false">IF(AD20=0,0,IF(AF20="수동",AD20*01_Inputs!$B$34,IF(ISNUMBER(01_Inputs!$B$36),AD20*01_Inputs!$B$36,"미확인")))</f>
        <v>미확인</v>
      </c>
      <c r="AI20" s="15" t="str">
        <f aca="false">IF(AE20=0,0,IF(AG20="수동",IF(ISNUMBER(01_Inputs!$B$35),AE20*01_Inputs!$B$35,"미확인"),IF(ISNUMBER(01_Inputs!$B$37),AE20*01_Inputs!$B$37,"미확인")))</f>
        <v>미확인</v>
      </c>
      <c r="AJ20" s="15" t="str">
        <f aca="false">IF(AND(ISNUMBER(AH20),ISNUMBER(AI20)),AH20+AI20,"부분 "&amp;TEXT(N(AH20)+N(AI20),"0")&amp;" h + 미확인")</f>
        <v>부분 0 h + 미확인</v>
      </c>
      <c r="AK20" s="15" t="n">
        <f aca="false">(AD20+AE20)*01_Inputs!$B$38</f>
        <v>48</v>
      </c>
      <c r="AL20" s="15" t="n">
        <f aca="false">(AD20+AE20)*01_Inputs!$B$33</f>
        <v>12</v>
      </c>
      <c r="AM20" s="15" t="str">
        <f aca="false">IF(ISNUMBER(01_Inputs!$B$87),01_Inputs!$B$87,"미확인")</f>
        <v>미확인</v>
      </c>
      <c r="AN20" s="15" t="str">
        <f aca="false">IF(ISNUMBER(AM20),AM20-AB20,"미확인")</f>
        <v>미확인</v>
      </c>
      <c r="AO20" s="37" t="n">
        <f aca="false">T20-Y20</f>
        <v>-1150</v>
      </c>
      <c r="AP20" s="37" t="str">
        <f aca="false">IF(ISNUMBER(S20),S20-Y20,"미확인")</f>
        <v>미확인</v>
      </c>
      <c r="AQ20" s="37" t="str">
        <f aca="false">IF(AND(ISNUMBER(AP20),ISNUMBER(AQ19)),AQ19+AP20,"보류")</f>
        <v>보류</v>
      </c>
      <c r="AR20" s="37" t="str">
        <f aca="false">IF(ISNUMBER(AZ19),AZ19,"보류")</f>
        <v>보류</v>
      </c>
      <c r="AS20" s="37" t="str">
        <f aca="false">IF(AND(ISNUMBER(AR20),ISNUMBER(S20)),AR20+S20,"보류")</f>
        <v>보류</v>
      </c>
      <c r="AT20" s="37" t="str">
        <f aca="false">IF(ISNUMBER(AS20),MIN(AS20,U20),"보류")</f>
        <v>보류</v>
      </c>
      <c r="AU20" s="37" t="str">
        <f aca="false">IF(ISNUMBER(AS20),MIN(AS20-AT20,N(01_Inputs!$B$104)),"보류")</f>
        <v>보류</v>
      </c>
      <c r="AV20" s="37" t="str">
        <f aca="false">IF(ISNUMBER(AS20),IF((N(V20)+N(W20)+N(X20))=0,0,MIN(N(V20),(AS20-AT20-AU20)*N(V20)/(N(V20)+N(W20)+N(X20)))),"보류")</f>
        <v>보류</v>
      </c>
      <c r="AW20" s="37" t="str">
        <f aca="false">IF(ISNUMBER(AS20),IF((N(V20)+N(W20)+N(X20))=0,0,MIN(N(W20),(AS20-AT20-AU20)*N(W20)/(N(V20)+N(W20)+N(X20)))),"보류")</f>
        <v>보류</v>
      </c>
      <c r="AX20" s="37" t="str">
        <f aca="false">IF(ISNUMBER(AS20),IF((N(V20)+N(W20)+N(X20))=0,0,MIN(N(X20),(AS20-AT20-AU20)*N(X20)/(N(V20)+N(W20)+N(X20)))),"보류")</f>
        <v>보류</v>
      </c>
      <c r="AY20" s="37" t="str">
        <f aca="false">IF(ISNUMBER(AS20),Y20-AT20-AV20-AW20-AX20,"보류")</f>
        <v>보류</v>
      </c>
      <c r="AZ20" s="35" t="str">
        <f aca="false">IF(ISNUMBER(AS20),AS20-AT20-AV20-AW20-AX20,"보류")</f>
        <v>보류</v>
      </c>
      <c r="BA20" s="37" t="str">
        <f aca="false">IF(ISNUMBER(01_Inputs!$B$105),01_Inputs!$B$105,"미입력")</f>
        <v>미입력</v>
      </c>
      <c r="BB20" s="37" t="str">
        <f aca="false">IF(AND(ISNUMBER(AR20),ISNUMBER(BA20)),Y20+BA20-AR20,"보류")</f>
        <v>보류</v>
      </c>
      <c r="BC20" s="37" t="str">
        <f aca="false">IF(AND(ISNUMBER(AZ20),ISNUMBER(BA20)),AZ20-BA20,"보류")</f>
        <v>보류</v>
      </c>
      <c r="BD20" s="13" t="str">
        <f aca="false">IF(ISNUMBER(AZ20),"계산 가능",IF(ISNUMBER(AP20),"부분 (재고 입력 필요)","보류 (생산 조건 미확인)"))</f>
        <v>보류 (생산 조건 미확인)</v>
      </c>
      <c r="BE20" s="9" t="str">
        <f aca="false">IF(D20="공사",IF(ISNUMBER(01_Inputs!$B$80),"","공사 중 가용시간·"),"")&amp;IF(D20="시운전",IF(ISNUMBER(01_Inputs!$B$81),"","시운전 양품·"),"")&amp;IF(D20="개선 (2대)",IF(ISNUMBER(01_Inputs!$B$83),"","설비별 간격·"),"")&amp;IF(D20="개선 (2대·105℃)",IF(ISNUMBER(01_Inputs!$B$73),"","105℃ 간격·"),"")&amp;IF(ISNUMBER(N20),"","실적·")&amp;IF(ISNUMBER(01_Inputs!$B$106),"","양품률(100% 상한)·")&amp;IF(COUNTIF(U20:X20,"미제시")&gt;0,"고객 물량 미제시·","")&amp;IF(ISNUMBER(AJ20),"","200 L 충진시간·")&amp;IF(ISNUMBER(01_Inputs!$B$87),"","글로브 박스 가용·")&amp;IF(ISNUMBER(01_Inputs!$B$103),"","기초재고·")</f>
        <v>공사 중 가용시간·실적·양품률(100% 상한)·200 L 충진시간·글로브 박스 가용·기초재고·</v>
      </c>
    </row>
    <row r="21" customFormat="false" ht="15" hidden="false" customHeight="false" outlineLevel="0" collapsed="false">
      <c r="A21" s="67" t="n">
        <v>46478</v>
      </c>
      <c r="B21" s="16" t="n">
        <f aca="false">YEAR(A21)</f>
        <v>2027</v>
      </c>
      <c r="C21" s="16" t="n">
        <f aca="false">DAY(EOMONTH(A21,0))</f>
        <v>30</v>
      </c>
      <c r="D21" s="9" t="str">
        <f aca="false">IF(A21&lt;01_Inputs!$B$75,"현재 (1대)",IF(A21&lt;=01_Inputs!$B$76,"공사",IF(A21&lt;01_Inputs!$B$78,"시운전",IF(AND(ISNUMBER(01_Inputs!$B$72),A21&gt;=01_Inputs!$B$72),"개선 (2대·105℃)","개선 (2대)"))))</f>
        <v>공사</v>
      </c>
      <c r="E21" s="16" t="n">
        <f aca="false">IF(LEFT(D21,2)="개선",01_Inputs!$B$8,01_Inputs!$B$7)</f>
        <v>1</v>
      </c>
      <c r="F21" s="68"/>
      <c r="G21" s="15" t="str">
        <f aca="false">IF(D21="공사",IF(ISNUMBER(01_Inputs!$B$80),01_Inputs!$B$80,"미확인"),IF(D21="시운전","시운전",E21*C21*24-N(F21)))</f>
        <v>미확인</v>
      </c>
      <c r="H21" s="27" t="n">
        <f aca="false">IF(OR(D21="현재 (1대)",D21="공사"),03_Capacity_Model!$B$80,IF(D21="개선 (2대)",IF(ISNUMBER(01_Inputs!$B$83),01_Inputs!$B$83,"미확인"),IF(D21="개선 (2대·105℃)",IF(ISNUMBER(01_Inputs!$B$73),01_Inputs!$B$73,"미확인"),"-")))</f>
        <v>67.4716981132076</v>
      </c>
      <c r="I21" s="15" t="n">
        <f aca="false">IF(AND(ISNUMBER(K20),D20=D21),K20,0)</f>
        <v>0</v>
      </c>
      <c r="J21" s="48" t="str">
        <f aca="false">IF(D21="시운전",IF(ISNUMBER(01_Inputs!$B$81),01_Inputs!$B$81,"미확인"),IF(AND(ISNUMBER(G21),ISNUMBER(H21)),INT((G21+I21)/H21),"미확인"))</f>
        <v>미확인</v>
      </c>
      <c r="K21" s="15" t="str">
        <f aca="false">IF(AND(ISNUMBER(G21),ISNUMBER(H21),ISNUMBER(J21)),G21+I21-J21*H21,"")</f>
        <v/>
      </c>
      <c r="L21" s="57" t="str">
        <f aca="false">IF(COUNTIFS(02_Batch_Raw!$E$6:$E$61,"&gt;="&amp;A21,02_Batch_Raw!$E$6:$E$61,"&lt;="&amp;EOMONTH(A21,0))=0,"",COUNTIFS(02_Batch_Raw!$E$6:$E$61,"&gt;="&amp;A21,02_Batch_Raw!$E$6:$E$61,"&lt;="&amp;EOMONTH(A21,0)))</f>
        <v/>
      </c>
      <c r="M21" s="57" t="str">
        <f aca="false">""</f>
        <v/>
      </c>
      <c r="N21" s="69"/>
      <c r="O21" s="16" t="str">
        <f aca="false">IF(ISNUMBER(N21),N21,J21)</f>
        <v>미확인</v>
      </c>
      <c r="P21" s="13" t="str">
        <f aca="false">IF(ISNUMBER(N21),"실적 입력",IF(ISNUMBER(J21),"추정 생산 가능량","미확인"))</f>
        <v>미확인</v>
      </c>
      <c r="Q21" s="22" t="n">
        <f aca="false">IF(LEFT(D21,2)="개선",IF(ISNUMBER(01_Inputs!$B$61),01_Inputs!$B$61,01_Inputs!$B$49),01_Inputs!$B$49)</f>
        <v>190</v>
      </c>
      <c r="R21" s="22" t="str">
        <f aca="false">IF(ISNUMBER(O21),O21*Q21,"미확인")</f>
        <v>미확인</v>
      </c>
      <c r="S21" s="45" t="str">
        <f aca="false">IF(ISNUMBER(R21),R21*IF(ISNUMBER(01_Inputs!$B$106),01_Inputs!$B$106,1),"미확인")</f>
        <v>미확인</v>
      </c>
      <c r="T21" s="37" t="n">
        <f aca="false">IF(A21&lt;01_Inputs!$B$78,01_Inputs!$B$63,IF(D21="개선 (2대·105℃)",01_Inputs!$B$68,01_Inputs!$B$65))*1000/12</f>
        <v>2183.33333333333</v>
      </c>
      <c r="U21" s="70" t="n">
        <f aca="false">IF(ISNUMBER(01_Inputs!$F$130),01_Inputs!$F$130,"미제시")</f>
        <v>1893.33333333333</v>
      </c>
      <c r="V21" s="70" t="n">
        <f aca="false">IF(ISNUMBER(01_Inputs!$F$131),01_Inputs!$F$131,"미제시")</f>
        <v>580</v>
      </c>
      <c r="W21" s="70" t="n">
        <f aca="false">IF(ISNUMBER(01_Inputs!$F$132),01_Inputs!$F$132,"미제시")</f>
        <v>560</v>
      </c>
      <c r="X21" s="70" t="n">
        <f aca="false">IF(ISNUMBER(01_Inputs!$F$133),01_Inputs!$F$133,"미제시")</f>
        <v>300</v>
      </c>
      <c r="Y21" s="35" t="n">
        <f aca="false">SUM(U21:X21)</f>
        <v>3333.33333333333</v>
      </c>
      <c r="Z21" s="64" t="n">
        <f aca="false">Y21/Q21</f>
        <v>17.5438596491228</v>
      </c>
      <c r="AA21" s="64" t="n">
        <f aca="false">(N(U21)+N(V21))/01_Inputs!$B$42</f>
        <v>123.666666666667</v>
      </c>
      <c r="AB21" s="15" t="n">
        <f aca="false">AA21*01_Inputs!$B$28</f>
        <v>247.333333333333</v>
      </c>
      <c r="AC21" s="15" t="n">
        <f aca="false">AA21/01_Inputs!$B$29*01_Inputs!$B$32</f>
        <v>27.4814814814815</v>
      </c>
      <c r="AD21" s="64" t="n">
        <f aca="false">N(W21)/01_Inputs!$B$43</f>
        <v>4</v>
      </c>
      <c r="AE21" s="64" t="n">
        <f aca="false">N(X21)/01_Inputs!$B$44</f>
        <v>2</v>
      </c>
      <c r="AF21" s="13" t="str">
        <f aca="false">IF(AD21=0,"-",IF(A21&gt;=01_Inputs!$B$47,"ARS","수동"))</f>
        <v>ARS</v>
      </c>
      <c r="AG21" s="13" t="str">
        <f aca="false">IF(AE21=0,"-",IF(A21&gt;=01_Inputs!$B$46,"ARS","수동"))</f>
        <v>수동</v>
      </c>
      <c r="AH21" s="15" t="str">
        <f aca="false">IF(AD21=0,0,IF(AF21="수동",AD21*01_Inputs!$B$34,IF(ISNUMBER(01_Inputs!$B$36),AD21*01_Inputs!$B$36,"미확인")))</f>
        <v>미확인</v>
      </c>
      <c r="AI21" s="15" t="str">
        <f aca="false">IF(AE21=0,0,IF(AG21="수동",IF(ISNUMBER(01_Inputs!$B$35),AE21*01_Inputs!$B$35,"미확인"),IF(ISNUMBER(01_Inputs!$B$37),AE21*01_Inputs!$B$37,"미확인")))</f>
        <v>미확인</v>
      </c>
      <c r="AJ21" s="15" t="str">
        <f aca="false">IF(AND(ISNUMBER(AH21),ISNUMBER(AI21)),AH21+AI21,"부분 "&amp;TEXT(N(AH21)+N(AI21),"0")&amp;" h + 미확인")</f>
        <v>부분 0 h + 미확인</v>
      </c>
      <c r="AK21" s="15" t="n">
        <f aca="false">(AD21+AE21)*01_Inputs!$B$38</f>
        <v>48</v>
      </c>
      <c r="AL21" s="15" t="n">
        <f aca="false">(AD21+AE21)*01_Inputs!$B$33</f>
        <v>12</v>
      </c>
      <c r="AM21" s="15" t="str">
        <f aca="false">IF(ISNUMBER(01_Inputs!$B$87),01_Inputs!$B$87,"미확인")</f>
        <v>미확인</v>
      </c>
      <c r="AN21" s="15" t="str">
        <f aca="false">IF(ISNUMBER(AM21),AM21-AB21,"미확인")</f>
        <v>미확인</v>
      </c>
      <c r="AO21" s="37" t="n">
        <f aca="false">T21-Y21</f>
        <v>-1150</v>
      </c>
      <c r="AP21" s="37" t="str">
        <f aca="false">IF(ISNUMBER(S21),S21-Y21,"미확인")</f>
        <v>미확인</v>
      </c>
      <c r="AQ21" s="37" t="str">
        <f aca="false">IF(AND(ISNUMBER(AP21),ISNUMBER(AQ20)),AQ20+AP21,"보류")</f>
        <v>보류</v>
      </c>
      <c r="AR21" s="37" t="str">
        <f aca="false">IF(ISNUMBER(AZ20),AZ20,"보류")</f>
        <v>보류</v>
      </c>
      <c r="AS21" s="37" t="str">
        <f aca="false">IF(AND(ISNUMBER(AR21),ISNUMBER(S21)),AR21+S21,"보류")</f>
        <v>보류</v>
      </c>
      <c r="AT21" s="37" t="str">
        <f aca="false">IF(ISNUMBER(AS21),MIN(AS21,U21),"보류")</f>
        <v>보류</v>
      </c>
      <c r="AU21" s="37" t="str">
        <f aca="false">IF(ISNUMBER(AS21),MIN(AS21-AT21,N(01_Inputs!$B$104)),"보류")</f>
        <v>보류</v>
      </c>
      <c r="AV21" s="37" t="str">
        <f aca="false">IF(ISNUMBER(AS21),IF((N(V21)+N(W21)+N(X21))=0,0,MIN(N(V21),(AS21-AT21-AU21)*N(V21)/(N(V21)+N(W21)+N(X21)))),"보류")</f>
        <v>보류</v>
      </c>
      <c r="AW21" s="37" t="str">
        <f aca="false">IF(ISNUMBER(AS21),IF((N(V21)+N(W21)+N(X21))=0,0,MIN(N(W21),(AS21-AT21-AU21)*N(W21)/(N(V21)+N(W21)+N(X21)))),"보류")</f>
        <v>보류</v>
      </c>
      <c r="AX21" s="37" t="str">
        <f aca="false">IF(ISNUMBER(AS21),IF((N(V21)+N(W21)+N(X21))=0,0,MIN(N(X21),(AS21-AT21-AU21)*N(X21)/(N(V21)+N(W21)+N(X21)))),"보류")</f>
        <v>보류</v>
      </c>
      <c r="AY21" s="37" t="str">
        <f aca="false">IF(ISNUMBER(AS21),Y21-AT21-AV21-AW21-AX21,"보류")</f>
        <v>보류</v>
      </c>
      <c r="AZ21" s="35" t="str">
        <f aca="false">IF(ISNUMBER(AS21),AS21-AT21-AV21-AW21-AX21,"보류")</f>
        <v>보류</v>
      </c>
      <c r="BA21" s="37" t="str">
        <f aca="false">IF(ISNUMBER(01_Inputs!$B$105),01_Inputs!$B$105,"미입력")</f>
        <v>미입력</v>
      </c>
      <c r="BB21" s="37" t="str">
        <f aca="false">IF(AND(ISNUMBER(AR21),ISNUMBER(BA21)),Y21+BA21-AR21,"보류")</f>
        <v>보류</v>
      </c>
      <c r="BC21" s="37" t="str">
        <f aca="false">IF(AND(ISNUMBER(AZ21),ISNUMBER(BA21)),AZ21-BA21,"보류")</f>
        <v>보류</v>
      </c>
      <c r="BD21" s="13" t="str">
        <f aca="false">IF(ISNUMBER(AZ21),"계산 가능",IF(ISNUMBER(AP21),"부분 (재고 입력 필요)","보류 (생산 조건 미확인)"))</f>
        <v>보류 (생산 조건 미확인)</v>
      </c>
      <c r="BE21" s="9" t="str">
        <f aca="false">IF(D21="공사",IF(ISNUMBER(01_Inputs!$B$80),"","공사 중 가용시간·"),"")&amp;IF(D21="시운전",IF(ISNUMBER(01_Inputs!$B$81),"","시운전 양품·"),"")&amp;IF(D21="개선 (2대)",IF(ISNUMBER(01_Inputs!$B$83),"","설비별 간격·"),"")&amp;IF(D21="개선 (2대·105℃)",IF(ISNUMBER(01_Inputs!$B$73),"","105℃ 간격·"),"")&amp;IF(ISNUMBER(N21),"","실적·")&amp;IF(ISNUMBER(01_Inputs!$B$106),"","양품률(100% 상한)·")&amp;IF(COUNTIF(U21:X21,"미제시")&gt;0,"고객 물량 미제시·","")&amp;IF(ISNUMBER(AJ21),"","200 L 충진시간·")&amp;IF(ISNUMBER(01_Inputs!$B$87),"","글로브 박스 가용·")&amp;IF(ISNUMBER(01_Inputs!$B$103),"","기초재고·")</f>
        <v>공사 중 가용시간·실적·양품률(100% 상한)·200 L 충진시간·글로브 박스 가용·기초재고·</v>
      </c>
    </row>
    <row r="22" customFormat="false" ht="15" hidden="false" customHeight="false" outlineLevel="0" collapsed="false">
      <c r="A22" s="67" t="n">
        <v>46508</v>
      </c>
      <c r="B22" s="16" t="n">
        <f aca="false">YEAR(A22)</f>
        <v>2027</v>
      </c>
      <c r="C22" s="16" t="n">
        <f aca="false">DAY(EOMONTH(A22,0))</f>
        <v>31</v>
      </c>
      <c r="D22" s="9" t="str">
        <f aca="false">IF(A22&lt;01_Inputs!$B$75,"현재 (1대)",IF(A22&lt;=01_Inputs!$B$76,"공사",IF(A22&lt;01_Inputs!$B$78,"시운전",IF(AND(ISNUMBER(01_Inputs!$B$72),A22&gt;=01_Inputs!$B$72),"개선 (2대·105℃)","개선 (2대)"))))</f>
        <v>공사</v>
      </c>
      <c r="E22" s="16" t="n">
        <f aca="false">IF(LEFT(D22,2)="개선",01_Inputs!$B$8,01_Inputs!$B$7)</f>
        <v>1</v>
      </c>
      <c r="F22" s="68"/>
      <c r="G22" s="15" t="str">
        <f aca="false">IF(D22="공사",IF(ISNUMBER(01_Inputs!$B$80),01_Inputs!$B$80,"미확인"),IF(D22="시운전","시운전",E22*C22*24-N(F22)))</f>
        <v>미확인</v>
      </c>
      <c r="H22" s="27" t="n">
        <f aca="false">IF(OR(D22="현재 (1대)",D22="공사"),03_Capacity_Model!$B$80,IF(D22="개선 (2대)",IF(ISNUMBER(01_Inputs!$B$83),01_Inputs!$B$83,"미확인"),IF(D22="개선 (2대·105℃)",IF(ISNUMBER(01_Inputs!$B$73),01_Inputs!$B$73,"미확인"),"-")))</f>
        <v>67.4716981132076</v>
      </c>
      <c r="I22" s="15" t="n">
        <f aca="false">IF(AND(ISNUMBER(K21),D21=D22),K21,0)</f>
        <v>0</v>
      </c>
      <c r="J22" s="48" t="str">
        <f aca="false">IF(D22="시운전",IF(ISNUMBER(01_Inputs!$B$81),01_Inputs!$B$81,"미확인"),IF(AND(ISNUMBER(G22),ISNUMBER(H22)),INT((G22+I22)/H22),"미확인"))</f>
        <v>미확인</v>
      </c>
      <c r="K22" s="15" t="str">
        <f aca="false">IF(AND(ISNUMBER(G22),ISNUMBER(H22),ISNUMBER(J22)),G22+I22-J22*H22,"")</f>
        <v/>
      </c>
      <c r="L22" s="57" t="str">
        <f aca="false">IF(COUNTIFS(02_Batch_Raw!$E$6:$E$61,"&gt;="&amp;A22,02_Batch_Raw!$E$6:$E$61,"&lt;="&amp;EOMONTH(A22,0))=0,"",COUNTIFS(02_Batch_Raw!$E$6:$E$61,"&gt;="&amp;A22,02_Batch_Raw!$E$6:$E$61,"&lt;="&amp;EOMONTH(A22,0)))</f>
        <v/>
      </c>
      <c r="M22" s="57" t="str">
        <f aca="false">""</f>
        <v/>
      </c>
      <c r="N22" s="69"/>
      <c r="O22" s="16" t="str">
        <f aca="false">IF(ISNUMBER(N22),N22,J22)</f>
        <v>미확인</v>
      </c>
      <c r="P22" s="13" t="str">
        <f aca="false">IF(ISNUMBER(N22),"실적 입력",IF(ISNUMBER(J22),"추정 생산 가능량","미확인"))</f>
        <v>미확인</v>
      </c>
      <c r="Q22" s="22" t="n">
        <f aca="false">IF(LEFT(D22,2)="개선",IF(ISNUMBER(01_Inputs!$B$61),01_Inputs!$B$61,01_Inputs!$B$49),01_Inputs!$B$49)</f>
        <v>190</v>
      </c>
      <c r="R22" s="22" t="str">
        <f aca="false">IF(ISNUMBER(O22),O22*Q22,"미확인")</f>
        <v>미확인</v>
      </c>
      <c r="S22" s="45" t="str">
        <f aca="false">IF(ISNUMBER(R22),R22*IF(ISNUMBER(01_Inputs!$B$106),01_Inputs!$B$106,1),"미확인")</f>
        <v>미확인</v>
      </c>
      <c r="T22" s="37" t="n">
        <f aca="false">IF(A22&lt;01_Inputs!$B$78,01_Inputs!$B$63,IF(D22="개선 (2대·105℃)",01_Inputs!$B$68,01_Inputs!$B$65))*1000/12</f>
        <v>2183.33333333333</v>
      </c>
      <c r="U22" s="70" t="n">
        <f aca="false">IF(ISNUMBER(01_Inputs!$G$130),01_Inputs!$G$130,"미제시")</f>
        <v>1893.33333333333</v>
      </c>
      <c r="V22" s="70" t="n">
        <f aca="false">IF(ISNUMBER(01_Inputs!$G$131),01_Inputs!$G$131,"미제시")</f>
        <v>580</v>
      </c>
      <c r="W22" s="70" t="n">
        <f aca="false">IF(ISNUMBER(01_Inputs!$G$132),01_Inputs!$G$132,"미제시")</f>
        <v>560</v>
      </c>
      <c r="X22" s="70" t="n">
        <f aca="false">IF(ISNUMBER(01_Inputs!$G$133),01_Inputs!$G$133,"미제시")</f>
        <v>300</v>
      </c>
      <c r="Y22" s="35" t="n">
        <f aca="false">SUM(U22:X22)</f>
        <v>3333.33333333333</v>
      </c>
      <c r="Z22" s="64" t="n">
        <f aca="false">Y22/Q22</f>
        <v>17.5438596491228</v>
      </c>
      <c r="AA22" s="64" t="n">
        <f aca="false">(N(U22)+N(V22))/01_Inputs!$B$42</f>
        <v>123.666666666667</v>
      </c>
      <c r="AB22" s="15" t="n">
        <f aca="false">AA22*01_Inputs!$B$28</f>
        <v>247.333333333333</v>
      </c>
      <c r="AC22" s="15" t="n">
        <f aca="false">AA22/01_Inputs!$B$29*01_Inputs!$B$32</f>
        <v>27.4814814814815</v>
      </c>
      <c r="AD22" s="64" t="n">
        <f aca="false">N(W22)/01_Inputs!$B$43</f>
        <v>4</v>
      </c>
      <c r="AE22" s="64" t="n">
        <f aca="false">N(X22)/01_Inputs!$B$44</f>
        <v>2</v>
      </c>
      <c r="AF22" s="13" t="str">
        <f aca="false">IF(AD22=0,"-",IF(A22&gt;=01_Inputs!$B$47,"ARS","수동"))</f>
        <v>ARS</v>
      </c>
      <c r="AG22" s="13" t="str">
        <f aca="false">IF(AE22=0,"-",IF(A22&gt;=01_Inputs!$B$46,"ARS","수동"))</f>
        <v>수동</v>
      </c>
      <c r="AH22" s="15" t="str">
        <f aca="false">IF(AD22=0,0,IF(AF22="수동",AD22*01_Inputs!$B$34,IF(ISNUMBER(01_Inputs!$B$36),AD22*01_Inputs!$B$36,"미확인")))</f>
        <v>미확인</v>
      </c>
      <c r="AI22" s="15" t="str">
        <f aca="false">IF(AE22=0,0,IF(AG22="수동",IF(ISNUMBER(01_Inputs!$B$35),AE22*01_Inputs!$B$35,"미확인"),IF(ISNUMBER(01_Inputs!$B$37),AE22*01_Inputs!$B$37,"미확인")))</f>
        <v>미확인</v>
      </c>
      <c r="AJ22" s="15" t="str">
        <f aca="false">IF(AND(ISNUMBER(AH22),ISNUMBER(AI22)),AH22+AI22,"부분 "&amp;TEXT(N(AH22)+N(AI22),"0")&amp;" h + 미확인")</f>
        <v>부분 0 h + 미확인</v>
      </c>
      <c r="AK22" s="15" t="n">
        <f aca="false">(AD22+AE22)*01_Inputs!$B$38</f>
        <v>48</v>
      </c>
      <c r="AL22" s="15" t="n">
        <f aca="false">(AD22+AE22)*01_Inputs!$B$33</f>
        <v>12</v>
      </c>
      <c r="AM22" s="15" t="str">
        <f aca="false">IF(ISNUMBER(01_Inputs!$B$87),01_Inputs!$B$87,"미확인")</f>
        <v>미확인</v>
      </c>
      <c r="AN22" s="15" t="str">
        <f aca="false">IF(ISNUMBER(AM22),AM22-AB22,"미확인")</f>
        <v>미확인</v>
      </c>
      <c r="AO22" s="37" t="n">
        <f aca="false">T22-Y22</f>
        <v>-1150</v>
      </c>
      <c r="AP22" s="37" t="str">
        <f aca="false">IF(ISNUMBER(S22),S22-Y22,"미확인")</f>
        <v>미확인</v>
      </c>
      <c r="AQ22" s="37" t="str">
        <f aca="false">IF(AND(ISNUMBER(AP22),ISNUMBER(AQ21)),AQ21+AP22,"보류")</f>
        <v>보류</v>
      </c>
      <c r="AR22" s="37" t="str">
        <f aca="false">IF(ISNUMBER(AZ21),AZ21,"보류")</f>
        <v>보류</v>
      </c>
      <c r="AS22" s="37" t="str">
        <f aca="false">IF(AND(ISNUMBER(AR22),ISNUMBER(S22)),AR22+S22,"보류")</f>
        <v>보류</v>
      </c>
      <c r="AT22" s="37" t="str">
        <f aca="false">IF(ISNUMBER(AS22),MIN(AS22,U22),"보류")</f>
        <v>보류</v>
      </c>
      <c r="AU22" s="37" t="str">
        <f aca="false">IF(ISNUMBER(AS22),MIN(AS22-AT22,N(01_Inputs!$B$104)),"보류")</f>
        <v>보류</v>
      </c>
      <c r="AV22" s="37" t="str">
        <f aca="false">IF(ISNUMBER(AS22),IF((N(V22)+N(W22)+N(X22))=0,0,MIN(N(V22),(AS22-AT22-AU22)*N(V22)/(N(V22)+N(W22)+N(X22)))),"보류")</f>
        <v>보류</v>
      </c>
      <c r="AW22" s="37" t="str">
        <f aca="false">IF(ISNUMBER(AS22),IF((N(V22)+N(W22)+N(X22))=0,0,MIN(N(W22),(AS22-AT22-AU22)*N(W22)/(N(V22)+N(W22)+N(X22)))),"보류")</f>
        <v>보류</v>
      </c>
      <c r="AX22" s="37" t="str">
        <f aca="false">IF(ISNUMBER(AS22),IF((N(V22)+N(W22)+N(X22))=0,0,MIN(N(X22),(AS22-AT22-AU22)*N(X22)/(N(V22)+N(W22)+N(X22)))),"보류")</f>
        <v>보류</v>
      </c>
      <c r="AY22" s="37" t="str">
        <f aca="false">IF(ISNUMBER(AS22),Y22-AT22-AV22-AW22-AX22,"보류")</f>
        <v>보류</v>
      </c>
      <c r="AZ22" s="35" t="str">
        <f aca="false">IF(ISNUMBER(AS22),AS22-AT22-AV22-AW22-AX22,"보류")</f>
        <v>보류</v>
      </c>
      <c r="BA22" s="37" t="str">
        <f aca="false">IF(ISNUMBER(01_Inputs!$B$105),01_Inputs!$B$105,"미입력")</f>
        <v>미입력</v>
      </c>
      <c r="BB22" s="37" t="str">
        <f aca="false">IF(AND(ISNUMBER(AR22),ISNUMBER(BA22)),Y22+BA22-AR22,"보류")</f>
        <v>보류</v>
      </c>
      <c r="BC22" s="37" t="str">
        <f aca="false">IF(AND(ISNUMBER(AZ22),ISNUMBER(BA22)),AZ22-BA22,"보류")</f>
        <v>보류</v>
      </c>
      <c r="BD22" s="13" t="str">
        <f aca="false">IF(ISNUMBER(AZ22),"계산 가능",IF(ISNUMBER(AP22),"부분 (재고 입력 필요)","보류 (생산 조건 미확인)"))</f>
        <v>보류 (생산 조건 미확인)</v>
      </c>
      <c r="BE22" s="9" t="str">
        <f aca="false">IF(D22="공사",IF(ISNUMBER(01_Inputs!$B$80),"","공사 중 가용시간·"),"")&amp;IF(D22="시운전",IF(ISNUMBER(01_Inputs!$B$81),"","시운전 양품·"),"")&amp;IF(D22="개선 (2대)",IF(ISNUMBER(01_Inputs!$B$83),"","설비별 간격·"),"")&amp;IF(D22="개선 (2대·105℃)",IF(ISNUMBER(01_Inputs!$B$73),"","105℃ 간격·"),"")&amp;IF(ISNUMBER(N22),"","실적·")&amp;IF(ISNUMBER(01_Inputs!$B$106),"","양품률(100% 상한)·")&amp;IF(COUNTIF(U22:X22,"미제시")&gt;0,"고객 물량 미제시·","")&amp;IF(ISNUMBER(AJ22),"","200 L 충진시간·")&amp;IF(ISNUMBER(01_Inputs!$B$87),"","글로브 박스 가용·")&amp;IF(ISNUMBER(01_Inputs!$B$103),"","기초재고·")</f>
        <v>공사 중 가용시간·실적·양품률(100% 상한)·200 L 충진시간·글로브 박스 가용·기초재고·</v>
      </c>
    </row>
    <row r="23" customFormat="false" ht="15" hidden="false" customHeight="false" outlineLevel="0" collapsed="false">
      <c r="A23" s="67" t="n">
        <v>46539</v>
      </c>
      <c r="B23" s="16" t="n">
        <f aca="false">YEAR(A23)</f>
        <v>2027</v>
      </c>
      <c r="C23" s="16" t="n">
        <f aca="false">DAY(EOMONTH(A23,0))</f>
        <v>30</v>
      </c>
      <c r="D23" s="9" t="str">
        <f aca="false">IF(A23&lt;01_Inputs!$B$75,"현재 (1대)",IF(A23&lt;=01_Inputs!$B$76,"공사",IF(A23&lt;01_Inputs!$B$78,"시운전",IF(AND(ISNUMBER(01_Inputs!$B$72),A23&gt;=01_Inputs!$B$72),"개선 (2대·105℃)","개선 (2대)"))))</f>
        <v>시운전</v>
      </c>
      <c r="E23" s="16" t="n">
        <f aca="false">IF(LEFT(D23,2)="개선",01_Inputs!$B$8,01_Inputs!$B$7)</f>
        <v>1</v>
      </c>
      <c r="F23" s="68"/>
      <c r="G23" s="15" t="str">
        <f aca="false">IF(D23="공사",IF(ISNUMBER(01_Inputs!$B$80),01_Inputs!$B$80,"미확인"),IF(D23="시운전","시운전",E23*C23*24-N(F23)))</f>
        <v>시운전</v>
      </c>
      <c r="H23" s="27" t="str">
        <f aca="false">IF(OR(D23="현재 (1대)",D23="공사"),03_Capacity_Model!$B$80,IF(D23="개선 (2대)",IF(ISNUMBER(01_Inputs!$B$83),01_Inputs!$B$83,"미확인"),IF(D23="개선 (2대·105℃)",IF(ISNUMBER(01_Inputs!$B$73),01_Inputs!$B$73,"미확인"),"-")))</f>
        <v>-</v>
      </c>
      <c r="I23" s="15" t="n">
        <f aca="false">IF(AND(ISNUMBER(K22),D22=D23),K22,0)</f>
        <v>0</v>
      </c>
      <c r="J23" s="48" t="str">
        <f aca="false">IF(D23="시운전",IF(ISNUMBER(01_Inputs!$B$81),01_Inputs!$B$81,"미확인"),IF(AND(ISNUMBER(G23),ISNUMBER(H23)),INT((G23+I23)/H23),"미확인"))</f>
        <v>미확인</v>
      </c>
      <c r="K23" s="15" t="str">
        <f aca="false">IF(AND(ISNUMBER(G23),ISNUMBER(H23),ISNUMBER(J23)),G23+I23-J23*H23,"")</f>
        <v/>
      </c>
      <c r="L23" s="57" t="str">
        <f aca="false">IF(COUNTIFS(02_Batch_Raw!$E$6:$E$61,"&gt;="&amp;A23,02_Batch_Raw!$E$6:$E$61,"&lt;="&amp;EOMONTH(A23,0))=0,"",COUNTIFS(02_Batch_Raw!$E$6:$E$61,"&gt;="&amp;A23,02_Batch_Raw!$E$6:$E$61,"&lt;="&amp;EOMONTH(A23,0)))</f>
        <v/>
      </c>
      <c r="M23" s="57" t="str">
        <f aca="false">""</f>
        <v/>
      </c>
      <c r="N23" s="69"/>
      <c r="O23" s="16" t="str">
        <f aca="false">IF(ISNUMBER(N23),N23,J23)</f>
        <v>미확인</v>
      </c>
      <c r="P23" s="13" t="str">
        <f aca="false">IF(ISNUMBER(N23),"실적 입력",IF(ISNUMBER(J23),"추정 생산 가능량","미확인"))</f>
        <v>미확인</v>
      </c>
      <c r="Q23" s="22" t="n">
        <f aca="false">IF(LEFT(D23,2)="개선",IF(ISNUMBER(01_Inputs!$B$61),01_Inputs!$B$61,01_Inputs!$B$49),01_Inputs!$B$49)</f>
        <v>190</v>
      </c>
      <c r="R23" s="22" t="str">
        <f aca="false">IF(ISNUMBER(O23),O23*Q23,"미확인")</f>
        <v>미확인</v>
      </c>
      <c r="S23" s="45" t="str">
        <f aca="false">IF(ISNUMBER(R23),R23*IF(ISNUMBER(01_Inputs!$B$106),01_Inputs!$B$106,1),"미확인")</f>
        <v>미확인</v>
      </c>
      <c r="T23" s="37" t="n">
        <f aca="false">IF(A23&lt;01_Inputs!$B$78,01_Inputs!$B$63,IF(D23="개선 (2대·105℃)",01_Inputs!$B$68,01_Inputs!$B$65))*1000/12</f>
        <v>2183.33333333333</v>
      </c>
      <c r="U23" s="70" t="n">
        <f aca="false">IF(ISNUMBER(01_Inputs!$H$130),01_Inputs!$H$130,"미제시")</f>
        <v>1893.33333333333</v>
      </c>
      <c r="V23" s="70" t="n">
        <f aca="false">IF(ISNUMBER(01_Inputs!$H$131),01_Inputs!$H$131,"미제시")</f>
        <v>580</v>
      </c>
      <c r="W23" s="70" t="n">
        <f aca="false">IF(ISNUMBER(01_Inputs!$H$132),01_Inputs!$H$132,"미제시")</f>
        <v>560</v>
      </c>
      <c r="X23" s="70" t="n">
        <f aca="false">IF(ISNUMBER(01_Inputs!$H$133),01_Inputs!$H$133,"미제시")</f>
        <v>300</v>
      </c>
      <c r="Y23" s="35" t="n">
        <f aca="false">SUM(U23:X23)</f>
        <v>3333.33333333333</v>
      </c>
      <c r="Z23" s="64" t="n">
        <f aca="false">Y23/Q23</f>
        <v>17.5438596491228</v>
      </c>
      <c r="AA23" s="64" t="n">
        <f aca="false">(N(U23)+N(V23))/01_Inputs!$B$42</f>
        <v>123.666666666667</v>
      </c>
      <c r="AB23" s="15" t="n">
        <f aca="false">AA23*01_Inputs!$B$28</f>
        <v>247.333333333333</v>
      </c>
      <c r="AC23" s="15" t="n">
        <f aca="false">AA23/01_Inputs!$B$29*01_Inputs!$B$32</f>
        <v>27.4814814814815</v>
      </c>
      <c r="AD23" s="64" t="n">
        <f aca="false">N(W23)/01_Inputs!$B$43</f>
        <v>4</v>
      </c>
      <c r="AE23" s="64" t="n">
        <f aca="false">N(X23)/01_Inputs!$B$44</f>
        <v>2</v>
      </c>
      <c r="AF23" s="13" t="str">
        <f aca="false">IF(AD23=0,"-",IF(A23&gt;=01_Inputs!$B$47,"ARS","수동"))</f>
        <v>ARS</v>
      </c>
      <c r="AG23" s="13" t="str">
        <f aca="false">IF(AE23=0,"-",IF(A23&gt;=01_Inputs!$B$46,"ARS","수동"))</f>
        <v>수동</v>
      </c>
      <c r="AH23" s="15" t="str">
        <f aca="false">IF(AD23=0,0,IF(AF23="수동",AD23*01_Inputs!$B$34,IF(ISNUMBER(01_Inputs!$B$36),AD23*01_Inputs!$B$36,"미확인")))</f>
        <v>미확인</v>
      </c>
      <c r="AI23" s="15" t="str">
        <f aca="false">IF(AE23=0,0,IF(AG23="수동",IF(ISNUMBER(01_Inputs!$B$35),AE23*01_Inputs!$B$35,"미확인"),IF(ISNUMBER(01_Inputs!$B$37),AE23*01_Inputs!$B$37,"미확인")))</f>
        <v>미확인</v>
      </c>
      <c r="AJ23" s="15" t="str">
        <f aca="false">IF(AND(ISNUMBER(AH23),ISNUMBER(AI23)),AH23+AI23,"부분 "&amp;TEXT(N(AH23)+N(AI23),"0")&amp;" h + 미확인")</f>
        <v>부분 0 h + 미확인</v>
      </c>
      <c r="AK23" s="15" t="n">
        <f aca="false">(AD23+AE23)*01_Inputs!$B$38</f>
        <v>48</v>
      </c>
      <c r="AL23" s="15" t="n">
        <f aca="false">(AD23+AE23)*01_Inputs!$B$33</f>
        <v>12</v>
      </c>
      <c r="AM23" s="15" t="str">
        <f aca="false">IF(ISNUMBER(01_Inputs!$B$87),01_Inputs!$B$87,"미확인")</f>
        <v>미확인</v>
      </c>
      <c r="AN23" s="15" t="str">
        <f aca="false">IF(ISNUMBER(AM23),AM23-AB23,"미확인")</f>
        <v>미확인</v>
      </c>
      <c r="AO23" s="37" t="n">
        <f aca="false">T23-Y23</f>
        <v>-1150</v>
      </c>
      <c r="AP23" s="37" t="str">
        <f aca="false">IF(ISNUMBER(S23),S23-Y23,"미확인")</f>
        <v>미확인</v>
      </c>
      <c r="AQ23" s="37" t="str">
        <f aca="false">IF(AND(ISNUMBER(AP23),ISNUMBER(AQ22)),AQ22+AP23,"보류")</f>
        <v>보류</v>
      </c>
      <c r="AR23" s="37" t="str">
        <f aca="false">IF(ISNUMBER(AZ22),AZ22,"보류")</f>
        <v>보류</v>
      </c>
      <c r="AS23" s="37" t="str">
        <f aca="false">IF(AND(ISNUMBER(AR23),ISNUMBER(S23)),AR23+S23,"보류")</f>
        <v>보류</v>
      </c>
      <c r="AT23" s="37" t="str">
        <f aca="false">IF(ISNUMBER(AS23),MIN(AS23,U23),"보류")</f>
        <v>보류</v>
      </c>
      <c r="AU23" s="37" t="str">
        <f aca="false">IF(ISNUMBER(AS23),MIN(AS23-AT23,N(01_Inputs!$B$104)),"보류")</f>
        <v>보류</v>
      </c>
      <c r="AV23" s="37" t="str">
        <f aca="false">IF(ISNUMBER(AS23),IF((N(V23)+N(W23)+N(X23))=0,0,MIN(N(V23),(AS23-AT23-AU23)*N(V23)/(N(V23)+N(W23)+N(X23)))),"보류")</f>
        <v>보류</v>
      </c>
      <c r="AW23" s="37" t="str">
        <f aca="false">IF(ISNUMBER(AS23),IF((N(V23)+N(W23)+N(X23))=0,0,MIN(N(W23),(AS23-AT23-AU23)*N(W23)/(N(V23)+N(W23)+N(X23)))),"보류")</f>
        <v>보류</v>
      </c>
      <c r="AX23" s="37" t="str">
        <f aca="false">IF(ISNUMBER(AS23),IF((N(V23)+N(W23)+N(X23))=0,0,MIN(N(X23),(AS23-AT23-AU23)*N(X23)/(N(V23)+N(W23)+N(X23)))),"보류")</f>
        <v>보류</v>
      </c>
      <c r="AY23" s="37" t="str">
        <f aca="false">IF(ISNUMBER(AS23),Y23-AT23-AV23-AW23-AX23,"보류")</f>
        <v>보류</v>
      </c>
      <c r="AZ23" s="35" t="str">
        <f aca="false">IF(ISNUMBER(AS23),AS23-AT23-AV23-AW23-AX23,"보류")</f>
        <v>보류</v>
      </c>
      <c r="BA23" s="37" t="str">
        <f aca="false">IF(ISNUMBER(01_Inputs!$B$105),01_Inputs!$B$105,"미입력")</f>
        <v>미입력</v>
      </c>
      <c r="BB23" s="37" t="str">
        <f aca="false">IF(AND(ISNUMBER(AR23),ISNUMBER(BA23)),Y23+BA23-AR23,"보류")</f>
        <v>보류</v>
      </c>
      <c r="BC23" s="37" t="str">
        <f aca="false">IF(AND(ISNUMBER(AZ23),ISNUMBER(BA23)),AZ23-BA23,"보류")</f>
        <v>보류</v>
      </c>
      <c r="BD23" s="13" t="str">
        <f aca="false">IF(ISNUMBER(AZ23),"계산 가능",IF(ISNUMBER(AP23),"부분 (재고 입력 필요)","보류 (생산 조건 미확인)"))</f>
        <v>보류 (생산 조건 미확인)</v>
      </c>
      <c r="BE23" s="9" t="str">
        <f aca="false">IF(D23="공사",IF(ISNUMBER(01_Inputs!$B$80),"","공사 중 가용시간·"),"")&amp;IF(D23="시운전",IF(ISNUMBER(01_Inputs!$B$81),"","시운전 양품·"),"")&amp;IF(D23="개선 (2대)",IF(ISNUMBER(01_Inputs!$B$83),"","설비별 간격·"),"")&amp;IF(D23="개선 (2대·105℃)",IF(ISNUMBER(01_Inputs!$B$73),"","105℃ 간격·"),"")&amp;IF(ISNUMBER(N23),"","실적·")&amp;IF(ISNUMBER(01_Inputs!$B$106),"","양품률(100% 상한)·")&amp;IF(COUNTIF(U23:X23,"미제시")&gt;0,"고객 물량 미제시·","")&amp;IF(ISNUMBER(AJ23),"","200 L 충진시간·")&amp;IF(ISNUMBER(01_Inputs!$B$87),"","글로브 박스 가용·")&amp;IF(ISNUMBER(01_Inputs!$B$103),"","기초재고·")</f>
        <v>시운전 양품·실적·양품률(100% 상한)·200 L 충진시간·글로브 박스 가용·기초재고·</v>
      </c>
    </row>
    <row r="24" customFormat="false" ht="15" hidden="false" customHeight="false" outlineLevel="0" collapsed="false">
      <c r="A24" s="67" t="n">
        <v>46569</v>
      </c>
      <c r="B24" s="16" t="n">
        <f aca="false">YEAR(A24)</f>
        <v>2027</v>
      </c>
      <c r="C24" s="16" t="n">
        <f aca="false">DAY(EOMONTH(A24,0))</f>
        <v>31</v>
      </c>
      <c r="D24" s="9" t="str">
        <f aca="false">IF(A24&lt;01_Inputs!$B$75,"현재 (1대)",IF(A24&lt;=01_Inputs!$B$76,"공사",IF(A24&lt;01_Inputs!$B$78,"시운전",IF(AND(ISNUMBER(01_Inputs!$B$72),A24&gt;=01_Inputs!$B$72),"개선 (2대·105℃)","개선 (2대)"))))</f>
        <v>개선 (2대)</v>
      </c>
      <c r="E24" s="16" t="n">
        <f aca="false">IF(LEFT(D24,2)="개선",01_Inputs!$B$8,01_Inputs!$B$7)</f>
        <v>2</v>
      </c>
      <c r="F24" s="68"/>
      <c r="G24" s="15" t="n">
        <f aca="false">IF(D24="공사",IF(ISNUMBER(01_Inputs!$B$80),01_Inputs!$B$80,"미확인"),IF(D24="시운전","시운전",E24*C24*24-N(F24)))</f>
        <v>1488</v>
      </c>
      <c r="H24" s="27" t="str">
        <f aca="false">IF(OR(D24="현재 (1대)",D24="공사"),03_Capacity_Model!$B$80,IF(D24="개선 (2대)",IF(ISNUMBER(01_Inputs!$B$83),01_Inputs!$B$83,"미확인"),IF(D24="개선 (2대·105℃)",IF(ISNUMBER(01_Inputs!$B$73),01_Inputs!$B$73,"미확인"),"-")))</f>
        <v>미확인</v>
      </c>
      <c r="I24" s="15" t="n">
        <f aca="false">IF(AND(ISNUMBER(K23),D23=D24),K23,0)</f>
        <v>0</v>
      </c>
      <c r="J24" s="48" t="str">
        <f aca="false">IF(D24="시운전",IF(ISNUMBER(01_Inputs!$B$81),01_Inputs!$B$81,"미확인"),IF(AND(ISNUMBER(G24),ISNUMBER(H24)),INT((G24+I24)/H24),"미확인"))</f>
        <v>미확인</v>
      </c>
      <c r="K24" s="15" t="str">
        <f aca="false">IF(AND(ISNUMBER(G24),ISNUMBER(H24),ISNUMBER(J24)),G24+I24-J24*H24,"")</f>
        <v/>
      </c>
      <c r="L24" s="57" t="str">
        <f aca="false">IF(COUNTIFS(02_Batch_Raw!$E$6:$E$61,"&gt;="&amp;A24,02_Batch_Raw!$E$6:$E$61,"&lt;="&amp;EOMONTH(A24,0))=0,"",COUNTIFS(02_Batch_Raw!$E$6:$E$61,"&gt;="&amp;A24,02_Batch_Raw!$E$6:$E$61,"&lt;="&amp;EOMONTH(A24,0)))</f>
        <v/>
      </c>
      <c r="M24" s="57" t="str">
        <f aca="false">""</f>
        <v/>
      </c>
      <c r="N24" s="69"/>
      <c r="O24" s="16" t="str">
        <f aca="false">IF(ISNUMBER(N24),N24,J24)</f>
        <v>미확인</v>
      </c>
      <c r="P24" s="13" t="str">
        <f aca="false">IF(ISNUMBER(N24),"실적 입력",IF(ISNUMBER(J24),"추정 생산 가능량","미확인"))</f>
        <v>미확인</v>
      </c>
      <c r="Q24" s="22" t="n">
        <f aca="false">IF(LEFT(D24,2)="개선",IF(ISNUMBER(01_Inputs!$B$61),01_Inputs!$B$61,01_Inputs!$B$49),01_Inputs!$B$49)</f>
        <v>190</v>
      </c>
      <c r="R24" s="22" t="str">
        <f aca="false">IF(ISNUMBER(O24),O24*Q24,"미확인")</f>
        <v>미확인</v>
      </c>
      <c r="S24" s="45" t="str">
        <f aca="false">IF(ISNUMBER(R24),R24*IF(ISNUMBER(01_Inputs!$B$106),01_Inputs!$B$106,1),"미확인")</f>
        <v>미확인</v>
      </c>
      <c r="T24" s="37" t="n">
        <f aca="false">IF(A24&lt;01_Inputs!$B$78,01_Inputs!$B$63,IF(D24="개선 (2대·105℃)",01_Inputs!$B$68,01_Inputs!$B$65))*1000/12</f>
        <v>3933.33333333333</v>
      </c>
      <c r="U24" s="70" t="n">
        <f aca="false">IF(ISNUMBER(01_Inputs!$I$130),01_Inputs!$I$130,"미제시")</f>
        <v>1893.33333333333</v>
      </c>
      <c r="V24" s="70" t="n">
        <f aca="false">IF(ISNUMBER(01_Inputs!$I$131),01_Inputs!$I$131,"미제시")</f>
        <v>780</v>
      </c>
      <c r="W24" s="70" t="n">
        <f aca="false">IF(ISNUMBER(01_Inputs!$I$132),01_Inputs!$I$132,"미제시")</f>
        <v>1120</v>
      </c>
      <c r="X24" s="70" t="n">
        <f aca="false">IF(ISNUMBER(01_Inputs!$I$133),01_Inputs!$I$133,"미제시")</f>
        <v>300</v>
      </c>
      <c r="Y24" s="35" t="n">
        <f aca="false">SUM(U24:X24)</f>
        <v>4093.33333333333</v>
      </c>
      <c r="Z24" s="64" t="n">
        <f aca="false">Y24/Q24</f>
        <v>21.5438596491228</v>
      </c>
      <c r="AA24" s="64" t="n">
        <f aca="false">(N(U24)+N(V24))/01_Inputs!$B$42</f>
        <v>133.666666666667</v>
      </c>
      <c r="AB24" s="15" t="n">
        <f aca="false">AA24*01_Inputs!$B$28</f>
        <v>267.333333333333</v>
      </c>
      <c r="AC24" s="15" t="n">
        <f aca="false">AA24/01_Inputs!$B$29*01_Inputs!$B$32</f>
        <v>29.7037037037037</v>
      </c>
      <c r="AD24" s="64" t="n">
        <f aca="false">N(W24)/01_Inputs!$B$43</f>
        <v>8</v>
      </c>
      <c r="AE24" s="64" t="n">
        <f aca="false">N(X24)/01_Inputs!$B$44</f>
        <v>2</v>
      </c>
      <c r="AF24" s="13" t="str">
        <f aca="false">IF(AD24=0,"-",IF(A24&gt;=01_Inputs!$B$47,"ARS","수동"))</f>
        <v>ARS</v>
      </c>
      <c r="AG24" s="13" t="str">
        <f aca="false">IF(AE24=0,"-",IF(A24&gt;=01_Inputs!$B$46,"ARS","수동"))</f>
        <v>ARS</v>
      </c>
      <c r="AH24" s="15" t="str">
        <f aca="false">IF(AD24=0,0,IF(AF24="수동",AD24*01_Inputs!$B$34,IF(ISNUMBER(01_Inputs!$B$36),AD24*01_Inputs!$B$36,"미확인")))</f>
        <v>미확인</v>
      </c>
      <c r="AI24" s="15" t="str">
        <f aca="false">IF(AE24=0,0,IF(AG24="수동",IF(ISNUMBER(01_Inputs!$B$35),AE24*01_Inputs!$B$35,"미확인"),IF(ISNUMBER(01_Inputs!$B$37),AE24*01_Inputs!$B$37,"미확인")))</f>
        <v>미확인</v>
      </c>
      <c r="AJ24" s="15" t="str">
        <f aca="false">IF(AND(ISNUMBER(AH24),ISNUMBER(AI24)),AH24+AI24,"부분 "&amp;TEXT(N(AH24)+N(AI24),"0")&amp;" h + 미확인")</f>
        <v>부분 0 h + 미확인</v>
      </c>
      <c r="AK24" s="15" t="n">
        <f aca="false">(AD24+AE24)*01_Inputs!$B$38</f>
        <v>80</v>
      </c>
      <c r="AL24" s="15" t="n">
        <f aca="false">(AD24+AE24)*01_Inputs!$B$33</f>
        <v>20</v>
      </c>
      <c r="AM24" s="15" t="str">
        <f aca="false">IF(ISNUMBER(01_Inputs!$B$87),01_Inputs!$B$87,"미확인")</f>
        <v>미확인</v>
      </c>
      <c r="AN24" s="15" t="str">
        <f aca="false">IF(ISNUMBER(AM24),AM24-AB24,"미확인")</f>
        <v>미확인</v>
      </c>
      <c r="AO24" s="37" t="n">
        <f aca="false">T24-Y24</f>
        <v>-160</v>
      </c>
      <c r="AP24" s="37" t="str">
        <f aca="false">IF(ISNUMBER(S24),S24-Y24,"미확인")</f>
        <v>미확인</v>
      </c>
      <c r="AQ24" s="37" t="str">
        <f aca="false">IF(AND(ISNUMBER(AP24),ISNUMBER(AQ23)),AQ23+AP24,"보류")</f>
        <v>보류</v>
      </c>
      <c r="AR24" s="37" t="str">
        <f aca="false">IF(ISNUMBER(AZ23),AZ23,"보류")</f>
        <v>보류</v>
      </c>
      <c r="AS24" s="37" t="str">
        <f aca="false">IF(AND(ISNUMBER(AR24),ISNUMBER(S24)),AR24+S24,"보류")</f>
        <v>보류</v>
      </c>
      <c r="AT24" s="37" t="str">
        <f aca="false">IF(ISNUMBER(AS24),MIN(AS24,U24),"보류")</f>
        <v>보류</v>
      </c>
      <c r="AU24" s="37" t="str">
        <f aca="false">IF(ISNUMBER(AS24),MIN(AS24-AT24,N(01_Inputs!$B$104)),"보류")</f>
        <v>보류</v>
      </c>
      <c r="AV24" s="37" t="str">
        <f aca="false">IF(ISNUMBER(AS24),IF((N(V24)+N(W24)+N(X24))=0,0,MIN(N(V24),(AS24-AT24-AU24)*N(V24)/(N(V24)+N(W24)+N(X24)))),"보류")</f>
        <v>보류</v>
      </c>
      <c r="AW24" s="37" t="str">
        <f aca="false">IF(ISNUMBER(AS24),IF((N(V24)+N(W24)+N(X24))=0,0,MIN(N(W24),(AS24-AT24-AU24)*N(W24)/(N(V24)+N(W24)+N(X24)))),"보류")</f>
        <v>보류</v>
      </c>
      <c r="AX24" s="37" t="str">
        <f aca="false">IF(ISNUMBER(AS24),IF((N(V24)+N(W24)+N(X24))=0,0,MIN(N(X24),(AS24-AT24-AU24)*N(X24)/(N(V24)+N(W24)+N(X24)))),"보류")</f>
        <v>보류</v>
      </c>
      <c r="AY24" s="37" t="str">
        <f aca="false">IF(ISNUMBER(AS24),Y24-AT24-AV24-AW24-AX24,"보류")</f>
        <v>보류</v>
      </c>
      <c r="AZ24" s="35" t="str">
        <f aca="false">IF(ISNUMBER(AS24),AS24-AT24-AV24-AW24-AX24,"보류")</f>
        <v>보류</v>
      </c>
      <c r="BA24" s="37" t="str">
        <f aca="false">IF(ISNUMBER(01_Inputs!$B$105),01_Inputs!$B$105,"미입력")</f>
        <v>미입력</v>
      </c>
      <c r="BB24" s="37" t="str">
        <f aca="false">IF(AND(ISNUMBER(AR24),ISNUMBER(BA24)),Y24+BA24-AR24,"보류")</f>
        <v>보류</v>
      </c>
      <c r="BC24" s="37" t="str">
        <f aca="false">IF(AND(ISNUMBER(AZ24),ISNUMBER(BA24)),AZ24-BA24,"보류")</f>
        <v>보류</v>
      </c>
      <c r="BD24" s="13" t="str">
        <f aca="false">IF(ISNUMBER(AZ24),"계산 가능",IF(ISNUMBER(AP24),"부분 (재고 입력 필요)","보류 (생산 조건 미확인)"))</f>
        <v>보류 (생산 조건 미확인)</v>
      </c>
      <c r="BE24" s="9" t="str">
        <f aca="false">IF(D24="공사",IF(ISNUMBER(01_Inputs!$B$80),"","공사 중 가용시간·"),"")&amp;IF(D24="시운전",IF(ISNUMBER(01_Inputs!$B$81),"","시운전 양품·"),"")&amp;IF(D24="개선 (2대)",IF(ISNUMBER(01_Inputs!$B$83),"","설비별 간격·"),"")&amp;IF(D24="개선 (2대·105℃)",IF(ISNUMBER(01_Inputs!$B$73),"","105℃ 간격·"),"")&amp;IF(ISNUMBER(N24),"","실적·")&amp;IF(ISNUMBER(01_Inputs!$B$106),"","양품률(100% 상한)·")&amp;IF(COUNTIF(U24:X24,"미제시")&gt;0,"고객 물량 미제시·","")&amp;IF(ISNUMBER(AJ24),"","200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25" customFormat="false" ht="15" hidden="false" customHeight="false" outlineLevel="0" collapsed="false">
      <c r="A25" s="67" t="n">
        <v>46600</v>
      </c>
      <c r="B25" s="16" t="n">
        <f aca="false">YEAR(A25)</f>
        <v>2027</v>
      </c>
      <c r="C25" s="16" t="n">
        <f aca="false">DAY(EOMONTH(A25,0))</f>
        <v>31</v>
      </c>
      <c r="D25" s="9" t="str">
        <f aca="false">IF(A25&lt;01_Inputs!$B$75,"현재 (1대)",IF(A25&lt;=01_Inputs!$B$76,"공사",IF(A25&lt;01_Inputs!$B$78,"시운전",IF(AND(ISNUMBER(01_Inputs!$B$72),A25&gt;=01_Inputs!$B$72),"개선 (2대·105℃)","개선 (2대)"))))</f>
        <v>개선 (2대)</v>
      </c>
      <c r="E25" s="16" t="n">
        <f aca="false">IF(LEFT(D25,2)="개선",01_Inputs!$B$8,01_Inputs!$B$7)</f>
        <v>2</v>
      </c>
      <c r="F25" s="68"/>
      <c r="G25" s="15" t="n">
        <f aca="false">IF(D25="공사",IF(ISNUMBER(01_Inputs!$B$80),01_Inputs!$B$80,"미확인"),IF(D25="시운전","시운전",E25*C25*24-N(F25)))</f>
        <v>1488</v>
      </c>
      <c r="H25" s="27" t="str">
        <f aca="false">IF(OR(D25="현재 (1대)",D25="공사"),03_Capacity_Model!$B$80,IF(D25="개선 (2대)",IF(ISNUMBER(01_Inputs!$B$83),01_Inputs!$B$83,"미확인"),IF(D25="개선 (2대·105℃)",IF(ISNUMBER(01_Inputs!$B$73),01_Inputs!$B$73,"미확인"),"-")))</f>
        <v>미확인</v>
      </c>
      <c r="I25" s="15" t="n">
        <f aca="false">IF(AND(ISNUMBER(K24),D24=D25),K24,0)</f>
        <v>0</v>
      </c>
      <c r="J25" s="48" t="str">
        <f aca="false">IF(D25="시운전",IF(ISNUMBER(01_Inputs!$B$81),01_Inputs!$B$81,"미확인"),IF(AND(ISNUMBER(G25),ISNUMBER(H25)),INT((G25+I25)/H25),"미확인"))</f>
        <v>미확인</v>
      </c>
      <c r="K25" s="15" t="str">
        <f aca="false">IF(AND(ISNUMBER(G25),ISNUMBER(H25),ISNUMBER(J25)),G25+I25-J25*H25,"")</f>
        <v/>
      </c>
      <c r="L25" s="57" t="str">
        <f aca="false">IF(COUNTIFS(02_Batch_Raw!$E$6:$E$61,"&gt;="&amp;A25,02_Batch_Raw!$E$6:$E$61,"&lt;="&amp;EOMONTH(A25,0))=0,"",COUNTIFS(02_Batch_Raw!$E$6:$E$61,"&gt;="&amp;A25,02_Batch_Raw!$E$6:$E$61,"&lt;="&amp;EOMONTH(A25,0)))</f>
        <v/>
      </c>
      <c r="M25" s="57" t="str">
        <f aca="false">""</f>
        <v/>
      </c>
      <c r="N25" s="69"/>
      <c r="O25" s="16" t="str">
        <f aca="false">IF(ISNUMBER(N25),N25,J25)</f>
        <v>미확인</v>
      </c>
      <c r="P25" s="13" t="str">
        <f aca="false">IF(ISNUMBER(N25),"실적 입력",IF(ISNUMBER(J25),"추정 생산 가능량","미확인"))</f>
        <v>미확인</v>
      </c>
      <c r="Q25" s="22" t="n">
        <f aca="false">IF(LEFT(D25,2)="개선",IF(ISNUMBER(01_Inputs!$B$61),01_Inputs!$B$61,01_Inputs!$B$49),01_Inputs!$B$49)</f>
        <v>190</v>
      </c>
      <c r="R25" s="22" t="str">
        <f aca="false">IF(ISNUMBER(O25),O25*Q25,"미확인")</f>
        <v>미확인</v>
      </c>
      <c r="S25" s="45" t="str">
        <f aca="false">IF(ISNUMBER(R25),R25*IF(ISNUMBER(01_Inputs!$B$106),01_Inputs!$B$106,1),"미확인")</f>
        <v>미확인</v>
      </c>
      <c r="T25" s="37" t="n">
        <f aca="false">IF(A25&lt;01_Inputs!$B$78,01_Inputs!$B$63,IF(D25="개선 (2대·105℃)",01_Inputs!$B$68,01_Inputs!$B$65))*1000/12</f>
        <v>3933.33333333333</v>
      </c>
      <c r="U25" s="70" t="n">
        <f aca="false">IF(ISNUMBER(01_Inputs!$J$130),01_Inputs!$J$130,"미제시")</f>
        <v>1893.33333333333</v>
      </c>
      <c r="V25" s="70" t="n">
        <f aca="false">IF(ISNUMBER(01_Inputs!$J$131),01_Inputs!$J$131,"미제시")</f>
        <v>780</v>
      </c>
      <c r="W25" s="70" t="n">
        <f aca="false">IF(ISNUMBER(01_Inputs!$J$132),01_Inputs!$J$132,"미제시")</f>
        <v>1120</v>
      </c>
      <c r="X25" s="70" t="n">
        <f aca="false">IF(ISNUMBER(01_Inputs!$J$133),01_Inputs!$J$133,"미제시")</f>
        <v>300</v>
      </c>
      <c r="Y25" s="35" t="n">
        <f aca="false">SUM(U25:X25)</f>
        <v>4093.33333333333</v>
      </c>
      <c r="Z25" s="64" t="n">
        <f aca="false">Y25/Q25</f>
        <v>21.5438596491228</v>
      </c>
      <c r="AA25" s="64" t="n">
        <f aca="false">(N(U25)+N(V25))/01_Inputs!$B$42</f>
        <v>133.666666666667</v>
      </c>
      <c r="AB25" s="15" t="n">
        <f aca="false">AA25*01_Inputs!$B$28</f>
        <v>267.333333333333</v>
      </c>
      <c r="AC25" s="15" t="n">
        <f aca="false">AA25/01_Inputs!$B$29*01_Inputs!$B$32</f>
        <v>29.7037037037037</v>
      </c>
      <c r="AD25" s="64" t="n">
        <f aca="false">N(W25)/01_Inputs!$B$43</f>
        <v>8</v>
      </c>
      <c r="AE25" s="64" t="n">
        <f aca="false">N(X25)/01_Inputs!$B$44</f>
        <v>2</v>
      </c>
      <c r="AF25" s="13" t="str">
        <f aca="false">IF(AD25=0,"-",IF(A25&gt;=01_Inputs!$B$47,"ARS","수동"))</f>
        <v>ARS</v>
      </c>
      <c r="AG25" s="13" t="str">
        <f aca="false">IF(AE25=0,"-",IF(A25&gt;=01_Inputs!$B$46,"ARS","수동"))</f>
        <v>ARS</v>
      </c>
      <c r="AH25" s="15" t="str">
        <f aca="false">IF(AD25=0,0,IF(AF25="수동",AD25*01_Inputs!$B$34,IF(ISNUMBER(01_Inputs!$B$36),AD25*01_Inputs!$B$36,"미확인")))</f>
        <v>미확인</v>
      </c>
      <c r="AI25" s="15" t="str">
        <f aca="false">IF(AE25=0,0,IF(AG25="수동",IF(ISNUMBER(01_Inputs!$B$35),AE25*01_Inputs!$B$35,"미확인"),IF(ISNUMBER(01_Inputs!$B$37),AE25*01_Inputs!$B$37,"미확인")))</f>
        <v>미확인</v>
      </c>
      <c r="AJ25" s="15" t="str">
        <f aca="false">IF(AND(ISNUMBER(AH25),ISNUMBER(AI25)),AH25+AI25,"부분 "&amp;TEXT(N(AH25)+N(AI25),"0")&amp;" h + 미확인")</f>
        <v>부분 0 h + 미확인</v>
      </c>
      <c r="AK25" s="15" t="n">
        <f aca="false">(AD25+AE25)*01_Inputs!$B$38</f>
        <v>80</v>
      </c>
      <c r="AL25" s="15" t="n">
        <f aca="false">(AD25+AE25)*01_Inputs!$B$33</f>
        <v>20</v>
      </c>
      <c r="AM25" s="15" t="str">
        <f aca="false">IF(ISNUMBER(01_Inputs!$B$87),01_Inputs!$B$87,"미확인")</f>
        <v>미확인</v>
      </c>
      <c r="AN25" s="15" t="str">
        <f aca="false">IF(ISNUMBER(AM25),AM25-AB25,"미확인")</f>
        <v>미확인</v>
      </c>
      <c r="AO25" s="37" t="n">
        <f aca="false">T25-Y25</f>
        <v>-160</v>
      </c>
      <c r="AP25" s="37" t="str">
        <f aca="false">IF(ISNUMBER(S25),S25-Y25,"미확인")</f>
        <v>미확인</v>
      </c>
      <c r="AQ25" s="37" t="str">
        <f aca="false">IF(AND(ISNUMBER(AP25),ISNUMBER(AQ24)),AQ24+AP25,"보류")</f>
        <v>보류</v>
      </c>
      <c r="AR25" s="37" t="str">
        <f aca="false">IF(ISNUMBER(AZ24),AZ24,"보류")</f>
        <v>보류</v>
      </c>
      <c r="AS25" s="37" t="str">
        <f aca="false">IF(AND(ISNUMBER(AR25),ISNUMBER(S25)),AR25+S25,"보류")</f>
        <v>보류</v>
      </c>
      <c r="AT25" s="37" t="str">
        <f aca="false">IF(ISNUMBER(AS25),MIN(AS25,U25),"보류")</f>
        <v>보류</v>
      </c>
      <c r="AU25" s="37" t="str">
        <f aca="false">IF(ISNUMBER(AS25),MIN(AS25-AT25,N(01_Inputs!$B$104)),"보류")</f>
        <v>보류</v>
      </c>
      <c r="AV25" s="37" t="str">
        <f aca="false">IF(ISNUMBER(AS25),IF((N(V25)+N(W25)+N(X25))=0,0,MIN(N(V25),(AS25-AT25-AU25)*N(V25)/(N(V25)+N(W25)+N(X25)))),"보류")</f>
        <v>보류</v>
      </c>
      <c r="AW25" s="37" t="str">
        <f aca="false">IF(ISNUMBER(AS25),IF((N(V25)+N(W25)+N(X25))=0,0,MIN(N(W25),(AS25-AT25-AU25)*N(W25)/(N(V25)+N(W25)+N(X25)))),"보류")</f>
        <v>보류</v>
      </c>
      <c r="AX25" s="37" t="str">
        <f aca="false">IF(ISNUMBER(AS25),IF((N(V25)+N(W25)+N(X25))=0,0,MIN(N(X25),(AS25-AT25-AU25)*N(X25)/(N(V25)+N(W25)+N(X25)))),"보류")</f>
        <v>보류</v>
      </c>
      <c r="AY25" s="37" t="str">
        <f aca="false">IF(ISNUMBER(AS25),Y25-AT25-AV25-AW25-AX25,"보류")</f>
        <v>보류</v>
      </c>
      <c r="AZ25" s="35" t="str">
        <f aca="false">IF(ISNUMBER(AS25),AS25-AT25-AV25-AW25-AX25,"보류")</f>
        <v>보류</v>
      </c>
      <c r="BA25" s="37" t="str">
        <f aca="false">IF(ISNUMBER(01_Inputs!$B$105),01_Inputs!$B$105,"미입력")</f>
        <v>미입력</v>
      </c>
      <c r="BB25" s="37" t="str">
        <f aca="false">IF(AND(ISNUMBER(AR25),ISNUMBER(BA25)),Y25+BA25-AR25,"보류")</f>
        <v>보류</v>
      </c>
      <c r="BC25" s="37" t="str">
        <f aca="false">IF(AND(ISNUMBER(AZ25),ISNUMBER(BA25)),AZ25-BA25,"보류")</f>
        <v>보류</v>
      </c>
      <c r="BD25" s="13" t="str">
        <f aca="false">IF(ISNUMBER(AZ25),"계산 가능",IF(ISNUMBER(AP25),"부분 (재고 입력 필요)","보류 (생산 조건 미확인)"))</f>
        <v>보류 (생산 조건 미확인)</v>
      </c>
      <c r="BE25" s="9" t="str">
        <f aca="false">IF(D25="공사",IF(ISNUMBER(01_Inputs!$B$80),"","공사 중 가용시간·"),"")&amp;IF(D25="시운전",IF(ISNUMBER(01_Inputs!$B$81),"","시운전 양품·"),"")&amp;IF(D25="개선 (2대)",IF(ISNUMBER(01_Inputs!$B$83),"","설비별 간격·"),"")&amp;IF(D25="개선 (2대·105℃)",IF(ISNUMBER(01_Inputs!$B$73),"","105℃ 간격·"),"")&amp;IF(ISNUMBER(N25),"","실적·")&amp;IF(ISNUMBER(01_Inputs!$B$106),"","양품률(100% 상한)·")&amp;IF(COUNTIF(U25:X25,"미제시")&gt;0,"고객 물량 미제시·","")&amp;IF(ISNUMBER(AJ25),"","200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26" customFormat="false" ht="15" hidden="false" customHeight="false" outlineLevel="0" collapsed="false">
      <c r="A26" s="67" t="n">
        <v>46631</v>
      </c>
      <c r="B26" s="16" t="n">
        <f aca="false">YEAR(A26)</f>
        <v>2027</v>
      </c>
      <c r="C26" s="16" t="n">
        <f aca="false">DAY(EOMONTH(A26,0))</f>
        <v>30</v>
      </c>
      <c r="D26" s="9" t="str">
        <f aca="false">IF(A26&lt;01_Inputs!$B$75,"현재 (1대)",IF(A26&lt;=01_Inputs!$B$76,"공사",IF(A26&lt;01_Inputs!$B$78,"시운전",IF(AND(ISNUMBER(01_Inputs!$B$72),A26&gt;=01_Inputs!$B$72),"개선 (2대·105℃)","개선 (2대)"))))</f>
        <v>개선 (2대)</v>
      </c>
      <c r="E26" s="16" t="n">
        <f aca="false">IF(LEFT(D26,2)="개선",01_Inputs!$B$8,01_Inputs!$B$7)</f>
        <v>2</v>
      </c>
      <c r="F26" s="68"/>
      <c r="G26" s="15" t="n">
        <f aca="false">IF(D26="공사",IF(ISNUMBER(01_Inputs!$B$80),01_Inputs!$B$80,"미확인"),IF(D26="시운전","시운전",E26*C26*24-N(F26)))</f>
        <v>1440</v>
      </c>
      <c r="H26" s="27" t="str">
        <f aca="false">IF(OR(D26="현재 (1대)",D26="공사"),03_Capacity_Model!$B$80,IF(D26="개선 (2대)",IF(ISNUMBER(01_Inputs!$B$83),01_Inputs!$B$83,"미확인"),IF(D26="개선 (2대·105℃)",IF(ISNUMBER(01_Inputs!$B$73),01_Inputs!$B$73,"미확인"),"-")))</f>
        <v>미확인</v>
      </c>
      <c r="I26" s="15" t="n">
        <f aca="false">IF(AND(ISNUMBER(K25),D25=D26),K25,0)</f>
        <v>0</v>
      </c>
      <c r="J26" s="48" t="str">
        <f aca="false">IF(D26="시운전",IF(ISNUMBER(01_Inputs!$B$81),01_Inputs!$B$81,"미확인"),IF(AND(ISNUMBER(G26),ISNUMBER(H26)),INT((G26+I26)/H26),"미확인"))</f>
        <v>미확인</v>
      </c>
      <c r="K26" s="15" t="str">
        <f aca="false">IF(AND(ISNUMBER(G26),ISNUMBER(H26),ISNUMBER(J26)),G26+I26-J26*H26,"")</f>
        <v/>
      </c>
      <c r="L26" s="57" t="str">
        <f aca="false">IF(COUNTIFS(02_Batch_Raw!$E$6:$E$61,"&gt;="&amp;A26,02_Batch_Raw!$E$6:$E$61,"&lt;="&amp;EOMONTH(A26,0))=0,"",COUNTIFS(02_Batch_Raw!$E$6:$E$61,"&gt;="&amp;A26,02_Batch_Raw!$E$6:$E$61,"&lt;="&amp;EOMONTH(A26,0)))</f>
        <v/>
      </c>
      <c r="M26" s="57" t="str">
        <f aca="false">""</f>
        <v/>
      </c>
      <c r="N26" s="69"/>
      <c r="O26" s="16" t="str">
        <f aca="false">IF(ISNUMBER(N26),N26,J26)</f>
        <v>미확인</v>
      </c>
      <c r="P26" s="13" t="str">
        <f aca="false">IF(ISNUMBER(N26),"실적 입력",IF(ISNUMBER(J26),"추정 생산 가능량","미확인"))</f>
        <v>미확인</v>
      </c>
      <c r="Q26" s="22" t="n">
        <f aca="false">IF(LEFT(D26,2)="개선",IF(ISNUMBER(01_Inputs!$B$61),01_Inputs!$B$61,01_Inputs!$B$49),01_Inputs!$B$49)</f>
        <v>190</v>
      </c>
      <c r="R26" s="22" t="str">
        <f aca="false">IF(ISNUMBER(O26),O26*Q26,"미확인")</f>
        <v>미확인</v>
      </c>
      <c r="S26" s="45" t="str">
        <f aca="false">IF(ISNUMBER(R26),R26*IF(ISNUMBER(01_Inputs!$B$106),01_Inputs!$B$106,1),"미확인")</f>
        <v>미확인</v>
      </c>
      <c r="T26" s="37" t="n">
        <f aca="false">IF(A26&lt;01_Inputs!$B$78,01_Inputs!$B$63,IF(D26="개선 (2대·105℃)",01_Inputs!$B$68,01_Inputs!$B$65))*1000/12</f>
        <v>3933.33333333333</v>
      </c>
      <c r="U26" s="70" t="n">
        <f aca="false">IF(ISNUMBER(01_Inputs!$K$130),01_Inputs!$K$130,"미제시")</f>
        <v>1893.33333333333</v>
      </c>
      <c r="V26" s="70" t="n">
        <f aca="false">IF(ISNUMBER(01_Inputs!$K$131),01_Inputs!$K$131,"미제시")</f>
        <v>780</v>
      </c>
      <c r="W26" s="70" t="n">
        <f aca="false">IF(ISNUMBER(01_Inputs!$K$132),01_Inputs!$K$132,"미제시")</f>
        <v>1120</v>
      </c>
      <c r="X26" s="70" t="n">
        <f aca="false">IF(ISNUMBER(01_Inputs!$K$133),01_Inputs!$K$133,"미제시")</f>
        <v>300</v>
      </c>
      <c r="Y26" s="35" t="n">
        <f aca="false">SUM(U26:X26)</f>
        <v>4093.33333333333</v>
      </c>
      <c r="Z26" s="64" t="n">
        <f aca="false">Y26/Q26</f>
        <v>21.5438596491228</v>
      </c>
      <c r="AA26" s="64" t="n">
        <f aca="false">(N(U26)+N(V26))/01_Inputs!$B$42</f>
        <v>133.666666666667</v>
      </c>
      <c r="AB26" s="15" t="n">
        <f aca="false">AA26*01_Inputs!$B$28</f>
        <v>267.333333333333</v>
      </c>
      <c r="AC26" s="15" t="n">
        <f aca="false">AA26/01_Inputs!$B$29*01_Inputs!$B$32</f>
        <v>29.7037037037037</v>
      </c>
      <c r="AD26" s="64" t="n">
        <f aca="false">N(W26)/01_Inputs!$B$43</f>
        <v>8</v>
      </c>
      <c r="AE26" s="64" t="n">
        <f aca="false">N(X26)/01_Inputs!$B$44</f>
        <v>2</v>
      </c>
      <c r="AF26" s="13" t="str">
        <f aca="false">IF(AD26=0,"-",IF(A26&gt;=01_Inputs!$B$47,"ARS","수동"))</f>
        <v>ARS</v>
      </c>
      <c r="AG26" s="13" t="str">
        <f aca="false">IF(AE26=0,"-",IF(A26&gt;=01_Inputs!$B$46,"ARS","수동"))</f>
        <v>ARS</v>
      </c>
      <c r="AH26" s="15" t="str">
        <f aca="false">IF(AD26=0,0,IF(AF26="수동",AD26*01_Inputs!$B$34,IF(ISNUMBER(01_Inputs!$B$36),AD26*01_Inputs!$B$36,"미확인")))</f>
        <v>미확인</v>
      </c>
      <c r="AI26" s="15" t="str">
        <f aca="false">IF(AE26=0,0,IF(AG26="수동",IF(ISNUMBER(01_Inputs!$B$35),AE26*01_Inputs!$B$35,"미확인"),IF(ISNUMBER(01_Inputs!$B$37),AE26*01_Inputs!$B$37,"미확인")))</f>
        <v>미확인</v>
      </c>
      <c r="AJ26" s="15" t="str">
        <f aca="false">IF(AND(ISNUMBER(AH26),ISNUMBER(AI26)),AH26+AI26,"부분 "&amp;TEXT(N(AH26)+N(AI26),"0")&amp;" h + 미확인")</f>
        <v>부분 0 h + 미확인</v>
      </c>
      <c r="AK26" s="15" t="n">
        <f aca="false">(AD26+AE26)*01_Inputs!$B$38</f>
        <v>80</v>
      </c>
      <c r="AL26" s="15" t="n">
        <f aca="false">(AD26+AE26)*01_Inputs!$B$33</f>
        <v>20</v>
      </c>
      <c r="AM26" s="15" t="str">
        <f aca="false">IF(ISNUMBER(01_Inputs!$B$87),01_Inputs!$B$87,"미확인")</f>
        <v>미확인</v>
      </c>
      <c r="AN26" s="15" t="str">
        <f aca="false">IF(ISNUMBER(AM26),AM26-AB26,"미확인")</f>
        <v>미확인</v>
      </c>
      <c r="AO26" s="37" t="n">
        <f aca="false">T26-Y26</f>
        <v>-160</v>
      </c>
      <c r="AP26" s="37" t="str">
        <f aca="false">IF(ISNUMBER(S26),S26-Y26,"미확인")</f>
        <v>미확인</v>
      </c>
      <c r="AQ26" s="37" t="str">
        <f aca="false">IF(AND(ISNUMBER(AP26),ISNUMBER(AQ25)),AQ25+AP26,"보류")</f>
        <v>보류</v>
      </c>
      <c r="AR26" s="37" t="str">
        <f aca="false">IF(ISNUMBER(AZ25),AZ25,"보류")</f>
        <v>보류</v>
      </c>
      <c r="AS26" s="37" t="str">
        <f aca="false">IF(AND(ISNUMBER(AR26),ISNUMBER(S26)),AR26+S26,"보류")</f>
        <v>보류</v>
      </c>
      <c r="AT26" s="37" t="str">
        <f aca="false">IF(ISNUMBER(AS26),MIN(AS26,U26),"보류")</f>
        <v>보류</v>
      </c>
      <c r="AU26" s="37" t="str">
        <f aca="false">IF(ISNUMBER(AS26),MIN(AS26-AT26,N(01_Inputs!$B$104)),"보류")</f>
        <v>보류</v>
      </c>
      <c r="AV26" s="37" t="str">
        <f aca="false">IF(ISNUMBER(AS26),IF((N(V26)+N(W26)+N(X26))=0,0,MIN(N(V26),(AS26-AT26-AU26)*N(V26)/(N(V26)+N(W26)+N(X26)))),"보류")</f>
        <v>보류</v>
      </c>
      <c r="AW26" s="37" t="str">
        <f aca="false">IF(ISNUMBER(AS26),IF((N(V26)+N(W26)+N(X26))=0,0,MIN(N(W26),(AS26-AT26-AU26)*N(W26)/(N(V26)+N(W26)+N(X26)))),"보류")</f>
        <v>보류</v>
      </c>
      <c r="AX26" s="37" t="str">
        <f aca="false">IF(ISNUMBER(AS26),IF((N(V26)+N(W26)+N(X26))=0,0,MIN(N(X26),(AS26-AT26-AU26)*N(X26)/(N(V26)+N(W26)+N(X26)))),"보류")</f>
        <v>보류</v>
      </c>
      <c r="AY26" s="37" t="str">
        <f aca="false">IF(ISNUMBER(AS26),Y26-AT26-AV26-AW26-AX26,"보류")</f>
        <v>보류</v>
      </c>
      <c r="AZ26" s="35" t="str">
        <f aca="false">IF(ISNUMBER(AS26),AS26-AT26-AV26-AW26-AX26,"보류")</f>
        <v>보류</v>
      </c>
      <c r="BA26" s="37" t="str">
        <f aca="false">IF(ISNUMBER(01_Inputs!$B$105),01_Inputs!$B$105,"미입력")</f>
        <v>미입력</v>
      </c>
      <c r="BB26" s="37" t="str">
        <f aca="false">IF(AND(ISNUMBER(AR26),ISNUMBER(BA26)),Y26+BA26-AR26,"보류")</f>
        <v>보류</v>
      </c>
      <c r="BC26" s="37" t="str">
        <f aca="false">IF(AND(ISNUMBER(AZ26),ISNUMBER(BA26)),AZ26-BA26,"보류")</f>
        <v>보류</v>
      </c>
      <c r="BD26" s="13" t="str">
        <f aca="false">IF(ISNUMBER(AZ26),"계산 가능",IF(ISNUMBER(AP26),"부분 (재고 입력 필요)","보류 (생산 조건 미확인)"))</f>
        <v>보류 (생산 조건 미확인)</v>
      </c>
      <c r="BE26" s="9" t="str">
        <f aca="false">IF(D26="공사",IF(ISNUMBER(01_Inputs!$B$80),"","공사 중 가용시간·"),"")&amp;IF(D26="시운전",IF(ISNUMBER(01_Inputs!$B$81),"","시운전 양품·"),"")&amp;IF(D26="개선 (2대)",IF(ISNUMBER(01_Inputs!$B$83),"","설비별 간격·"),"")&amp;IF(D26="개선 (2대·105℃)",IF(ISNUMBER(01_Inputs!$B$73),"","105℃ 간격·"),"")&amp;IF(ISNUMBER(N26),"","실적·")&amp;IF(ISNUMBER(01_Inputs!$B$106),"","양품률(100% 상한)·")&amp;IF(COUNTIF(U26:X26,"미제시")&gt;0,"고객 물량 미제시·","")&amp;IF(ISNUMBER(AJ26),"","200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27" customFormat="false" ht="15" hidden="false" customHeight="false" outlineLevel="0" collapsed="false">
      <c r="A27" s="67" t="n">
        <v>46661</v>
      </c>
      <c r="B27" s="16" t="n">
        <f aca="false">YEAR(A27)</f>
        <v>2027</v>
      </c>
      <c r="C27" s="16" t="n">
        <f aca="false">DAY(EOMONTH(A27,0))</f>
        <v>31</v>
      </c>
      <c r="D27" s="9" t="str">
        <f aca="false">IF(A27&lt;01_Inputs!$B$75,"현재 (1대)",IF(A27&lt;=01_Inputs!$B$76,"공사",IF(A27&lt;01_Inputs!$B$78,"시운전",IF(AND(ISNUMBER(01_Inputs!$B$72),A27&gt;=01_Inputs!$B$72),"개선 (2대·105℃)","개선 (2대)"))))</f>
        <v>개선 (2대)</v>
      </c>
      <c r="E27" s="16" t="n">
        <f aca="false">IF(LEFT(D27,2)="개선",01_Inputs!$B$8,01_Inputs!$B$7)</f>
        <v>2</v>
      </c>
      <c r="F27" s="68"/>
      <c r="G27" s="15" t="n">
        <f aca="false">IF(D27="공사",IF(ISNUMBER(01_Inputs!$B$80),01_Inputs!$B$80,"미확인"),IF(D27="시운전","시운전",E27*C27*24-N(F27)))</f>
        <v>1488</v>
      </c>
      <c r="H27" s="27" t="str">
        <f aca="false">IF(OR(D27="현재 (1대)",D27="공사"),03_Capacity_Model!$B$80,IF(D27="개선 (2대)",IF(ISNUMBER(01_Inputs!$B$83),01_Inputs!$B$83,"미확인"),IF(D27="개선 (2대·105℃)",IF(ISNUMBER(01_Inputs!$B$73),01_Inputs!$B$73,"미확인"),"-")))</f>
        <v>미확인</v>
      </c>
      <c r="I27" s="15" t="n">
        <f aca="false">IF(AND(ISNUMBER(K26),D26=D27),K26,0)</f>
        <v>0</v>
      </c>
      <c r="J27" s="48" t="str">
        <f aca="false">IF(D27="시운전",IF(ISNUMBER(01_Inputs!$B$81),01_Inputs!$B$81,"미확인"),IF(AND(ISNUMBER(G27),ISNUMBER(H27)),INT((G27+I27)/H27),"미확인"))</f>
        <v>미확인</v>
      </c>
      <c r="K27" s="15" t="str">
        <f aca="false">IF(AND(ISNUMBER(G27),ISNUMBER(H27),ISNUMBER(J27)),G27+I27-J27*H27,"")</f>
        <v/>
      </c>
      <c r="L27" s="57" t="str">
        <f aca="false">IF(COUNTIFS(02_Batch_Raw!$E$6:$E$61,"&gt;="&amp;A27,02_Batch_Raw!$E$6:$E$61,"&lt;="&amp;EOMONTH(A27,0))=0,"",COUNTIFS(02_Batch_Raw!$E$6:$E$61,"&gt;="&amp;A27,02_Batch_Raw!$E$6:$E$61,"&lt;="&amp;EOMONTH(A27,0)))</f>
        <v/>
      </c>
      <c r="M27" s="57" t="str">
        <f aca="false">""</f>
        <v/>
      </c>
      <c r="N27" s="69"/>
      <c r="O27" s="16" t="str">
        <f aca="false">IF(ISNUMBER(N27),N27,J27)</f>
        <v>미확인</v>
      </c>
      <c r="P27" s="13" t="str">
        <f aca="false">IF(ISNUMBER(N27),"실적 입력",IF(ISNUMBER(J27),"추정 생산 가능량","미확인"))</f>
        <v>미확인</v>
      </c>
      <c r="Q27" s="22" t="n">
        <f aca="false">IF(LEFT(D27,2)="개선",IF(ISNUMBER(01_Inputs!$B$61),01_Inputs!$B$61,01_Inputs!$B$49),01_Inputs!$B$49)</f>
        <v>190</v>
      </c>
      <c r="R27" s="22" t="str">
        <f aca="false">IF(ISNUMBER(O27),O27*Q27,"미확인")</f>
        <v>미확인</v>
      </c>
      <c r="S27" s="45" t="str">
        <f aca="false">IF(ISNUMBER(R27),R27*IF(ISNUMBER(01_Inputs!$B$106),01_Inputs!$B$106,1),"미확인")</f>
        <v>미확인</v>
      </c>
      <c r="T27" s="37" t="n">
        <f aca="false">IF(A27&lt;01_Inputs!$B$78,01_Inputs!$B$63,IF(D27="개선 (2대·105℃)",01_Inputs!$B$68,01_Inputs!$B$65))*1000/12</f>
        <v>3933.33333333333</v>
      </c>
      <c r="U27" s="70" t="n">
        <f aca="false">IF(ISNUMBER(01_Inputs!$L$130),01_Inputs!$L$130,"미제시")</f>
        <v>1893.33333333333</v>
      </c>
      <c r="V27" s="70" t="n">
        <f aca="false">IF(ISNUMBER(01_Inputs!$L$131),01_Inputs!$L$131,"미제시")</f>
        <v>780</v>
      </c>
      <c r="W27" s="70" t="n">
        <f aca="false">IF(ISNUMBER(01_Inputs!$L$132),01_Inputs!$L$132,"미제시")</f>
        <v>1120</v>
      </c>
      <c r="X27" s="70" t="n">
        <f aca="false">IF(ISNUMBER(01_Inputs!$L$133),01_Inputs!$L$133,"미제시")</f>
        <v>300</v>
      </c>
      <c r="Y27" s="35" t="n">
        <f aca="false">SUM(U27:X27)</f>
        <v>4093.33333333333</v>
      </c>
      <c r="Z27" s="64" t="n">
        <f aca="false">Y27/Q27</f>
        <v>21.5438596491228</v>
      </c>
      <c r="AA27" s="64" t="n">
        <f aca="false">(N(U27)+N(V27))/01_Inputs!$B$42</f>
        <v>133.666666666667</v>
      </c>
      <c r="AB27" s="15" t="n">
        <f aca="false">AA27*01_Inputs!$B$28</f>
        <v>267.333333333333</v>
      </c>
      <c r="AC27" s="15" t="n">
        <f aca="false">AA27/01_Inputs!$B$29*01_Inputs!$B$32</f>
        <v>29.7037037037037</v>
      </c>
      <c r="AD27" s="64" t="n">
        <f aca="false">N(W27)/01_Inputs!$B$43</f>
        <v>8</v>
      </c>
      <c r="AE27" s="64" t="n">
        <f aca="false">N(X27)/01_Inputs!$B$44</f>
        <v>2</v>
      </c>
      <c r="AF27" s="13" t="str">
        <f aca="false">IF(AD27=0,"-",IF(A27&gt;=01_Inputs!$B$47,"ARS","수동"))</f>
        <v>ARS</v>
      </c>
      <c r="AG27" s="13" t="str">
        <f aca="false">IF(AE27=0,"-",IF(A27&gt;=01_Inputs!$B$46,"ARS","수동"))</f>
        <v>ARS</v>
      </c>
      <c r="AH27" s="15" t="str">
        <f aca="false">IF(AD27=0,0,IF(AF27="수동",AD27*01_Inputs!$B$34,IF(ISNUMBER(01_Inputs!$B$36),AD27*01_Inputs!$B$36,"미확인")))</f>
        <v>미확인</v>
      </c>
      <c r="AI27" s="15" t="str">
        <f aca="false">IF(AE27=0,0,IF(AG27="수동",IF(ISNUMBER(01_Inputs!$B$35),AE27*01_Inputs!$B$35,"미확인"),IF(ISNUMBER(01_Inputs!$B$37),AE27*01_Inputs!$B$37,"미확인")))</f>
        <v>미확인</v>
      </c>
      <c r="AJ27" s="15" t="str">
        <f aca="false">IF(AND(ISNUMBER(AH27),ISNUMBER(AI27)),AH27+AI27,"부분 "&amp;TEXT(N(AH27)+N(AI27),"0")&amp;" h + 미확인")</f>
        <v>부분 0 h + 미확인</v>
      </c>
      <c r="AK27" s="15" t="n">
        <f aca="false">(AD27+AE27)*01_Inputs!$B$38</f>
        <v>80</v>
      </c>
      <c r="AL27" s="15" t="n">
        <f aca="false">(AD27+AE27)*01_Inputs!$B$33</f>
        <v>20</v>
      </c>
      <c r="AM27" s="15" t="str">
        <f aca="false">IF(ISNUMBER(01_Inputs!$B$87),01_Inputs!$B$87,"미확인")</f>
        <v>미확인</v>
      </c>
      <c r="AN27" s="15" t="str">
        <f aca="false">IF(ISNUMBER(AM27),AM27-AB27,"미확인")</f>
        <v>미확인</v>
      </c>
      <c r="AO27" s="37" t="n">
        <f aca="false">T27-Y27</f>
        <v>-160</v>
      </c>
      <c r="AP27" s="37" t="str">
        <f aca="false">IF(ISNUMBER(S27),S27-Y27,"미확인")</f>
        <v>미확인</v>
      </c>
      <c r="AQ27" s="37" t="str">
        <f aca="false">IF(AND(ISNUMBER(AP27),ISNUMBER(AQ26)),AQ26+AP27,"보류")</f>
        <v>보류</v>
      </c>
      <c r="AR27" s="37" t="str">
        <f aca="false">IF(ISNUMBER(AZ26),AZ26,"보류")</f>
        <v>보류</v>
      </c>
      <c r="AS27" s="37" t="str">
        <f aca="false">IF(AND(ISNUMBER(AR27),ISNUMBER(S27)),AR27+S27,"보류")</f>
        <v>보류</v>
      </c>
      <c r="AT27" s="37" t="str">
        <f aca="false">IF(ISNUMBER(AS27),MIN(AS27,U27),"보류")</f>
        <v>보류</v>
      </c>
      <c r="AU27" s="37" t="str">
        <f aca="false">IF(ISNUMBER(AS27),MIN(AS27-AT27,N(01_Inputs!$B$104)),"보류")</f>
        <v>보류</v>
      </c>
      <c r="AV27" s="37" t="str">
        <f aca="false">IF(ISNUMBER(AS27),IF((N(V27)+N(W27)+N(X27))=0,0,MIN(N(V27),(AS27-AT27-AU27)*N(V27)/(N(V27)+N(W27)+N(X27)))),"보류")</f>
        <v>보류</v>
      </c>
      <c r="AW27" s="37" t="str">
        <f aca="false">IF(ISNUMBER(AS27),IF((N(V27)+N(W27)+N(X27))=0,0,MIN(N(W27),(AS27-AT27-AU27)*N(W27)/(N(V27)+N(W27)+N(X27)))),"보류")</f>
        <v>보류</v>
      </c>
      <c r="AX27" s="37" t="str">
        <f aca="false">IF(ISNUMBER(AS27),IF((N(V27)+N(W27)+N(X27))=0,0,MIN(N(X27),(AS27-AT27-AU27)*N(X27)/(N(V27)+N(W27)+N(X27)))),"보류")</f>
        <v>보류</v>
      </c>
      <c r="AY27" s="37" t="str">
        <f aca="false">IF(ISNUMBER(AS27),Y27-AT27-AV27-AW27-AX27,"보류")</f>
        <v>보류</v>
      </c>
      <c r="AZ27" s="35" t="str">
        <f aca="false">IF(ISNUMBER(AS27),AS27-AT27-AV27-AW27-AX27,"보류")</f>
        <v>보류</v>
      </c>
      <c r="BA27" s="37" t="str">
        <f aca="false">IF(ISNUMBER(01_Inputs!$B$105),01_Inputs!$B$105,"미입력")</f>
        <v>미입력</v>
      </c>
      <c r="BB27" s="37" t="str">
        <f aca="false">IF(AND(ISNUMBER(AR27),ISNUMBER(BA27)),Y27+BA27-AR27,"보류")</f>
        <v>보류</v>
      </c>
      <c r="BC27" s="37" t="str">
        <f aca="false">IF(AND(ISNUMBER(AZ27),ISNUMBER(BA27)),AZ27-BA27,"보류")</f>
        <v>보류</v>
      </c>
      <c r="BD27" s="13" t="str">
        <f aca="false">IF(ISNUMBER(AZ27),"계산 가능",IF(ISNUMBER(AP27),"부분 (재고 입력 필요)","보류 (생산 조건 미확인)"))</f>
        <v>보류 (생산 조건 미확인)</v>
      </c>
      <c r="BE27" s="9" t="str">
        <f aca="false">IF(D27="공사",IF(ISNUMBER(01_Inputs!$B$80),"","공사 중 가용시간·"),"")&amp;IF(D27="시운전",IF(ISNUMBER(01_Inputs!$B$81),"","시운전 양품·"),"")&amp;IF(D27="개선 (2대)",IF(ISNUMBER(01_Inputs!$B$83),"","설비별 간격·"),"")&amp;IF(D27="개선 (2대·105℃)",IF(ISNUMBER(01_Inputs!$B$73),"","105℃ 간격·"),"")&amp;IF(ISNUMBER(N27),"","실적·")&amp;IF(ISNUMBER(01_Inputs!$B$106),"","양품률(100% 상한)·")&amp;IF(COUNTIF(U27:X27,"미제시")&gt;0,"고객 물량 미제시·","")&amp;IF(ISNUMBER(AJ27),"","200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28" customFormat="false" ht="15" hidden="false" customHeight="false" outlineLevel="0" collapsed="false">
      <c r="A28" s="67" t="n">
        <v>46692</v>
      </c>
      <c r="B28" s="16" t="n">
        <f aca="false">YEAR(A28)</f>
        <v>2027</v>
      </c>
      <c r="C28" s="16" t="n">
        <f aca="false">DAY(EOMONTH(A28,0))</f>
        <v>30</v>
      </c>
      <c r="D28" s="9" t="str">
        <f aca="false">IF(A28&lt;01_Inputs!$B$75,"현재 (1대)",IF(A28&lt;=01_Inputs!$B$76,"공사",IF(A28&lt;01_Inputs!$B$78,"시운전",IF(AND(ISNUMBER(01_Inputs!$B$72),A28&gt;=01_Inputs!$B$72),"개선 (2대·105℃)","개선 (2대)"))))</f>
        <v>개선 (2대)</v>
      </c>
      <c r="E28" s="16" t="n">
        <f aca="false">IF(LEFT(D28,2)="개선",01_Inputs!$B$8,01_Inputs!$B$7)</f>
        <v>2</v>
      </c>
      <c r="F28" s="68"/>
      <c r="G28" s="15" t="n">
        <f aca="false">IF(D28="공사",IF(ISNUMBER(01_Inputs!$B$80),01_Inputs!$B$80,"미확인"),IF(D28="시운전","시운전",E28*C28*24-N(F28)))</f>
        <v>1440</v>
      </c>
      <c r="H28" s="27" t="str">
        <f aca="false">IF(OR(D28="현재 (1대)",D28="공사"),03_Capacity_Model!$B$80,IF(D28="개선 (2대)",IF(ISNUMBER(01_Inputs!$B$83),01_Inputs!$B$83,"미확인"),IF(D28="개선 (2대·105℃)",IF(ISNUMBER(01_Inputs!$B$73),01_Inputs!$B$73,"미확인"),"-")))</f>
        <v>미확인</v>
      </c>
      <c r="I28" s="15" t="n">
        <f aca="false">IF(AND(ISNUMBER(K27),D27=D28),K27,0)</f>
        <v>0</v>
      </c>
      <c r="J28" s="48" t="str">
        <f aca="false">IF(D28="시운전",IF(ISNUMBER(01_Inputs!$B$81),01_Inputs!$B$81,"미확인"),IF(AND(ISNUMBER(G28),ISNUMBER(H28)),INT((G28+I28)/H28),"미확인"))</f>
        <v>미확인</v>
      </c>
      <c r="K28" s="15" t="str">
        <f aca="false">IF(AND(ISNUMBER(G28),ISNUMBER(H28),ISNUMBER(J28)),G28+I28-J28*H28,"")</f>
        <v/>
      </c>
      <c r="L28" s="57" t="str">
        <f aca="false">IF(COUNTIFS(02_Batch_Raw!$E$6:$E$61,"&gt;="&amp;A28,02_Batch_Raw!$E$6:$E$61,"&lt;="&amp;EOMONTH(A28,0))=0,"",COUNTIFS(02_Batch_Raw!$E$6:$E$61,"&gt;="&amp;A28,02_Batch_Raw!$E$6:$E$61,"&lt;="&amp;EOMONTH(A28,0)))</f>
        <v/>
      </c>
      <c r="M28" s="57" t="str">
        <f aca="false">""</f>
        <v/>
      </c>
      <c r="N28" s="69"/>
      <c r="O28" s="16" t="str">
        <f aca="false">IF(ISNUMBER(N28),N28,J28)</f>
        <v>미확인</v>
      </c>
      <c r="P28" s="13" t="str">
        <f aca="false">IF(ISNUMBER(N28),"실적 입력",IF(ISNUMBER(J28),"추정 생산 가능량","미확인"))</f>
        <v>미확인</v>
      </c>
      <c r="Q28" s="22" t="n">
        <f aca="false">IF(LEFT(D28,2)="개선",IF(ISNUMBER(01_Inputs!$B$61),01_Inputs!$B$61,01_Inputs!$B$49),01_Inputs!$B$49)</f>
        <v>190</v>
      </c>
      <c r="R28" s="22" t="str">
        <f aca="false">IF(ISNUMBER(O28),O28*Q28,"미확인")</f>
        <v>미확인</v>
      </c>
      <c r="S28" s="45" t="str">
        <f aca="false">IF(ISNUMBER(R28),R28*IF(ISNUMBER(01_Inputs!$B$106),01_Inputs!$B$106,1),"미확인")</f>
        <v>미확인</v>
      </c>
      <c r="T28" s="37" t="n">
        <f aca="false">IF(A28&lt;01_Inputs!$B$78,01_Inputs!$B$63,IF(D28="개선 (2대·105℃)",01_Inputs!$B$68,01_Inputs!$B$65))*1000/12</f>
        <v>3933.33333333333</v>
      </c>
      <c r="U28" s="70" t="n">
        <f aca="false">IF(ISNUMBER(01_Inputs!$M$130),01_Inputs!$M$130,"미제시")</f>
        <v>1893.33333333333</v>
      </c>
      <c r="V28" s="70" t="n">
        <f aca="false">IF(ISNUMBER(01_Inputs!$M$131),01_Inputs!$M$131,"미제시")</f>
        <v>780</v>
      </c>
      <c r="W28" s="70" t="n">
        <f aca="false">IF(ISNUMBER(01_Inputs!$M$132),01_Inputs!$M$132,"미제시")</f>
        <v>1120</v>
      </c>
      <c r="X28" s="70" t="n">
        <f aca="false">IF(ISNUMBER(01_Inputs!$M$133),01_Inputs!$M$133,"미제시")</f>
        <v>300</v>
      </c>
      <c r="Y28" s="35" t="n">
        <f aca="false">SUM(U28:X28)</f>
        <v>4093.33333333333</v>
      </c>
      <c r="Z28" s="64" t="n">
        <f aca="false">Y28/Q28</f>
        <v>21.5438596491228</v>
      </c>
      <c r="AA28" s="64" t="n">
        <f aca="false">(N(U28)+N(V28))/01_Inputs!$B$42</f>
        <v>133.666666666667</v>
      </c>
      <c r="AB28" s="15" t="n">
        <f aca="false">AA28*01_Inputs!$B$28</f>
        <v>267.333333333333</v>
      </c>
      <c r="AC28" s="15" t="n">
        <f aca="false">AA28/01_Inputs!$B$29*01_Inputs!$B$32</f>
        <v>29.7037037037037</v>
      </c>
      <c r="AD28" s="64" t="n">
        <f aca="false">N(W28)/01_Inputs!$B$43</f>
        <v>8</v>
      </c>
      <c r="AE28" s="64" t="n">
        <f aca="false">N(X28)/01_Inputs!$B$44</f>
        <v>2</v>
      </c>
      <c r="AF28" s="13" t="str">
        <f aca="false">IF(AD28=0,"-",IF(A28&gt;=01_Inputs!$B$47,"ARS","수동"))</f>
        <v>ARS</v>
      </c>
      <c r="AG28" s="13" t="str">
        <f aca="false">IF(AE28=0,"-",IF(A28&gt;=01_Inputs!$B$46,"ARS","수동"))</f>
        <v>ARS</v>
      </c>
      <c r="AH28" s="15" t="str">
        <f aca="false">IF(AD28=0,0,IF(AF28="수동",AD28*01_Inputs!$B$34,IF(ISNUMBER(01_Inputs!$B$36),AD28*01_Inputs!$B$36,"미확인")))</f>
        <v>미확인</v>
      </c>
      <c r="AI28" s="15" t="str">
        <f aca="false">IF(AE28=0,0,IF(AG28="수동",IF(ISNUMBER(01_Inputs!$B$35),AE28*01_Inputs!$B$35,"미확인"),IF(ISNUMBER(01_Inputs!$B$37),AE28*01_Inputs!$B$37,"미확인")))</f>
        <v>미확인</v>
      </c>
      <c r="AJ28" s="15" t="str">
        <f aca="false">IF(AND(ISNUMBER(AH28),ISNUMBER(AI28)),AH28+AI28,"부분 "&amp;TEXT(N(AH28)+N(AI28),"0")&amp;" h + 미확인")</f>
        <v>부분 0 h + 미확인</v>
      </c>
      <c r="AK28" s="15" t="n">
        <f aca="false">(AD28+AE28)*01_Inputs!$B$38</f>
        <v>80</v>
      </c>
      <c r="AL28" s="15" t="n">
        <f aca="false">(AD28+AE28)*01_Inputs!$B$33</f>
        <v>20</v>
      </c>
      <c r="AM28" s="15" t="str">
        <f aca="false">IF(ISNUMBER(01_Inputs!$B$87),01_Inputs!$B$87,"미확인")</f>
        <v>미확인</v>
      </c>
      <c r="AN28" s="15" t="str">
        <f aca="false">IF(ISNUMBER(AM28),AM28-AB28,"미확인")</f>
        <v>미확인</v>
      </c>
      <c r="AO28" s="37" t="n">
        <f aca="false">T28-Y28</f>
        <v>-160</v>
      </c>
      <c r="AP28" s="37" t="str">
        <f aca="false">IF(ISNUMBER(S28),S28-Y28,"미확인")</f>
        <v>미확인</v>
      </c>
      <c r="AQ28" s="37" t="str">
        <f aca="false">IF(AND(ISNUMBER(AP28),ISNUMBER(AQ27)),AQ27+AP28,"보류")</f>
        <v>보류</v>
      </c>
      <c r="AR28" s="37" t="str">
        <f aca="false">IF(ISNUMBER(AZ27),AZ27,"보류")</f>
        <v>보류</v>
      </c>
      <c r="AS28" s="37" t="str">
        <f aca="false">IF(AND(ISNUMBER(AR28),ISNUMBER(S28)),AR28+S28,"보류")</f>
        <v>보류</v>
      </c>
      <c r="AT28" s="37" t="str">
        <f aca="false">IF(ISNUMBER(AS28),MIN(AS28,U28),"보류")</f>
        <v>보류</v>
      </c>
      <c r="AU28" s="37" t="str">
        <f aca="false">IF(ISNUMBER(AS28),MIN(AS28-AT28,N(01_Inputs!$B$104)),"보류")</f>
        <v>보류</v>
      </c>
      <c r="AV28" s="37" t="str">
        <f aca="false">IF(ISNUMBER(AS28),IF((N(V28)+N(W28)+N(X28))=0,0,MIN(N(V28),(AS28-AT28-AU28)*N(V28)/(N(V28)+N(W28)+N(X28)))),"보류")</f>
        <v>보류</v>
      </c>
      <c r="AW28" s="37" t="str">
        <f aca="false">IF(ISNUMBER(AS28),IF((N(V28)+N(W28)+N(X28))=0,0,MIN(N(W28),(AS28-AT28-AU28)*N(W28)/(N(V28)+N(W28)+N(X28)))),"보류")</f>
        <v>보류</v>
      </c>
      <c r="AX28" s="37" t="str">
        <f aca="false">IF(ISNUMBER(AS28),IF((N(V28)+N(W28)+N(X28))=0,0,MIN(N(X28),(AS28-AT28-AU28)*N(X28)/(N(V28)+N(W28)+N(X28)))),"보류")</f>
        <v>보류</v>
      </c>
      <c r="AY28" s="37" t="str">
        <f aca="false">IF(ISNUMBER(AS28),Y28-AT28-AV28-AW28-AX28,"보류")</f>
        <v>보류</v>
      </c>
      <c r="AZ28" s="35" t="str">
        <f aca="false">IF(ISNUMBER(AS28),AS28-AT28-AV28-AW28-AX28,"보류")</f>
        <v>보류</v>
      </c>
      <c r="BA28" s="37" t="str">
        <f aca="false">IF(ISNUMBER(01_Inputs!$B$105),01_Inputs!$B$105,"미입력")</f>
        <v>미입력</v>
      </c>
      <c r="BB28" s="37" t="str">
        <f aca="false">IF(AND(ISNUMBER(AR28),ISNUMBER(BA28)),Y28+BA28-AR28,"보류")</f>
        <v>보류</v>
      </c>
      <c r="BC28" s="37" t="str">
        <f aca="false">IF(AND(ISNUMBER(AZ28),ISNUMBER(BA28)),AZ28-BA28,"보류")</f>
        <v>보류</v>
      </c>
      <c r="BD28" s="13" t="str">
        <f aca="false">IF(ISNUMBER(AZ28),"계산 가능",IF(ISNUMBER(AP28),"부분 (재고 입력 필요)","보류 (생산 조건 미확인)"))</f>
        <v>보류 (생산 조건 미확인)</v>
      </c>
      <c r="BE28" s="9" t="str">
        <f aca="false">IF(D28="공사",IF(ISNUMBER(01_Inputs!$B$80),"","공사 중 가용시간·"),"")&amp;IF(D28="시운전",IF(ISNUMBER(01_Inputs!$B$81),"","시운전 양품·"),"")&amp;IF(D28="개선 (2대)",IF(ISNUMBER(01_Inputs!$B$83),"","설비별 간격·"),"")&amp;IF(D28="개선 (2대·105℃)",IF(ISNUMBER(01_Inputs!$B$73),"","105℃ 간격·"),"")&amp;IF(ISNUMBER(N28),"","실적·")&amp;IF(ISNUMBER(01_Inputs!$B$106),"","양품률(100% 상한)·")&amp;IF(COUNTIF(U28:X28,"미제시")&gt;0,"고객 물량 미제시·","")&amp;IF(ISNUMBER(AJ28),"","200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29" customFormat="false" ht="15" hidden="false" customHeight="false" outlineLevel="0" collapsed="false">
      <c r="A29" s="67" t="n">
        <v>46722</v>
      </c>
      <c r="B29" s="16" t="n">
        <f aca="false">YEAR(A29)</f>
        <v>2027</v>
      </c>
      <c r="C29" s="16" t="n">
        <f aca="false">DAY(EOMONTH(A29,0))</f>
        <v>31</v>
      </c>
      <c r="D29" s="9" t="str">
        <f aca="false">IF(A29&lt;01_Inputs!$B$75,"현재 (1대)",IF(A29&lt;=01_Inputs!$B$76,"공사",IF(A29&lt;01_Inputs!$B$78,"시운전",IF(AND(ISNUMBER(01_Inputs!$B$72),A29&gt;=01_Inputs!$B$72),"개선 (2대·105℃)","개선 (2대)"))))</f>
        <v>개선 (2대)</v>
      </c>
      <c r="E29" s="16" t="n">
        <f aca="false">IF(LEFT(D29,2)="개선",01_Inputs!$B$8,01_Inputs!$B$7)</f>
        <v>2</v>
      </c>
      <c r="F29" s="68"/>
      <c r="G29" s="15" t="n">
        <f aca="false">IF(D29="공사",IF(ISNUMBER(01_Inputs!$B$80),01_Inputs!$B$80,"미확인"),IF(D29="시운전","시운전",E29*C29*24-N(F29)))</f>
        <v>1488</v>
      </c>
      <c r="H29" s="27" t="str">
        <f aca="false">IF(OR(D29="현재 (1대)",D29="공사"),03_Capacity_Model!$B$80,IF(D29="개선 (2대)",IF(ISNUMBER(01_Inputs!$B$83),01_Inputs!$B$83,"미확인"),IF(D29="개선 (2대·105℃)",IF(ISNUMBER(01_Inputs!$B$73),01_Inputs!$B$73,"미확인"),"-")))</f>
        <v>미확인</v>
      </c>
      <c r="I29" s="15" t="n">
        <f aca="false">IF(AND(ISNUMBER(K28),D28=D29),K28,0)</f>
        <v>0</v>
      </c>
      <c r="J29" s="48" t="str">
        <f aca="false">IF(D29="시운전",IF(ISNUMBER(01_Inputs!$B$81),01_Inputs!$B$81,"미확인"),IF(AND(ISNUMBER(G29),ISNUMBER(H29)),INT((G29+I29)/H29),"미확인"))</f>
        <v>미확인</v>
      </c>
      <c r="K29" s="15" t="str">
        <f aca="false">IF(AND(ISNUMBER(G29),ISNUMBER(H29),ISNUMBER(J29)),G29+I29-J29*H29,"")</f>
        <v/>
      </c>
      <c r="L29" s="57" t="str">
        <f aca="false">IF(COUNTIFS(02_Batch_Raw!$E$6:$E$61,"&gt;="&amp;A29,02_Batch_Raw!$E$6:$E$61,"&lt;="&amp;EOMONTH(A29,0))=0,"",COUNTIFS(02_Batch_Raw!$E$6:$E$61,"&gt;="&amp;A29,02_Batch_Raw!$E$6:$E$61,"&lt;="&amp;EOMONTH(A29,0)))</f>
        <v/>
      </c>
      <c r="M29" s="57" t="str">
        <f aca="false">""</f>
        <v/>
      </c>
      <c r="N29" s="69"/>
      <c r="O29" s="16" t="str">
        <f aca="false">IF(ISNUMBER(N29),N29,J29)</f>
        <v>미확인</v>
      </c>
      <c r="P29" s="13" t="str">
        <f aca="false">IF(ISNUMBER(N29),"실적 입력",IF(ISNUMBER(J29),"추정 생산 가능량","미확인"))</f>
        <v>미확인</v>
      </c>
      <c r="Q29" s="22" t="n">
        <f aca="false">IF(LEFT(D29,2)="개선",IF(ISNUMBER(01_Inputs!$B$61),01_Inputs!$B$61,01_Inputs!$B$49),01_Inputs!$B$49)</f>
        <v>190</v>
      </c>
      <c r="R29" s="22" t="str">
        <f aca="false">IF(ISNUMBER(O29),O29*Q29,"미확인")</f>
        <v>미확인</v>
      </c>
      <c r="S29" s="45" t="str">
        <f aca="false">IF(ISNUMBER(R29),R29*IF(ISNUMBER(01_Inputs!$B$106),01_Inputs!$B$106,1),"미확인")</f>
        <v>미확인</v>
      </c>
      <c r="T29" s="37" t="n">
        <f aca="false">IF(A29&lt;01_Inputs!$B$78,01_Inputs!$B$63,IF(D29="개선 (2대·105℃)",01_Inputs!$B$68,01_Inputs!$B$65))*1000/12</f>
        <v>3933.33333333333</v>
      </c>
      <c r="U29" s="70" t="n">
        <f aca="false">IF(ISNUMBER(01_Inputs!$N$130),01_Inputs!$N$130,"미제시")</f>
        <v>1893.33333333333</v>
      </c>
      <c r="V29" s="70" t="n">
        <f aca="false">IF(ISNUMBER(01_Inputs!$N$131),01_Inputs!$N$131,"미제시")</f>
        <v>780</v>
      </c>
      <c r="W29" s="70" t="n">
        <f aca="false">IF(ISNUMBER(01_Inputs!$N$132),01_Inputs!$N$132,"미제시")</f>
        <v>1120</v>
      </c>
      <c r="X29" s="70" t="n">
        <f aca="false">IF(ISNUMBER(01_Inputs!$N$133),01_Inputs!$N$133,"미제시")</f>
        <v>300</v>
      </c>
      <c r="Y29" s="35" t="n">
        <f aca="false">SUM(U29:X29)</f>
        <v>4093.33333333333</v>
      </c>
      <c r="Z29" s="64" t="n">
        <f aca="false">Y29/Q29</f>
        <v>21.5438596491228</v>
      </c>
      <c r="AA29" s="64" t="n">
        <f aca="false">(N(U29)+N(V29))/01_Inputs!$B$42</f>
        <v>133.666666666667</v>
      </c>
      <c r="AB29" s="15" t="n">
        <f aca="false">AA29*01_Inputs!$B$28</f>
        <v>267.333333333333</v>
      </c>
      <c r="AC29" s="15" t="n">
        <f aca="false">AA29/01_Inputs!$B$29*01_Inputs!$B$32</f>
        <v>29.7037037037037</v>
      </c>
      <c r="AD29" s="64" t="n">
        <f aca="false">N(W29)/01_Inputs!$B$43</f>
        <v>8</v>
      </c>
      <c r="AE29" s="64" t="n">
        <f aca="false">N(X29)/01_Inputs!$B$44</f>
        <v>2</v>
      </c>
      <c r="AF29" s="13" t="str">
        <f aca="false">IF(AD29=0,"-",IF(A29&gt;=01_Inputs!$B$47,"ARS","수동"))</f>
        <v>ARS</v>
      </c>
      <c r="AG29" s="13" t="str">
        <f aca="false">IF(AE29=0,"-",IF(A29&gt;=01_Inputs!$B$46,"ARS","수동"))</f>
        <v>ARS</v>
      </c>
      <c r="AH29" s="15" t="str">
        <f aca="false">IF(AD29=0,0,IF(AF29="수동",AD29*01_Inputs!$B$34,IF(ISNUMBER(01_Inputs!$B$36),AD29*01_Inputs!$B$36,"미확인")))</f>
        <v>미확인</v>
      </c>
      <c r="AI29" s="15" t="str">
        <f aca="false">IF(AE29=0,0,IF(AG29="수동",IF(ISNUMBER(01_Inputs!$B$35),AE29*01_Inputs!$B$35,"미확인"),IF(ISNUMBER(01_Inputs!$B$37),AE29*01_Inputs!$B$37,"미확인")))</f>
        <v>미확인</v>
      </c>
      <c r="AJ29" s="15" t="str">
        <f aca="false">IF(AND(ISNUMBER(AH29),ISNUMBER(AI29)),AH29+AI29,"부분 "&amp;TEXT(N(AH29)+N(AI29),"0")&amp;" h + 미확인")</f>
        <v>부분 0 h + 미확인</v>
      </c>
      <c r="AK29" s="15" t="n">
        <f aca="false">(AD29+AE29)*01_Inputs!$B$38</f>
        <v>80</v>
      </c>
      <c r="AL29" s="15" t="n">
        <f aca="false">(AD29+AE29)*01_Inputs!$B$33</f>
        <v>20</v>
      </c>
      <c r="AM29" s="15" t="str">
        <f aca="false">IF(ISNUMBER(01_Inputs!$B$87),01_Inputs!$B$87,"미확인")</f>
        <v>미확인</v>
      </c>
      <c r="AN29" s="15" t="str">
        <f aca="false">IF(ISNUMBER(AM29),AM29-AB29,"미확인")</f>
        <v>미확인</v>
      </c>
      <c r="AO29" s="37" t="n">
        <f aca="false">T29-Y29</f>
        <v>-160</v>
      </c>
      <c r="AP29" s="37" t="str">
        <f aca="false">IF(ISNUMBER(S29),S29-Y29,"미확인")</f>
        <v>미확인</v>
      </c>
      <c r="AQ29" s="37" t="str">
        <f aca="false">IF(AND(ISNUMBER(AP29),ISNUMBER(AQ28)),AQ28+AP29,"보류")</f>
        <v>보류</v>
      </c>
      <c r="AR29" s="37" t="str">
        <f aca="false">IF(ISNUMBER(AZ28),AZ28,"보류")</f>
        <v>보류</v>
      </c>
      <c r="AS29" s="37" t="str">
        <f aca="false">IF(AND(ISNUMBER(AR29),ISNUMBER(S29)),AR29+S29,"보류")</f>
        <v>보류</v>
      </c>
      <c r="AT29" s="37" t="str">
        <f aca="false">IF(ISNUMBER(AS29),MIN(AS29,U29),"보류")</f>
        <v>보류</v>
      </c>
      <c r="AU29" s="37" t="str">
        <f aca="false">IF(ISNUMBER(AS29),MIN(AS29-AT29,N(01_Inputs!$B$104)),"보류")</f>
        <v>보류</v>
      </c>
      <c r="AV29" s="37" t="str">
        <f aca="false">IF(ISNUMBER(AS29),IF((N(V29)+N(W29)+N(X29))=0,0,MIN(N(V29),(AS29-AT29-AU29)*N(V29)/(N(V29)+N(W29)+N(X29)))),"보류")</f>
        <v>보류</v>
      </c>
      <c r="AW29" s="37" t="str">
        <f aca="false">IF(ISNUMBER(AS29),IF((N(V29)+N(W29)+N(X29))=0,0,MIN(N(W29),(AS29-AT29-AU29)*N(W29)/(N(V29)+N(W29)+N(X29)))),"보류")</f>
        <v>보류</v>
      </c>
      <c r="AX29" s="37" t="str">
        <f aca="false">IF(ISNUMBER(AS29),IF((N(V29)+N(W29)+N(X29))=0,0,MIN(N(X29),(AS29-AT29-AU29)*N(X29)/(N(V29)+N(W29)+N(X29)))),"보류")</f>
        <v>보류</v>
      </c>
      <c r="AY29" s="37" t="str">
        <f aca="false">IF(ISNUMBER(AS29),Y29-AT29-AV29-AW29-AX29,"보류")</f>
        <v>보류</v>
      </c>
      <c r="AZ29" s="35" t="str">
        <f aca="false">IF(ISNUMBER(AS29),AS29-AT29-AV29-AW29-AX29,"보류")</f>
        <v>보류</v>
      </c>
      <c r="BA29" s="37" t="str">
        <f aca="false">IF(ISNUMBER(01_Inputs!$B$105),01_Inputs!$B$105,"미입력")</f>
        <v>미입력</v>
      </c>
      <c r="BB29" s="37" t="str">
        <f aca="false">IF(AND(ISNUMBER(AR29),ISNUMBER(BA29)),Y29+BA29-AR29,"보류")</f>
        <v>보류</v>
      </c>
      <c r="BC29" s="37" t="str">
        <f aca="false">IF(AND(ISNUMBER(AZ29),ISNUMBER(BA29)),AZ29-BA29,"보류")</f>
        <v>보류</v>
      </c>
      <c r="BD29" s="13" t="str">
        <f aca="false">IF(ISNUMBER(AZ29),"계산 가능",IF(ISNUMBER(AP29),"부분 (재고 입력 필요)","보류 (생산 조건 미확인)"))</f>
        <v>보류 (생산 조건 미확인)</v>
      </c>
      <c r="BE29" s="9" t="str">
        <f aca="false">IF(D29="공사",IF(ISNUMBER(01_Inputs!$B$80),"","공사 중 가용시간·"),"")&amp;IF(D29="시운전",IF(ISNUMBER(01_Inputs!$B$81),"","시운전 양품·"),"")&amp;IF(D29="개선 (2대)",IF(ISNUMBER(01_Inputs!$B$83),"","설비별 간격·"),"")&amp;IF(D29="개선 (2대·105℃)",IF(ISNUMBER(01_Inputs!$B$73),"","105℃ 간격·"),"")&amp;IF(ISNUMBER(N29),"","실적·")&amp;IF(ISNUMBER(01_Inputs!$B$106),"","양품률(100% 상한)·")&amp;IF(COUNTIF(U29:X29,"미제시")&gt;0,"고객 물량 미제시·","")&amp;IF(ISNUMBER(AJ29),"","200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0" customFormat="false" ht="15" hidden="false" customHeight="false" outlineLevel="0" collapsed="false">
      <c r="A30" s="67" t="n">
        <v>46753</v>
      </c>
      <c r="B30" s="16" t="n">
        <f aca="false">YEAR(A30)</f>
        <v>2028</v>
      </c>
      <c r="C30" s="16" t="n">
        <f aca="false">DAY(EOMONTH(A30,0))</f>
        <v>31</v>
      </c>
      <c r="D30" s="9" t="str">
        <f aca="false">IF(A30&lt;01_Inputs!$B$75,"현재 (1대)",IF(A30&lt;=01_Inputs!$B$76,"공사",IF(A30&lt;01_Inputs!$B$78,"시운전",IF(AND(ISNUMBER(01_Inputs!$B$72),A30&gt;=01_Inputs!$B$72),"개선 (2대·105℃)","개선 (2대)"))))</f>
        <v>개선 (2대)</v>
      </c>
      <c r="E30" s="16" t="n">
        <f aca="false">IF(LEFT(D30,2)="개선",01_Inputs!$B$8,01_Inputs!$B$7)</f>
        <v>2</v>
      </c>
      <c r="F30" s="68"/>
      <c r="G30" s="15" t="n">
        <f aca="false">IF(D30="공사",IF(ISNUMBER(01_Inputs!$B$80),01_Inputs!$B$80,"미확인"),IF(D30="시운전","시운전",E30*C30*24-N(F30)))</f>
        <v>1488</v>
      </c>
      <c r="H30" s="27" t="str">
        <f aca="false">IF(OR(D30="현재 (1대)",D30="공사"),03_Capacity_Model!$B$80,IF(D30="개선 (2대)",IF(ISNUMBER(01_Inputs!$B$83),01_Inputs!$B$83,"미확인"),IF(D30="개선 (2대·105℃)",IF(ISNUMBER(01_Inputs!$B$73),01_Inputs!$B$73,"미확인"),"-")))</f>
        <v>미확인</v>
      </c>
      <c r="I30" s="15" t="n">
        <f aca="false">IF(AND(ISNUMBER(K29),D29=D30),K29,0)</f>
        <v>0</v>
      </c>
      <c r="J30" s="48" t="str">
        <f aca="false">IF(D30="시운전",IF(ISNUMBER(01_Inputs!$B$81),01_Inputs!$B$81,"미확인"),IF(AND(ISNUMBER(G30),ISNUMBER(H30)),INT((G30+I30)/H30),"미확인"))</f>
        <v>미확인</v>
      </c>
      <c r="K30" s="15" t="str">
        <f aca="false">IF(AND(ISNUMBER(G30),ISNUMBER(H30),ISNUMBER(J30)),G30+I30-J30*H30,"")</f>
        <v/>
      </c>
      <c r="L30" s="57" t="str">
        <f aca="false">IF(COUNTIFS(02_Batch_Raw!$E$6:$E$61,"&gt;="&amp;A30,02_Batch_Raw!$E$6:$E$61,"&lt;="&amp;EOMONTH(A30,0))=0,"",COUNTIFS(02_Batch_Raw!$E$6:$E$61,"&gt;="&amp;A30,02_Batch_Raw!$E$6:$E$61,"&lt;="&amp;EOMONTH(A30,0)))</f>
        <v/>
      </c>
      <c r="M30" s="57" t="str">
        <f aca="false">""</f>
        <v/>
      </c>
      <c r="N30" s="69"/>
      <c r="O30" s="16" t="str">
        <f aca="false">IF(ISNUMBER(N30),N30,J30)</f>
        <v>미확인</v>
      </c>
      <c r="P30" s="13" t="str">
        <f aca="false">IF(ISNUMBER(N30),"실적 입력",IF(ISNUMBER(J30),"추정 생산 가능량","미확인"))</f>
        <v>미확인</v>
      </c>
      <c r="Q30" s="22" t="n">
        <f aca="false">IF(LEFT(D30,2)="개선",IF(ISNUMBER(01_Inputs!$B$61),01_Inputs!$B$61,01_Inputs!$B$49),01_Inputs!$B$49)</f>
        <v>190</v>
      </c>
      <c r="R30" s="22" t="str">
        <f aca="false">IF(ISNUMBER(O30),O30*Q30,"미확인")</f>
        <v>미확인</v>
      </c>
      <c r="S30" s="45" t="str">
        <f aca="false">IF(ISNUMBER(R30),R30*IF(ISNUMBER(01_Inputs!$B$106),01_Inputs!$B$106,1),"미확인")</f>
        <v>미확인</v>
      </c>
      <c r="T30" s="37" t="n">
        <f aca="false">IF(A30&lt;01_Inputs!$B$78,01_Inputs!$B$63,IF(D30="개선 (2대·105℃)",01_Inputs!$B$68,01_Inputs!$B$65))*1000/12</f>
        <v>3933.33333333333</v>
      </c>
      <c r="U30" s="70" t="n">
        <f aca="false">IF(ISNUMBER(01_Inputs!$C$134),01_Inputs!$C$134,"미제시")</f>
        <v>1893.33333333333</v>
      </c>
      <c r="V30" s="70" t="n">
        <f aca="false">IF(ISNUMBER(01_Inputs!$C$135),01_Inputs!$C$135,"미제시")</f>
        <v>780</v>
      </c>
      <c r="W30" s="70" t="n">
        <f aca="false">IF(ISNUMBER(01_Inputs!$C$136),01_Inputs!$C$136,"미제시")</f>
        <v>1120</v>
      </c>
      <c r="X30" s="70" t="n">
        <f aca="false">IF(ISNUMBER(01_Inputs!$C$137),01_Inputs!$C$137,"미제시")</f>
        <v>300</v>
      </c>
      <c r="Y30" s="35" t="n">
        <f aca="false">SUM(U30:X30)</f>
        <v>4093.33333333333</v>
      </c>
      <c r="Z30" s="64" t="n">
        <f aca="false">Y30/Q30</f>
        <v>21.5438596491228</v>
      </c>
      <c r="AA30" s="64" t="n">
        <f aca="false">(N(U30)+N(V30))/01_Inputs!$B$42</f>
        <v>133.666666666667</v>
      </c>
      <c r="AB30" s="15" t="n">
        <f aca="false">AA30*01_Inputs!$B$28</f>
        <v>267.333333333333</v>
      </c>
      <c r="AC30" s="15" t="n">
        <f aca="false">AA30/01_Inputs!$B$29*01_Inputs!$B$32</f>
        <v>29.7037037037037</v>
      </c>
      <c r="AD30" s="64" t="n">
        <f aca="false">N(W30)/01_Inputs!$B$43</f>
        <v>8</v>
      </c>
      <c r="AE30" s="64" t="n">
        <f aca="false">N(X30)/01_Inputs!$B$44</f>
        <v>2</v>
      </c>
      <c r="AF30" s="13" t="str">
        <f aca="false">IF(AD30=0,"-",IF(A30&gt;=01_Inputs!$B$47,"ARS","수동"))</f>
        <v>ARS</v>
      </c>
      <c r="AG30" s="13" t="str">
        <f aca="false">IF(AE30=0,"-",IF(A30&gt;=01_Inputs!$B$46,"ARS","수동"))</f>
        <v>ARS</v>
      </c>
      <c r="AH30" s="15" t="str">
        <f aca="false">IF(AD30=0,0,IF(AF30="수동",AD30*01_Inputs!$B$34,IF(ISNUMBER(01_Inputs!$B$36),AD30*01_Inputs!$B$36,"미확인")))</f>
        <v>미확인</v>
      </c>
      <c r="AI30" s="15" t="str">
        <f aca="false">IF(AE30=0,0,IF(AG30="수동",IF(ISNUMBER(01_Inputs!$B$35),AE30*01_Inputs!$B$35,"미확인"),IF(ISNUMBER(01_Inputs!$B$37),AE30*01_Inputs!$B$37,"미확인")))</f>
        <v>미확인</v>
      </c>
      <c r="AJ30" s="15" t="str">
        <f aca="false">IF(AND(ISNUMBER(AH30),ISNUMBER(AI30)),AH30+AI30,"부분 "&amp;TEXT(N(AH30)+N(AI30),"0")&amp;" h + 미확인")</f>
        <v>부분 0 h + 미확인</v>
      </c>
      <c r="AK30" s="15" t="n">
        <f aca="false">(AD30+AE30)*01_Inputs!$B$38</f>
        <v>80</v>
      </c>
      <c r="AL30" s="15" t="n">
        <f aca="false">(AD30+AE30)*01_Inputs!$B$33</f>
        <v>20</v>
      </c>
      <c r="AM30" s="15" t="str">
        <f aca="false">IF(ISNUMBER(01_Inputs!$B$87),01_Inputs!$B$87,"미확인")</f>
        <v>미확인</v>
      </c>
      <c r="AN30" s="15" t="str">
        <f aca="false">IF(ISNUMBER(AM30),AM30-AB30,"미확인")</f>
        <v>미확인</v>
      </c>
      <c r="AO30" s="37" t="n">
        <f aca="false">T30-Y30</f>
        <v>-160</v>
      </c>
      <c r="AP30" s="37" t="str">
        <f aca="false">IF(ISNUMBER(S30),S30-Y30,"미확인")</f>
        <v>미확인</v>
      </c>
      <c r="AQ30" s="37" t="str">
        <f aca="false">IF(AND(ISNUMBER(AP30),ISNUMBER(AQ29)),AQ29+AP30,"보류")</f>
        <v>보류</v>
      </c>
      <c r="AR30" s="37" t="str">
        <f aca="false">IF(ISNUMBER(AZ29),AZ29,"보류")</f>
        <v>보류</v>
      </c>
      <c r="AS30" s="37" t="str">
        <f aca="false">IF(AND(ISNUMBER(AR30),ISNUMBER(S30)),AR30+S30,"보류")</f>
        <v>보류</v>
      </c>
      <c r="AT30" s="37" t="str">
        <f aca="false">IF(ISNUMBER(AS30),MIN(AS30,U30),"보류")</f>
        <v>보류</v>
      </c>
      <c r="AU30" s="37" t="str">
        <f aca="false">IF(ISNUMBER(AS30),MIN(AS30-AT30,N(01_Inputs!$B$104)),"보류")</f>
        <v>보류</v>
      </c>
      <c r="AV30" s="37" t="str">
        <f aca="false">IF(ISNUMBER(AS30),IF((N(V30)+N(W30)+N(X30))=0,0,MIN(N(V30),(AS30-AT30-AU30)*N(V30)/(N(V30)+N(W30)+N(X30)))),"보류")</f>
        <v>보류</v>
      </c>
      <c r="AW30" s="37" t="str">
        <f aca="false">IF(ISNUMBER(AS30),IF((N(V30)+N(W30)+N(X30))=0,0,MIN(N(W30),(AS30-AT30-AU30)*N(W30)/(N(V30)+N(W30)+N(X30)))),"보류")</f>
        <v>보류</v>
      </c>
      <c r="AX30" s="37" t="str">
        <f aca="false">IF(ISNUMBER(AS30),IF((N(V30)+N(W30)+N(X30))=0,0,MIN(N(X30),(AS30-AT30-AU30)*N(X30)/(N(V30)+N(W30)+N(X30)))),"보류")</f>
        <v>보류</v>
      </c>
      <c r="AY30" s="37" t="str">
        <f aca="false">IF(ISNUMBER(AS30),Y30-AT30-AV30-AW30-AX30,"보류")</f>
        <v>보류</v>
      </c>
      <c r="AZ30" s="35" t="str">
        <f aca="false">IF(ISNUMBER(AS30),AS30-AT30-AV30-AW30-AX30,"보류")</f>
        <v>보류</v>
      </c>
      <c r="BA30" s="37" t="str">
        <f aca="false">IF(ISNUMBER(01_Inputs!$B$105),01_Inputs!$B$105,"미입력")</f>
        <v>미입력</v>
      </c>
      <c r="BB30" s="37" t="str">
        <f aca="false">IF(AND(ISNUMBER(AR30),ISNUMBER(BA30)),Y30+BA30-AR30,"보류")</f>
        <v>보류</v>
      </c>
      <c r="BC30" s="37" t="str">
        <f aca="false">IF(AND(ISNUMBER(AZ30),ISNUMBER(BA30)),AZ30-BA30,"보류")</f>
        <v>보류</v>
      </c>
      <c r="BD30" s="13" t="str">
        <f aca="false">IF(ISNUMBER(AZ30),"계산 가능",IF(ISNUMBER(AP30),"부분 (재고 입력 필요)","보류 (생산 조건 미확인)"))</f>
        <v>보류 (생산 조건 미확인)</v>
      </c>
      <c r="BE30" s="9" t="str">
        <f aca="false">IF(D30="공사",IF(ISNUMBER(01_Inputs!$B$80),"","공사 중 가용시간·"),"")&amp;IF(D30="시운전",IF(ISNUMBER(01_Inputs!$B$81),"","시운전 양품·"),"")&amp;IF(D30="개선 (2대)",IF(ISNUMBER(01_Inputs!$B$83),"","설비별 간격·"),"")&amp;IF(D30="개선 (2대·105℃)",IF(ISNUMBER(01_Inputs!$B$73),"","105℃ 간격·"),"")&amp;IF(ISNUMBER(N30),"","실적·")&amp;IF(ISNUMBER(01_Inputs!$B$106),"","양품률(100% 상한)·")&amp;IF(COUNTIF(U30:X30,"미제시")&gt;0,"고객 물량 미제시·","")&amp;IF(ISNUMBER(AJ30),"","200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1" customFormat="false" ht="15" hidden="false" customHeight="false" outlineLevel="0" collapsed="false">
      <c r="A31" s="67" t="n">
        <v>46784</v>
      </c>
      <c r="B31" s="16" t="n">
        <f aca="false">YEAR(A31)</f>
        <v>2028</v>
      </c>
      <c r="C31" s="16" t="n">
        <f aca="false">DAY(EOMONTH(A31,0))</f>
        <v>29</v>
      </c>
      <c r="D31" s="9" t="str">
        <f aca="false">IF(A31&lt;01_Inputs!$B$75,"현재 (1대)",IF(A31&lt;=01_Inputs!$B$76,"공사",IF(A31&lt;01_Inputs!$B$78,"시운전",IF(AND(ISNUMBER(01_Inputs!$B$72),A31&gt;=01_Inputs!$B$72),"개선 (2대·105℃)","개선 (2대)"))))</f>
        <v>개선 (2대)</v>
      </c>
      <c r="E31" s="16" t="n">
        <f aca="false">IF(LEFT(D31,2)="개선",01_Inputs!$B$8,01_Inputs!$B$7)</f>
        <v>2</v>
      </c>
      <c r="F31" s="68"/>
      <c r="G31" s="15" t="n">
        <f aca="false">IF(D31="공사",IF(ISNUMBER(01_Inputs!$B$80),01_Inputs!$B$80,"미확인"),IF(D31="시운전","시운전",E31*C31*24-N(F31)))</f>
        <v>1392</v>
      </c>
      <c r="H31" s="27" t="str">
        <f aca="false">IF(OR(D31="현재 (1대)",D31="공사"),03_Capacity_Model!$B$80,IF(D31="개선 (2대)",IF(ISNUMBER(01_Inputs!$B$83),01_Inputs!$B$83,"미확인"),IF(D31="개선 (2대·105℃)",IF(ISNUMBER(01_Inputs!$B$73),01_Inputs!$B$73,"미확인"),"-")))</f>
        <v>미확인</v>
      </c>
      <c r="I31" s="15" t="n">
        <f aca="false">IF(AND(ISNUMBER(K30),D30=D31),K30,0)</f>
        <v>0</v>
      </c>
      <c r="J31" s="48" t="str">
        <f aca="false">IF(D31="시운전",IF(ISNUMBER(01_Inputs!$B$81),01_Inputs!$B$81,"미확인"),IF(AND(ISNUMBER(G31),ISNUMBER(H31)),INT((G31+I31)/H31),"미확인"))</f>
        <v>미확인</v>
      </c>
      <c r="K31" s="15" t="str">
        <f aca="false">IF(AND(ISNUMBER(G31),ISNUMBER(H31),ISNUMBER(J31)),G31+I31-J31*H31,"")</f>
        <v/>
      </c>
      <c r="L31" s="57" t="str">
        <f aca="false">IF(COUNTIFS(02_Batch_Raw!$E$6:$E$61,"&gt;="&amp;A31,02_Batch_Raw!$E$6:$E$61,"&lt;="&amp;EOMONTH(A31,0))=0,"",COUNTIFS(02_Batch_Raw!$E$6:$E$61,"&gt;="&amp;A31,02_Batch_Raw!$E$6:$E$61,"&lt;="&amp;EOMONTH(A31,0)))</f>
        <v/>
      </c>
      <c r="M31" s="57" t="str">
        <f aca="false">""</f>
        <v/>
      </c>
      <c r="N31" s="69"/>
      <c r="O31" s="16" t="str">
        <f aca="false">IF(ISNUMBER(N31),N31,J31)</f>
        <v>미확인</v>
      </c>
      <c r="P31" s="13" t="str">
        <f aca="false">IF(ISNUMBER(N31),"실적 입력",IF(ISNUMBER(J31),"추정 생산 가능량","미확인"))</f>
        <v>미확인</v>
      </c>
      <c r="Q31" s="22" t="n">
        <f aca="false">IF(LEFT(D31,2)="개선",IF(ISNUMBER(01_Inputs!$B$61),01_Inputs!$B$61,01_Inputs!$B$49),01_Inputs!$B$49)</f>
        <v>190</v>
      </c>
      <c r="R31" s="22" t="str">
        <f aca="false">IF(ISNUMBER(O31),O31*Q31,"미확인")</f>
        <v>미확인</v>
      </c>
      <c r="S31" s="45" t="str">
        <f aca="false">IF(ISNUMBER(R31),R31*IF(ISNUMBER(01_Inputs!$B$106),01_Inputs!$B$106,1),"미확인")</f>
        <v>미확인</v>
      </c>
      <c r="T31" s="37" t="n">
        <f aca="false">IF(A31&lt;01_Inputs!$B$78,01_Inputs!$B$63,IF(D31="개선 (2대·105℃)",01_Inputs!$B$68,01_Inputs!$B$65))*1000/12</f>
        <v>3933.33333333333</v>
      </c>
      <c r="U31" s="70" t="n">
        <f aca="false">IF(ISNUMBER(01_Inputs!$D$134),01_Inputs!$D$134,"미제시")</f>
        <v>1893.33333333333</v>
      </c>
      <c r="V31" s="70" t="n">
        <f aca="false">IF(ISNUMBER(01_Inputs!$D$135),01_Inputs!$D$135,"미제시")</f>
        <v>780</v>
      </c>
      <c r="W31" s="70" t="n">
        <f aca="false">IF(ISNUMBER(01_Inputs!$D$136),01_Inputs!$D$136,"미제시")</f>
        <v>1120</v>
      </c>
      <c r="X31" s="70" t="n">
        <f aca="false">IF(ISNUMBER(01_Inputs!$D$137),01_Inputs!$D$137,"미제시")</f>
        <v>300</v>
      </c>
      <c r="Y31" s="35" t="n">
        <f aca="false">SUM(U31:X31)</f>
        <v>4093.33333333333</v>
      </c>
      <c r="Z31" s="64" t="n">
        <f aca="false">Y31/Q31</f>
        <v>21.5438596491228</v>
      </c>
      <c r="AA31" s="64" t="n">
        <f aca="false">(N(U31)+N(V31))/01_Inputs!$B$42</f>
        <v>133.666666666667</v>
      </c>
      <c r="AB31" s="15" t="n">
        <f aca="false">AA31*01_Inputs!$B$28</f>
        <v>267.333333333333</v>
      </c>
      <c r="AC31" s="15" t="n">
        <f aca="false">AA31/01_Inputs!$B$29*01_Inputs!$B$32</f>
        <v>29.7037037037037</v>
      </c>
      <c r="AD31" s="64" t="n">
        <f aca="false">N(W31)/01_Inputs!$B$43</f>
        <v>8</v>
      </c>
      <c r="AE31" s="64" t="n">
        <f aca="false">N(X31)/01_Inputs!$B$44</f>
        <v>2</v>
      </c>
      <c r="AF31" s="13" t="str">
        <f aca="false">IF(AD31=0,"-",IF(A31&gt;=01_Inputs!$B$47,"ARS","수동"))</f>
        <v>ARS</v>
      </c>
      <c r="AG31" s="13" t="str">
        <f aca="false">IF(AE31=0,"-",IF(A31&gt;=01_Inputs!$B$46,"ARS","수동"))</f>
        <v>ARS</v>
      </c>
      <c r="AH31" s="15" t="str">
        <f aca="false">IF(AD31=0,0,IF(AF31="수동",AD31*01_Inputs!$B$34,IF(ISNUMBER(01_Inputs!$B$36),AD31*01_Inputs!$B$36,"미확인")))</f>
        <v>미확인</v>
      </c>
      <c r="AI31" s="15" t="str">
        <f aca="false">IF(AE31=0,0,IF(AG31="수동",IF(ISNUMBER(01_Inputs!$B$35),AE31*01_Inputs!$B$35,"미확인"),IF(ISNUMBER(01_Inputs!$B$37),AE31*01_Inputs!$B$37,"미확인")))</f>
        <v>미확인</v>
      </c>
      <c r="AJ31" s="15" t="str">
        <f aca="false">IF(AND(ISNUMBER(AH31),ISNUMBER(AI31)),AH31+AI31,"부분 "&amp;TEXT(N(AH31)+N(AI31),"0")&amp;" h + 미확인")</f>
        <v>부분 0 h + 미확인</v>
      </c>
      <c r="AK31" s="15" t="n">
        <f aca="false">(AD31+AE31)*01_Inputs!$B$38</f>
        <v>80</v>
      </c>
      <c r="AL31" s="15" t="n">
        <f aca="false">(AD31+AE31)*01_Inputs!$B$33</f>
        <v>20</v>
      </c>
      <c r="AM31" s="15" t="str">
        <f aca="false">IF(ISNUMBER(01_Inputs!$B$87),01_Inputs!$B$87,"미확인")</f>
        <v>미확인</v>
      </c>
      <c r="AN31" s="15" t="str">
        <f aca="false">IF(ISNUMBER(AM31),AM31-AB31,"미확인")</f>
        <v>미확인</v>
      </c>
      <c r="AO31" s="37" t="n">
        <f aca="false">T31-Y31</f>
        <v>-160</v>
      </c>
      <c r="AP31" s="37" t="str">
        <f aca="false">IF(ISNUMBER(S31),S31-Y31,"미확인")</f>
        <v>미확인</v>
      </c>
      <c r="AQ31" s="37" t="str">
        <f aca="false">IF(AND(ISNUMBER(AP31),ISNUMBER(AQ30)),AQ30+AP31,"보류")</f>
        <v>보류</v>
      </c>
      <c r="AR31" s="37" t="str">
        <f aca="false">IF(ISNUMBER(AZ30),AZ30,"보류")</f>
        <v>보류</v>
      </c>
      <c r="AS31" s="37" t="str">
        <f aca="false">IF(AND(ISNUMBER(AR31),ISNUMBER(S31)),AR31+S31,"보류")</f>
        <v>보류</v>
      </c>
      <c r="AT31" s="37" t="str">
        <f aca="false">IF(ISNUMBER(AS31),MIN(AS31,U31),"보류")</f>
        <v>보류</v>
      </c>
      <c r="AU31" s="37" t="str">
        <f aca="false">IF(ISNUMBER(AS31),MIN(AS31-AT31,N(01_Inputs!$B$104)),"보류")</f>
        <v>보류</v>
      </c>
      <c r="AV31" s="37" t="str">
        <f aca="false">IF(ISNUMBER(AS31),IF((N(V31)+N(W31)+N(X31))=0,0,MIN(N(V31),(AS31-AT31-AU31)*N(V31)/(N(V31)+N(W31)+N(X31)))),"보류")</f>
        <v>보류</v>
      </c>
      <c r="AW31" s="37" t="str">
        <f aca="false">IF(ISNUMBER(AS31),IF((N(V31)+N(W31)+N(X31))=0,0,MIN(N(W31),(AS31-AT31-AU31)*N(W31)/(N(V31)+N(W31)+N(X31)))),"보류")</f>
        <v>보류</v>
      </c>
      <c r="AX31" s="37" t="str">
        <f aca="false">IF(ISNUMBER(AS31),IF((N(V31)+N(W31)+N(X31))=0,0,MIN(N(X31),(AS31-AT31-AU31)*N(X31)/(N(V31)+N(W31)+N(X31)))),"보류")</f>
        <v>보류</v>
      </c>
      <c r="AY31" s="37" t="str">
        <f aca="false">IF(ISNUMBER(AS31),Y31-AT31-AV31-AW31-AX31,"보류")</f>
        <v>보류</v>
      </c>
      <c r="AZ31" s="35" t="str">
        <f aca="false">IF(ISNUMBER(AS31),AS31-AT31-AV31-AW31-AX31,"보류")</f>
        <v>보류</v>
      </c>
      <c r="BA31" s="37" t="str">
        <f aca="false">IF(ISNUMBER(01_Inputs!$B$105),01_Inputs!$B$105,"미입력")</f>
        <v>미입력</v>
      </c>
      <c r="BB31" s="37" t="str">
        <f aca="false">IF(AND(ISNUMBER(AR31),ISNUMBER(BA31)),Y31+BA31-AR31,"보류")</f>
        <v>보류</v>
      </c>
      <c r="BC31" s="37" t="str">
        <f aca="false">IF(AND(ISNUMBER(AZ31),ISNUMBER(BA31)),AZ31-BA31,"보류")</f>
        <v>보류</v>
      </c>
      <c r="BD31" s="13" t="str">
        <f aca="false">IF(ISNUMBER(AZ31),"계산 가능",IF(ISNUMBER(AP31),"부분 (재고 입력 필요)","보류 (생산 조건 미확인)"))</f>
        <v>보류 (생산 조건 미확인)</v>
      </c>
      <c r="BE31" s="9" t="str">
        <f aca="false">IF(D31="공사",IF(ISNUMBER(01_Inputs!$B$80),"","공사 중 가용시간·"),"")&amp;IF(D31="시운전",IF(ISNUMBER(01_Inputs!$B$81),"","시운전 양품·"),"")&amp;IF(D31="개선 (2대)",IF(ISNUMBER(01_Inputs!$B$83),"","설비별 간격·"),"")&amp;IF(D31="개선 (2대·105℃)",IF(ISNUMBER(01_Inputs!$B$73),"","105℃ 간격·"),"")&amp;IF(ISNUMBER(N31),"","실적·")&amp;IF(ISNUMBER(01_Inputs!$B$106),"","양품률(100% 상한)·")&amp;IF(COUNTIF(U31:X31,"미제시")&gt;0,"고객 물량 미제시·","")&amp;IF(ISNUMBER(AJ31),"","200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2" customFormat="false" ht="15" hidden="false" customHeight="false" outlineLevel="0" collapsed="false">
      <c r="A32" s="67" t="n">
        <v>46813</v>
      </c>
      <c r="B32" s="16" t="n">
        <f aca="false">YEAR(A32)</f>
        <v>2028</v>
      </c>
      <c r="C32" s="16" t="n">
        <f aca="false">DAY(EOMONTH(A32,0))</f>
        <v>31</v>
      </c>
      <c r="D32" s="9" t="str">
        <f aca="false">IF(A32&lt;01_Inputs!$B$75,"현재 (1대)",IF(A32&lt;=01_Inputs!$B$76,"공사",IF(A32&lt;01_Inputs!$B$78,"시운전",IF(AND(ISNUMBER(01_Inputs!$B$72),A32&gt;=01_Inputs!$B$72),"개선 (2대·105℃)","개선 (2대)"))))</f>
        <v>개선 (2대)</v>
      </c>
      <c r="E32" s="16" t="n">
        <f aca="false">IF(LEFT(D32,2)="개선",01_Inputs!$B$8,01_Inputs!$B$7)</f>
        <v>2</v>
      </c>
      <c r="F32" s="68"/>
      <c r="G32" s="15" t="n">
        <f aca="false">IF(D32="공사",IF(ISNUMBER(01_Inputs!$B$80),01_Inputs!$B$80,"미확인"),IF(D32="시운전","시운전",E32*C32*24-N(F32)))</f>
        <v>1488</v>
      </c>
      <c r="H32" s="27" t="str">
        <f aca="false">IF(OR(D32="현재 (1대)",D32="공사"),03_Capacity_Model!$B$80,IF(D32="개선 (2대)",IF(ISNUMBER(01_Inputs!$B$83),01_Inputs!$B$83,"미확인"),IF(D32="개선 (2대·105℃)",IF(ISNUMBER(01_Inputs!$B$73),01_Inputs!$B$73,"미확인"),"-")))</f>
        <v>미확인</v>
      </c>
      <c r="I32" s="15" t="n">
        <f aca="false">IF(AND(ISNUMBER(K31),D31=D32),K31,0)</f>
        <v>0</v>
      </c>
      <c r="J32" s="48" t="str">
        <f aca="false">IF(D32="시운전",IF(ISNUMBER(01_Inputs!$B$81),01_Inputs!$B$81,"미확인"),IF(AND(ISNUMBER(G32),ISNUMBER(H32)),INT((G32+I32)/H32),"미확인"))</f>
        <v>미확인</v>
      </c>
      <c r="K32" s="15" t="str">
        <f aca="false">IF(AND(ISNUMBER(G32),ISNUMBER(H32),ISNUMBER(J32)),G32+I32-J32*H32,"")</f>
        <v/>
      </c>
      <c r="L32" s="57" t="str">
        <f aca="false">IF(COUNTIFS(02_Batch_Raw!$E$6:$E$61,"&gt;="&amp;A32,02_Batch_Raw!$E$6:$E$61,"&lt;="&amp;EOMONTH(A32,0))=0,"",COUNTIFS(02_Batch_Raw!$E$6:$E$61,"&gt;="&amp;A32,02_Batch_Raw!$E$6:$E$61,"&lt;="&amp;EOMONTH(A32,0)))</f>
        <v/>
      </c>
      <c r="M32" s="57" t="str">
        <f aca="false">""</f>
        <v/>
      </c>
      <c r="N32" s="69"/>
      <c r="O32" s="16" t="str">
        <f aca="false">IF(ISNUMBER(N32),N32,J32)</f>
        <v>미확인</v>
      </c>
      <c r="P32" s="13" t="str">
        <f aca="false">IF(ISNUMBER(N32),"실적 입력",IF(ISNUMBER(J32),"추정 생산 가능량","미확인"))</f>
        <v>미확인</v>
      </c>
      <c r="Q32" s="22" t="n">
        <f aca="false">IF(LEFT(D32,2)="개선",IF(ISNUMBER(01_Inputs!$B$61),01_Inputs!$B$61,01_Inputs!$B$49),01_Inputs!$B$49)</f>
        <v>190</v>
      </c>
      <c r="R32" s="22" t="str">
        <f aca="false">IF(ISNUMBER(O32),O32*Q32,"미확인")</f>
        <v>미확인</v>
      </c>
      <c r="S32" s="45" t="str">
        <f aca="false">IF(ISNUMBER(R32),R32*IF(ISNUMBER(01_Inputs!$B$106),01_Inputs!$B$106,1),"미확인")</f>
        <v>미확인</v>
      </c>
      <c r="T32" s="37" t="n">
        <f aca="false">IF(A32&lt;01_Inputs!$B$78,01_Inputs!$B$63,IF(D32="개선 (2대·105℃)",01_Inputs!$B$68,01_Inputs!$B$65))*1000/12</f>
        <v>3933.33333333333</v>
      </c>
      <c r="U32" s="70" t="n">
        <f aca="false">IF(ISNUMBER(01_Inputs!$E$134),01_Inputs!$E$134,"미제시")</f>
        <v>1893.33333333333</v>
      </c>
      <c r="V32" s="70" t="n">
        <f aca="false">IF(ISNUMBER(01_Inputs!$E$135),01_Inputs!$E$135,"미제시")</f>
        <v>780</v>
      </c>
      <c r="W32" s="70" t="n">
        <f aca="false">IF(ISNUMBER(01_Inputs!$E$136),01_Inputs!$E$136,"미제시")</f>
        <v>1120</v>
      </c>
      <c r="X32" s="70" t="n">
        <f aca="false">IF(ISNUMBER(01_Inputs!$E$137),01_Inputs!$E$137,"미제시")</f>
        <v>300</v>
      </c>
      <c r="Y32" s="35" t="n">
        <f aca="false">SUM(U32:X32)</f>
        <v>4093.33333333333</v>
      </c>
      <c r="Z32" s="64" t="n">
        <f aca="false">Y32/Q32</f>
        <v>21.5438596491228</v>
      </c>
      <c r="AA32" s="64" t="n">
        <f aca="false">(N(U32)+N(V32))/01_Inputs!$B$42</f>
        <v>133.666666666667</v>
      </c>
      <c r="AB32" s="15" t="n">
        <f aca="false">AA32*01_Inputs!$B$28</f>
        <v>267.333333333333</v>
      </c>
      <c r="AC32" s="15" t="n">
        <f aca="false">AA32/01_Inputs!$B$29*01_Inputs!$B$32</f>
        <v>29.7037037037037</v>
      </c>
      <c r="AD32" s="64" t="n">
        <f aca="false">N(W32)/01_Inputs!$B$43</f>
        <v>8</v>
      </c>
      <c r="AE32" s="64" t="n">
        <f aca="false">N(X32)/01_Inputs!$B$44</f>
        <v>2</v>
      </c>
      <c r="AF32" s="13" t="str">
        <f aca="false">IF(AD32=0,"-",IF(A32&gt;=01_Inputs!$B$47,"ARS","수동"))</f>
        <v>ARS</v>
      </c>
      <c r="AG32" s="13" t="str">
        <f aca="false">IF(AE32=0,"-",IF(A32&gt;=01_Inputs!$B$46,"ARS","수동"))</f>
        <v>ARS</v>
      </c>
      <c r="AH32" s="15" t="str">
        <f aca="false">IF(AD32=0,0,IF(AF32="수동",AD32*01_Inputs!$B$34,IF(ISNUMBER(01_Inputs!$B$36),AD32*01_Inputs!$B$36,"미확인")))</f>
        <v>미확인</v>
      </c>
      <c r="AI32" s="15" t="str">
        <f aca="false">IF(AE32=0,0,IF(AG32="수동",IF(ISNUMBER(01_Inputs!$B$35),AE32*01_Inputs!$B$35,"미확인"),IF(ISNUMBER(01_Inputs!$B$37),AE32*01_Inputs!$B$37,"미확인")))</f>
        <v>미확인</v>
      </c>
      <c r="AJ32" s="15" t="str">
        <f aca="false">IF(AND(ISNUMBER(AH32),ISNUMBER(AI32)),AH32+AI32,"부분 "&amp;TEXT(N(AH32)+N(AI32),"0")&amp;" h + 미확인")</f>
        <v>부분 0 h + 미확인</v>
      </c>
      <c r="AK32" s="15" t="n">
        <f aca="false">(AD32+AE32)*01_Inputs!$B$38</f>
        <v>80</v>
      </c>
      <c r="AL32" s="15" t="n">
        <f aca="false">(AD32+AE32)*01_Inputs!$B$33</f>
        <v>20</v>
      </c>
      <c r="AM32" s="15" t="str">
        <f aca="false">IF(ISNUMBER(01_Inputs!$B$87),01_Inputs!$B$87,"미확인")</f>
        <v>미확인</v>
      </c>
      <c r="AN32" s="15" t="str">
        <f aca="false">IF(ISNUMBER(AM32),AM32-AB32,"미확인")</f>
        <v>미확인</v>
      </c>
      <c r="AO32" s="37" t="n">
        <f aca="false">T32-Y32</f>
        <v>-160</v>
      </c>
      <c r="AP32" s="37" t="str">
        <f aca="false">IF(ISNUMBER(S32),S32-Y32,"미확인")</f>
        <v>미확인</v>
      </c>
      <c r="AQ32" s="37" t="str">
        <f aca="false">IF(AND(ISNUMBER(AP32),ISNUMBER(AQ31)),AQ31+AP32,"보류")</f>
        <v>보류</v>
      </c>
      <c r="AR32" s="37" t="str">
        <f aca="false">IF(ISNUMBER(AZ31),AZ31,"보류")</f>
        <v>보류</v>
      </c>
      <c r="AS32" s="37" t="str">
        <f aca="false">IF(AND(ISNUMBER(AR32),ISNUMBER(S32)),AR32+S32,"보류")</f>
        <v>보류</v>
      </c>
      <c r="AT32" s="37" t="str">
        <f aca="false">IF(ISNUMBER(AS32),MIN(AS32,U32),"보류")</f>
        <v>보류</v>
      </c>
      <c r="AU32" s="37" t="str">
        <f aca="false">IF(ISNUMBER(AS32),MIN(AS32-AT32,N(01_Inputs!$B$104)),"보류")</f>
        <v>보류</v>
      </c>
      <c r="AV32" s="37" t="str">
        <f aca="false">IF(ISNUMBER(AS32),IF((N(V32)+N(W32)+N(X32))=0,0,MIN(N(V32),(AS32-AT32-AU32)*N(V32)/(N(V32)+N(W32)+N(X32)))),"보류")</f>
        <v>보류</v>
      </c>
      <c r="AW32" s="37" t="str">
        <f aca="false">IF(ISNUMBER(AS32),IF((N(V32)+N(W32)+N(X32))=0,0,MIN(N(W32),(AS32-AT32-AU32)*N(W32)/(N(V32)+N(W32)+N(X32)))),"보류")</f>
        <v>보류</v>
      </c>
      <c r="AX32" s="37" t="str">
        <f aca="false">IF(ISNUMBER(AS32),IF((N(V32)+N(W32)+N(X32))=0,0,MIN(N(X32),(AS32-AT32-AU32)*N(X32)/(N(V32)+N(W32)+N(X32)))),"보류")</f>
        <v>보류</v>
      </c>
      <c r="AY32" s="37" t="str">
        <f aca="false">IF(ISNUMBER(AS32),Y32-AT32-AV32-AW32-AX32,"보류")</f>
        <v>보류</v>
      </c>
      <c r="AZ32" s="35" t="str">
        <f aca="false">IF(ISNUMBER(AS32),AS32-AT32-AV32-AW32-AX32,"보류")</f>
        <v>보류</v>
      </c>
      <c r="BA32" s="37" t="str">
        <f aca="false">IF(ISNUMBER(01_Inputs!$B$105),01_Inputs!$B$105,"미입력")</f>
        <v>미입력</v>
      </c>
      <c r="BB32" s="37" t="str">
        <f aca="false">IF(AND(ISNUMBER(AR32),ISNUMBER(BA32)),Y32+BA32-AR32,"보류")</f>
        <v>보류</v>
      </c>
      <c r="BC32" s="37" t="str">
        <f aca="false">IF(AND(ISNUMBER(AZ32),ISNUMBER(BA32)),AZ32-BA32,"보류")</f>
        <v>보류</v>
      </c>
      <c r="BD32" s="13" t="str">
        <f aca="false">IF(ISNUMBER(AZ32),"계산 가능",IF(ISNUMBER(AP32),"부분 (재고 입력 필요)","보류 (생산 조건 미확인)"))</f>
        <v>보류 (생산 조건 미확인)</v>
      </c>
      <c r="BE32" s="9" t="str">
        <f aca="false">IF(D32="공사",IF(ISNUMBER(01_Inputs!$B$80),"","공사 중 가용시간·"),"")&amp;IF(D32="시운전",IF(ISNUMBER(01_Inputs!$B$81),"","시운전 양품·"),"")&amp;IF(D32="개선 (2대)",IF(ISNUMBER(01_Inputs!$B$83),"","설비별 간격·"),"")&amp;IF(D32="개선 (2대·105℃)",IF(ISNUMBER(01_Inputs!$B$73),"","105℃ 간격·"),"")&amp;IF(ISNUMBER(N32),"","실적·")&amp;IF(ISNUMBER(01_Inputs!$B$106),"","양품률(100% 상한)·")&amp;IF(COUNTIF(U32:X32,"미제시")&gt;0,"고객 물량 미제시·","")&amp;IF(ISNUMBER(AJ32),"","200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3" customFormat="false" ht="15" hidden="false" customHeight="false" outlineLevel="0" collapsed="false">
      <c r="A33" s="67" t="n">
        <v>46844</v>
      </c>
      <c r="B33" s="16" t="n">
        <f aca="false">YEAR(A33)</f>
        <v>2028</v>
      </c>
      <c r="C33" s="16" t="n">
        <f aca="false">DAY(EOMONTH(A33,0))</f>
        <v>30</v>
      </c>
      <c r="D33" s="9" t="str">
        <f aca="false">IF(A33&lt;01_Inputs!$B$75,"현재 (1대)",IF(A33&lt;=01_Inputs!$B$76,"공사",IF(A33&lt;01_Inputs!$B$78,"시운전",IF(AND(ISNUMBER(01_Inputs!$B$72),A33&gt;=01_Inputs!$B$72),"개선 (2대·105℃)","개선 (2대)"))))</f>
        <v>개선 (2대)</v>
      </c>
      <c r="E33" s="16" t="n">
        <f aca="false">IF(LEFT(D33,2)="개선",01_Inputs!$B$8,01_Inputs!$B$7)</f>
        <v>2</v>
      </c>
      <c r="F33" s="68"/>
      <c r="G33" s="15" t="n">
        <f aca="false">IF(D33="공사",IF(ISNUMBER(01_Inputs!$B$80),01_Inputs!$B$80,"미확인"),IF(D33="시운전","시운전",E33*C33*24-N(F33)))</f>
        <v>1440</v>
      </c>
      <c r="H33" s="27" t="str">
        <f aca="false">IF(OR(D33="현재 (1대)",D33="공사"),03_Capacity_Model!$B$80,IF(D33="개선 (2대)",IF(ISNUMBER(01_Inputs!$B$83),01_Inputs!$B$83,"미확인"),IF(D33="개선 (2대·105℃)",IF(ISNUMBER(01_Inputs!$B$73),01_Inputs!$B$73,"미확인"),"-")))</f>
        <v>미확인</v>
      </c>
      <c r="I33" s="15" t="n">
        <f aca="false">IF(AND(ISNUMBER(K32),D32=D33),K32,0)</f>
        <v>0</v>
      </c>
      <c r="J33" s="48" t="str">
        <f aca="false">IF(D33="시운전",IF(ISNUMBER(01_Inputs!$B$81),01_Inputs!$B$81,"미확인"),IF(AND(ISNUMBER(G33),ISNUMBER(H33)),INT((G33+I33)/H33),"미확인"))</f>
        <v>미확인</v>
      </c>
      <c r="K33" s="15" t="str">
        <f aca="false">IF(AND(ISNUMBER(G33),ISNUMBER(H33),ISNUMBER(J33)),G33+I33-J33*H33,"")</f>
        <v/>
      </c>
      <c r="L33" s="57" t="str">
        <f aca="false">IF(COUNTIFS(02_Batch_Raw!$E$6:$E$61,"&gt;="&amp;A33,02_Batch_Raw!$E$6:$E$61,"&lt;="&amp;EOMONTH(A33,0))=0,"",COUNTIFS(02_Batch_Raw!$E$6:$E$61,"&gt;="&amp;A33,02_Batch_Raw!$E$6:$E$61,"&lt;="&amp;EOMONTH(A33,0)))</f>
        <v/>
      </c>
      <c r="M33" s="57" t="str">
        <f aca="false">""</f>
        <v/>
      </c>
      <c r="N33" s="69"/>
      <c r="O33" s="16" t="str">
        <f aca="false">IF(ISNUMBER(N33),N33,J33)</f>
        <v>미확인</v>
      </c>
      <c r="P33" s="13" t="str">
        <f aca="false">IF(ISNUMBER(N33),"실적 입력",IF(ISNUMBER(J33),"추정 생산 가능량","미확인"))</f>
        <v>미확인</v>
      </c>
      <c r="Q33" s="22" t="n">
        <f aca="false">IF(LEFT(D33,2)="개선",IF(ISNUMBER(01_Inputs!$B$61),01_Inputs!$B$61,01_Inputs!$B$49),01_Inputs!$B$49)</f>
        <v>190</v>
      </c>
      <c r="R33" s="22" t="str">
        <f aca="false">IF(ISNUMBER(O33),O33*Q33,"미확인")</f>
        <v>미확인</v>
      </c>
      <c r="S33" s="45" t="str">
        <f aca="false">IF(ISNUMBER(R33),R33*IF(ISNUMBER(01_Inputs!$B$106),01_Inputs!$B$106,1),"미확인")</f>
        <v>미확인</v>
      </c>
      <c r="T33" s="37" t="n">
        <f aca="false">IF(A33&lt;01_Inputs!$B$78,01_Inputs!$B$63,IF(D33="개선 (2대·105℃)",01_Inputs!$B$68,01_Inputs!$B$65))*1000/12</f>
        <v>3933.33333333333</v>
      </c>
      <c r="U33" s="70" t="n">
        <f aca="false">IF(ISNUMBER(01_Inputs!$F$134),01_Inputs!$F$134,"미제시")</f>
        <v>1893.33333333333</v>
      </c>
      <c r="V33" s="70" t="n">
        <f aca="false">IF(ISNUMBER(01_Inputs!$F$135),01_Inputs!$F$135,"미제시")</f>
        <v>780</v>
      </c>
      <c r="W33" s="70" t="n">
        <f aca="false">IF(ISNUMBER(01_Inputs!$F$136),01_Inputs!$F$136,"미제시")</f>
        <v>1120</v>
      </c>
      <c r="X33" s="70" t="n">
        <f aca="false">IF(ISNUMBER(01_Inputs!$F$137),01_Inputs!$F$137,"미제시")</f>
        <v>300</v>
      </c>
      <c r="Y33" s="35" t="n">
        <f aca="false">SUM(U33:X33)</f>
        <v>4093.33333333333</v>
      </c>
      <c r="Z33" s="64" t="n">
        <f aca="false">Y33/Q33</f>
        <v>21.5438596491228</v>
      </c>
      <c r="AA33" s="64" t="n">
        <f aca="false">(N(U33)+N(V33))/01_Inputs!$B$42</f>
        <v>133.666666666667</v>
      </c>
      <c r="AB33" s="15" t="n">
        <f aca="false">AA33*01_Inputs!$B$28</f>
        <v>267.333333333333</v>
      </c>
      <c r="AC33" s="15" t="n">
        <f aca="false">AA33/01_Inputs!$B$29*01_Inputs!$B$32</f>
        <v>29.7037037037037</v>
      </c>
      <c r="AD33" s="64" t="n">
        <f aca="false">N(W33)/01_Inputs!$B$43</f>
        <v>8</v>
      </c>
      <c r="AE33" s="64" t="n">
        <f aca="false">N(X33)/01_Inputs!$B$44</f>
        <v>2</v>
      </c>
      <c r="AF33" s="13" t="str">
        <f aca="false">IF(AD33=0,"-",IF(A33&gt;=01_Inputs!$B$47,"ARS","수동"))</f>
        <v>ARS</v>
      </c>
      <c r="AG33" s="13" t="str">
        <f aca="false">IF(AE33=0,"-",IF(A33&gt;=01_Inputs!$B$46,"ARS","수동"))</f>
        <v>ARS</v>
      </c>
      <c r="AH33" s="15" t="str">
        <f aca="false">IF(AD33=0,0,IF(AF33="수동",AD33*01_Inputs!$B$34,IF(ISNUMBER(01_Inputs!$B$36),AD33*01_Inputs!$B$36,"미확인")))</f>
        <v>미확인</v>
      </c>
      <c r="AI33" s="15" t="str">
        <f aca="false">IF(AE33=0,0,IF(AG33="수동",IF(ISNUMBER(01_Inputs!$B$35),AE33*01_Inputs!$B$35,"미확인"),IF(ISNUMBER(01_Inputs!$B$37),AE33*01_Inputs!$B$37,"미확인")))</f>
        <v>미확인</v>
      </c>
      <c r="AJ33" s="15" t="str">
        <f aca="false">IF(AND(ISNUMBER(AH33),ISNUMBER(AI33)),AH33+AI33,"부분 "&amp;TEXT(N(AH33)+N(AI33),"0")&amp;" h + 미확인")</f>
        <v>부분 0 h + 미확인</v>
      </c>
      <c r="AK33" s="15" t="n">
        <f aca="false">(AD33+AE33)*01_Inputs!$B$38</f>
        <v>80</v>
      </c>
      <c r="AL33" s="15" t="n">
        <f aca="false">(AD33+AE33)*01_Inputs!$B$33</f>
        <v>20</v>
      </c>
      <c r="AM33" s="15" t="str">
        <f aca="false">IF(ISNUMBER(01_Inputs!$B$87),01_Inputs!$B$87,"미확인")</f>
        <v>미확인</v>
      </c>
      <c r="AN33" s="15" t="str">
        <f aca="false">IF(ISNUMBER(AM33),AM33-AB33,"미확인")</f>
        <v>미확인</v>
      </c>
      <c r="AO33" s="37" t="n">
        <f aca="false">T33-Y33</f>
        <v>-160</v>
      </c>
      <c r="AP33" s="37" t="str">
        <f aca="false">IF(ISNUMBER(S33),S33-Y33,"미확인")</f>
        <v>미확인</v>
      </c>
      <c r="AQ33" s="37" t="str">
        <f aca="false">IF(AND(ISNUMBER(AP33),ISNUMBER(AQ32)),AQ32+AP33,"보류")</f>
        <v>보류</v>
      </c>
      <c r="AR33" s="37" t="str">
        <f aca="false">IF(ISNUMBER(AZ32),AZ32,"보류")</f>
        <v>보류</v>
      </c>
      <c r="AS33" s="37" t="str">
        <f aca="false">IF(AND(ISNUMBER(AR33),ISNUMBER(S33)),AR33+S33,"보류")</f>
        <v>보류</v>
      </c>
      <c r="AT33" s="37" t="str">
        <f aca="false">IF(ISNUMBER(AS33),MIN(AS33,U33),"보류")</f>
        <v>보류</v>
      </c>
      <c r="AU33" s="37" t="str">
        <f aca="false">IF(ISNUMBER(AS33),MIN(AS33-AT33,N(01_Inputs!$B$104)),"보류")</f>
        <v>보류</v>
      </c>
      <c r="AV33" s="37" t="str">
        <f aca="false">IF(ISNUMBER(AS33),IF((N(V33)+N(W33)+N(X33))=0,0,MIN(N(V33),(AS33-AT33-AU33)*N(V33)/(N(V33)+N(W33)+N(X33)))),"보류")</f>
        <v>보류</v>
      </c>
      <c r="AW33" s="37" t="str">
        <f aca="false">IF(ISNUMBER(AS33),IF((N(V33)+N(W33)+N(X33))=0,0,MIN(N(W33),(AS33-AT33-AU33)*N(W33)/(N(V33)+N(W33)+N(X33)))),"보류")</f>
        <v>보류</v>
      </c>
      <c r="AX33" s="37" t="str">
        <f aca="false">IF(ISNUMBER(AS33),IF((N(V33)+N(W33)+N(X33))=0,0,MIN(N(X33),(AS33-AT33-AU33)*N(X33)/(N(V33)+N(W33)+N(X33)))),"보류")</f>
        <v>보류</v>
      </c>
      <c r="AY33" s="37" t="str">
        <f aca="false">IF(ISNUMBER(AS33),Y33-AT33-AV33-AW33-AX33,"보류")</f>
        <v>보류</v>
      </c>
      <c r="AZ33" s="35" t="str">
        <f aca="false">IF(ISNUMBER(AS33),AS33-AT33-AV33-AW33-AX33,"보류")</f>
        <v>보류</v>
      </c>
      <c r="BA33" s="37" t="str">
        <f aca="false">IF(ISNUMBER(01_Inputs!$B$105),01_Inputs!$B$105,"미입력")</f>
        <v>미입력</v>
      </c>
      <c r="BB33" s="37" t="str">
        <f aca="false">IF(AND(ISNUMBER(AR33),ISNUMBER(BA33)),Y33+BA33-AR33,"보류")</f>
        <v>보류</v>
      </c>
      <c r="BC33" s="37" t="str">
        <f aca="false">IF(AND(ISNUMBER(AZ33),ISNUMBER(BA33)),AZ33-BA33,"보류")</f>
        <v>보류</v>
      </c>
      <c r="BD33" s="13" t="str">
        <f aca="false">IF(ISNUMBER(AZ33),"계산 가능",IF(ISNUMBER(AP33),"부분 (재고 입력 필요)","보류 (생산 조건 미확인)"))</f>
        <v>보류 (생산 조건 미확인)</v>
      </c>
      <c r="BE33" s="9" t="str">
        <f aca="false">IF(D33="공사",IF(ISNUMBER(01_Inputs!$B$80),"","공사 중 가용시간·"),"")&amp;IF(D33="시운전",IF(ISNUMBER(01_Inputs!$B$81),"","시운전 양품·"),"")&amp;IF(D33="개선 (2대)",IF(ISNUMBER(01_Inputs!$B$83),"","설비별 간격·"),"")&amp;IF(D33="개선 (2대·105℃)",IF(ISNUMBER(01_Inputs!$B$73),"","105℃ 간격·"),"")&amp;IF(ISNUMBER(N33),"","실적·")&amp;IF(ISNUMBER(01_Inputs!$B$106),"","양품률(100% 상한)·")&amp;IF(COUNTIF(U33:X33,"미제시")&gt;0,"고객 물량 미제시·","")&amp;IF(ISNUMBER(AJ33),"","200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4" customFormat="false" ht="15" hidden="false" customHeight="false" outlineLevel="0" collapsed="false">
      <c r="A34" s="67" t="n">
        <v>46874</v>
      </c>
      <c r="B34" s="16" t="n">
        <f aca="false">YEAR(A34)</f>
        <v>2028</v>
      </c>
      <c r="C34" s="16" t="n">
        <f aca="false">DAY(EOMONTH(A34,0))</f>
        <v>31</v>
      </c>
      <c r="D34" s="9" t="str">
        <f aca="false">IF(A34&lt;01_Inputs!$B$75,"현재 (1대)",IF(A34&lt;=01_Inputs!$B$76,"공사",IF(A34&lt;01_Inputs!$B$78,"시운전",IF(AND(ISNUMBER(01_Inputs!$B$72),A34&gt;=01_Inputs!$B$72),"개선 (2대·105℃)","개선 (2대)"))))</f>
        <v>개선 (2대)</v>
      </c>
      <c r="E34" s="16" t="n">
        <f aca="false">IF(LEFT(D34,2)="개선",01_Inputs!$B$8,01_Inputs!$B$7)</f>
        <v>2</v>
      </c>
      <c r="F34" s="68"/>
      <c r="G34" s="15" t="n">
        <f aca="false">IF(D34="공사",IF(ISNUMBER(01_Inputs!$B$80),01_Inputs!$B$80,"미확인"),IF(D34="시운전","시운전",E34*C34*24-N(F34)))</f>
        <v>1488</v>
      </c>
      <c r="H34" s="27" t="str">
        <f aca="false">IF(OR(D34="현재 (1대)",D34="공사"),03_Capacity_Model!$B$80,IF(D34="개선 (2대)",IF(ISNUMBER(01_Inputs!$B$83),01_Inputs!$B$83,"미확인"),IF(D34="개선 (2대·105℃)",IF(ISNUMBER(01_Inputs!$B$73),01_Inputs!$B$73,"미확인"),"-")))</f>
        <v>미확인</v>
      </c>
      <c r="I34" s="15" t="n">
        <f aca="false">IF(AND(ISNUMBER(K33),D33=D34),K33,0)</f>
        <v>0</v>
      </c>
      <c r="J34" s="48" t="str">
        <f aca="false">IF(D34="시운전",IF(ISNUMBER(01_Inputs!$B$81),01_Inputs!$B$81,"미확인"),IF(AND(ISNUMBER(G34),ISNUMBER(H34)),INT((G34+I34)/H34),"미확인"))</f>
        <v>미확인</v>
      </c>
      <c r="K34" s="15" t="str">
        <f aca="false">IF(AND(ISNUMBER(G34),ISNUMBER(H34),ISNUMBER(J34)),G34+I34-J34*H34,"")</f>
        <v/>
      </c>
      <c r="L34" s="57" t="str">
        <f aca="false">IF(COUNTIFS(02_Batch_Raw!$E$6:$E$61,"&gt;="&amp;A34,02_Batch_Raw!$E$6:$E$61,"&lt;="&amp;EOMONTH(A34,0))=0,"",COUNTIFS(02_Batch_Raw!$E$6:$E$61,"&gt;="&amp;A34,02_Batch_Raw!$E$6:$E$61,"&lt;="&amp;EOMONTH(A34,0)))</f>
        <v/>
      </c>
      <c r="M34" s="57" t="str">
        <f aca="false">""</f>
        <v/>
      </c>
      <c r="N34" s="69"/>
      <c r="O34" s="16" t="str">
        <f aca="false">IF(ISNUMBER(N34),N34,J34)</f>
        <v>미확인</v>
      </c>
      <c r="P34" s="13" t="str">
        <f aca="false">IF(ISNUMBER(N34),"실적 입력",IF(ISNUMBER(J34),"추정 생산 가능량","미확인"))</f>
        <v>미확인</v>
      </c>
      <c r="Q34" s="22" t="n">
        <f aca="false">IF(LEFT(D34,2)="개선",IF(ISNUMBER(01_Inputs!$B$61),01_Inputs!$B$61,01_Inputs!$B$49),01_Inputs!$B$49)</f>
        <v>190</v>
      </c>
      <c r="R34" s="22" t="str">
        <f aca="false">IF(ISNUMBER(O34),O34*Q34,"미확인")</f>
        <v>미확인</v>
      </c>
      <c r="S34" s="45" t="str">
        <f aca="false">IF(ISNUMBER(R34),R34*IF(ISNUMBER(01_Inputs!$B$106),01_Inputs!$B$106,1),"미확인")</f>
        <v>미확인</v>
      </c>
      <c r="T34" s="37" t="n">
        <f aca="false">IF(A34&lt;01_Inputs!$B$78,01_Inputs!$B$63,IF(D34="개선 (2대·105℃)",01_Inputs!$B$68,01_Inputs!$B$65))*1000/12</f>
        <v>3933.33333333333</v>
      </c>
      <c r="U34" s="70" t="n">
        <f aca="false">IF(ISNUMBER(01_Inputs!$G$134),01_Inputs!$G$134,"미제시")</f>
        <v>1893.33333333333</v>
      </c>
      <c r="V34" s="70" t="n">
        <f aca="false">IF(ISNUMBER(01_Inputs!$G$135),01_Inputs!$G$135,"미제시")</f>
        <v>780</v>
      </c>
      <c r="W34" s="70" t="n">
        <f aca="false">IF(ISNUMBER(01_Inputs!$G$136),01_Inputs!$G$136,"미제시")</f>
        <v>1120</v>
      </c>
      <c r="X34" s="70" t="n">
        <f aca="false">IF(ISNUMBER(01_Inputs!$G$137),01_Inputs!$G$137,"미제시")</f>
        <v>300</v>
      </c>
      <c r="Y34" s="35" t="n">
        <f aca="false">SUM(U34:X34)</f>
        <v>4093.33333333333</v>
      </c>
      <c r="Z34" s="64" t="n">
        <f aca="false">Y34/Q34</f>
        <v>21.5438596491228</v>
      </c>
      <c r="AA34" s="64" t="n">
        <f aca="false">(N(U34)+N(V34))/01_Inputs!$B$42</f>
        <v>133.666666666667</v>
      </c>
      <c r="AB34" s="15" t="n">
        <f aca="false">AA34*01_Inputs!$B$28</f>
        <v>267.333333333333</v>
      </c>
      <c r="AC34" s="15" t="n">
        <f aca="false">AA34/01_Inputs!$B$29*01_Inputs!$B$32</f>
        <v>29.7037037037037</v>
      </c>
      <c r="AD34" s="64" t="n">
        <f aca="false">N(W34)/01_Inputs!$B$43</f>
        <v>8</v>
      </c>
      <c r="AE34" s="64" t="n">
        <f aca="false">N(X34)/01_Inputs!$B$44</f>
        <v>2</v>
      </c>
      <c r="AF34" s="13" t="str">
        <f aca="false">IF(AD34=0,"-",IF(A34&gt;=01_Inputs!$B$47,"ARS","수동"))</f>
        <v>ARS</v>
      </c>
      <c r="AG34" s="13" t="str">
        <f aca="false">IF(AE34=0,"-",IF(A34&gt;=01_Inputs!$B$46,"ARS","수동"))</f>
        <v>ARS</v>
      </c>
      <c r="AH34" s="15" t="str">
        <f aca="false">IF(AD34=0,0,IF(AF34="수동",AD34*01_Inputs!$B$34,IF(ISNUMBER(01_Inputs!$B$36),AD34*01_Inputs!$B$36,"미확인")))</f>
        <v>미확인</v>
      </c>
      <c r="AI34" s="15" t="str">
        <f aca="false">IF(AE34=0,0,IF(AG34="수동",IF(ISNUMBER(01_Inputs!$B$35),AE34*01_Inputs!$B$35,"미확인"),IF(ISNUMBER(01_Inputs!$B$37),AE34*01_Inputs!$B$37,"미확인")))</f>
        <v>미확인</v>
      </c>
      <c r="AJ34" s="15" t="str">
        <f aca="false">IF(AND(ISNUMBER(AH34),ISNUMBER(AI34)),AH34+AI34,"부분 "&amp;TEXT(N(AH34)+N(AI34),"0")&amp;" h + 미확인")</f>
        <v>부분 0 h + 미확인</v>
      </c>
      <c r="AK34" s="15" t="n">
        <f aca="false">(AD34+AE34)*01_Inputs!$B$38</f>
        <v>80</v>
      </c>
      <c r="AL34" s="15" t="n">
        <f aca="false">(AD34+AE34)*01_Inputs!$B$33</f>
        <v>20</v>
      </c>
      <c r="AM34" s="15" t="str">
        <f aca="false">IF(ISNUMBER(01_Inputs!$B$87),01_Inputs!$B$87,"미확인")</f>
        <v>미확인</v>
      </c>
      <c r="AN34" s="15" t="str">
        <f aca="false">IF(ISNUMBER(AM34),AM34-AB34,"미확인")</f>
        <v>미확인</v>
      </c>
      <c r="AO34" s="37" t="n">
        <f aca="false">T34-Y34</f>
        <v>-160</v>
      </c>
      <c r="AP34" s="37" t="str">
        <f aca="false">IF(ISNUMBER(S34),S34-Y34,"미확인")</f>
        <v>미확인</v>
      </c>
      <c r="AQ34" s="37" t="str">
        <f aca="false">IF(AND(ISNUMBER(AP34),ISNUMBER(AQ33)),AQ33+AP34,"보류")</f>
        <v>보류</v>
      </c>
      <c r="AR34" s="37" t="str">
        <f aca="false">IF(ISNUMBER(AZ33),AZ33,"보류")</f>
        <v>보류</v>
      </c>
      <c r="AS34" s="37" t="str">
        <f aca="false">IF(AND(ISNUMBER(AR34),ISNUMBER(S34)),AR34+S34,"보류")</f>
        <v>보류</v>
      </c>
      <c r="AT34" s="37" t="str">
        <f aca="false">IF(ISNUMBER(AS34),MIN(AS34,U34),"보류")</f>
        <v>보류</v>
      </c>
      <c r="AU34" s="37" t="str">
        <f aca="false">IF(ISNUMBER(AS34),MIN(AS34-AT34,N(01_Inputs!$B$104)),"보류")</f>
        <v>보류</v>
      </c>
      <c r="AV34" s="37" t="str">
        <f aca="false">IF(ISNUMBER(AS34),IF((N(V34)+N(W34)+N(X34))=0,0,MIN(N(V34),(AS34-AT34-AU34)*N(V34)/(N(V34)+N(W34)+N(X34)))),"보류")</f>
        <v>보류</v>
      </c>
      <c r="AW34" s="37" t="str">
        <f aca="false">IF(ISNUMBER(AS34),IF((N(V34)+N(W34)+N(X34))=0,0,MIN(N(W34),(AS34-AT34-AU34)*N(W34)/(N(V34)+N(W34)+N(X34)))),"보류")</f>
        <v>보류</v>
      </c>
      <c r="AX34" s="37" t="str">
        <f aca="false">IF(ISNUMBER(AS34),IF((N(V34)+N(W34)+N(X34))=0,0,MIN(N(X34),(AS34-AT34-AU34)*N(X34)/(N(V34)+N(W34)+N(X34)))),"보류")</f>
        <v>보류</v>
      </c>
      <c r="AY34" s="37" t="str">
        <f aca="false">IF(ISNUMBER(AS34),Y34-AT34-AV34-AW34-AX34,"보류")</f>
        <v>보류</v>
      </c>
      <c r="AZ34" s="35" t="str">
        <f aca="false">IF(ISNUMBER(AS34),AS34-AT34-AV34-AW34-AX34,"보류")</f>
        <v>보류</v>
      </c>
      <c r="BA34" s="37" t="str">
        <f aca="false">IF(ISNUMBER(01_Inputs!$B$105),01_Inputs!$B$105,"미입력")</f>
        <v>미입력</v>
      </c>
      <c r="BB34" s="37" t="str">
        <f aca="false">IF(AND(ISNUMBER(AR34),ISNUMBER(BA34)),Y34+BA34-AR34,"보류")</f>
        <v>보류</v>
      </c>
      <c r="BC34" s="37" t="str">
        <f aca="false">IF(AND(ISNUMBER(AZ34),ISNUMBER(BA34)),AZ34-BA34,"보류")</f>
        <v>보류</v>
      </c>
      <c r="BD34" s="13" t="str">
        <f aca="false">IF(ISNUMBER(AZ34),"계산 가능",IF(ISNUMBER(AP34),"부분 (재고 입력 필요)","보류 (생산 조건 미확인)"))</f>
        <v>보류 (생산 조건 미확인)</v>
      </c>
      <c r="BE34" s="9" t="str">
        <f aca="false">IF(D34="공사",IF(ISNUMBER(01_Inputs!$B$80),"","공사 중 가용시간·"),"")&amp;IF(D34="시운전",IF(ISNUMBER(01_Inputs!$B$81),"","시운전 양품·"),"")&amp;IF(D34="개선 (2대)",IF(ISNUMBER(01_Inputs!$B$83),"","설비별 간격·"),"")&amp;IF(D34="개선 (2대·105℃)",IF(ISNUMBER(01_Inputs!$B$73),"","105℃ 간격·"),"")&amp;IF(ISNUMBER(N34),"","실적·")&amp;IF(ISNUMBER(01_Inputs!$B$106),"","양품률(100% 상한)·")&amp;IF(COUNTIF(U34:X34,"미제시")&gt;0,"고객 물량 미제시·","")&amp;IF(ISNUMBER(AJ34),"","200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5" customFormat="false" ht="15" hidden="false" customHeight="false" outlineLevel="0" collapsed="false">
      <c r="A35" s="67" t="n">
        <v>46905</v>
      </c>
      <c r="B35" s="16" t="n">
        <f aca="false">YEAR(A35)</f>
        <v>2028</v>
      </c>
      <c r="C35" s="16" t="n">
        <f aca="false">DAY(EOMONTH(A35,0))</f>
        <v>30</v>
      </c>
      <c r="D35" s="9" t="str">
        <f aca="false">IF(A35&lt;01_Inputs!$B$75,"현재 (1대)",IF(A35&lt;=01_Inputs!$B$76,"공사",IF(A35&lt;01_Inputs!$B$78,"시운전",IF(AND(ISNUMBER(01_Inputs!$B$72),A35&gt;=01_Inputs!$B$72),"개선 (2대·105℃)","개선 (2대)"))))</f>
        <v>개선 (2대)</v>
      </c>
      <c r="E35" s="16" t="n">
        <f aca="false">IF(LEFT(D35,2)="개선",01_Inputs!$B$8,01_Inputs!$B$7)</f>
        <v>2</v>
      </c>
      <c r="F35" s="68"/>
      <c r="G35" s="15" t="n">
        <f aca="false">IF(D35="공사",IF(ISNUMBER(01_Inputs!$B$80),01_Inputs!$B$80,"미확인"),IF(D35="시운전","시운전",E35*C35*24-N(F35)))</f>
        <v>1440</v>
      </c>
      <c r="H35" s="27" t="str">
        <f aca="false">IF(OR(D35="현재 (1대)",D35="공사"),03_Capacity_Model!$B$80,IF(D35="개선 (2대)",IF(ISNUMBER(01_Inputs!$B$83),01_Inputs!$B$83,"미확인"),IF(D35="개선 (2대·105℃)",IF(ISNUMBER(01_Inputs!$B$73),01_Inputs!$B$73,"미확인"),"-")))</f>
        <v>미확인</v>
      </c>
      <c r="I35" s="15" t="n">
        <f aca="false">IF(AND(ISNUMBER(K34),D34=D35),K34,0)</f>
        <v>0</v>
      </c>
      <c r="J35" s="48" t="str">
        <f aca="false">IF(D35="시운전",IF(ISNUMBER(01_Inputs!$B$81),01_Inputs!$B$81,"미확인"),IF(AND(ISNUMBER(G35),ISNUMBER(H35)),INT((G35+I35)/H35),"미확인"))</f>
        <v>미확인</v>
      </c>
      <c r="K35" s="15" t="str">
        <f aca="false">IF(AND(ISNUMBER(G35),ISNUMBER(H35),ISNUMBER(J35)),G35+I35-J35*H35,"")</f>
        <v/>
      </c>
      <c r="L35" s="57" t="str">
        <f aca="false">IF(COUNTIFS(02_Batch_Raw!$E$6:$E$61,"&gt;="&amp;A35,02_Batch_Raw!$E$6:$E$61,"&lt;="&amp;EOMONTH(A35,0))=0,"",COUNTIFS(02_Batch_Raw!$E$6:$E$61,"&gt;="&amp;A35,02_Batch_Raw!$E$6:$E$61,"&lt;="&amp;EOMONTH(A35,0)))</f>
        <v/>
      </c>
      <c r="M35" s="57" t="str">
        <f aca="false">""</f>
        <v/>
      </c>
      <c r="N35" s="69"/>
      <c r="O35" s="16" t="str">
        <f aca="false">IF(ISNUMBER(N35),N35,J35)</f>
        <v>미확인</v>
      </c>
      <c r="P35" s="13" t="str">
        <f aca="false">IF(ISNUMBER(N35),"실적 입력",IF(ISNUMBER(J35),"추정 생산 가능량","미확인"))</f>
        <v>미확인</v>
      </c>
      <c r="Q35" s="22" t="n">
        <f aca="false">IF(LEFT(D35,2)="개선",IF(ISNUMBER(01_Inputs!$B$61),01_Inputs!$B$61,01_Inputs!$B$49),01_Inputs!$B$49)</f>
        <v>190</v>
      </c>
      <c r="R35" s="22" t="str">
        <f aca="false">IF(ISNUMBER(O35),O35*Q35,"미확인")</f>
        <v>미확인</v>
      </c>
      <c r="S35" s="45" t="str">
        <f aca="false">IF(ISNUMBER(R35),R35*IF(ISNUMBER(01_Inputs!$B$106),01_Inputs!$B$106,1),"미확인")</f>
        <v>미확인</v>
      </c>
      <c r="T35" s="37" t="n">
        <f aca="false">IF(A35&lt;01_Inputs!$B$78,01_Inputs!$B$63,IF(D35="개선 (2대·105℃)",01_Inputs!$B$68,01_Inputs!$B$65))*1000/12</f>
        <v>3933.33333333333</v>
      </c>
      <c r="U35" s="70" t="n">
        <f aca="false">IF(ISNUMBER(01_Inputs!$H$134),01_Inputs!$H$134,"미제시")</f>
        <v>1893.33333333333</v>
      </c>
      <c r="V35" s="70" t="n">
        <f aca="false">IF(ISNUMBER(01_Inputs!$H$135),01_Inputs!$H$135,"미제시")</f>
        <v>780</v>
      </c>
      <c r="W35" s="70" t="n">
        <f aca="false">IF(ISNUMBER(01_Inputs!$H$136),01_Inputs!$H$136,"미제시")</f>
        <v>1120</v>
      </c>
      <c r="X35" s="70" t="n">
        <f aca="false">IF(ISNUMBER(01_Inputs!$H$137),01_Inputs!$H$137,"미제시")</f>
        <v>300</v>
      </c>
      <c r="Y35" s="35" t="n">
        <f aca="false">SUM(U35:X35)</f>
        <v>4093.33333333333</v>
      </c>
      <c r="Z35" s="64" t="n">
        <f aca="false">Y35/Q35</f>
        <v>21.5438596491228</v>
      </c>
      <c r="AA35" s="64" t="n">
        <f aca="false">(N(U35)+N(V35))/01_Inputs!$B$42</f>
        <v>133.666666666667</v>
      </c>
      <c r="AB35" s="15" t="n">
        <f aca="false">AA35*01_Inputs!$B$28</f>
        <v>267.333333333333</v>
      </c>
      <c r="AC35" s="15" t="n">
        <f aca="false">AA35/01_Inputs!$B$29*01_Inputs!$B$32</f>
        <v>29.7037037037037</v>
      </c>
      <c r="AD35" s="64" t="n">
        <f aca="false">N(W35)/01_Inputs!$B$43</f>
        <v>8</v>
      </c>
      <c r="AE35" s="64" t="n">
        <f aca="false">N(X35)/01_Inputs!$B$44</f>
        <v>2</v>
      </c>
      <c r="AF35" s="13" t="str">
        <f aca="false">IF(AD35=0,"-",IF(A35&gt;=01_Inputs!$B$47,"ARS","수동"))</f>
        <v>ARS</v>
      </c>
      <c r="AG35" s="13" t="str">
        <f aca="false">IF(AE35=0,"-",IF(A35&gt;=01_Inputs!$B$46,"ARS","수동"))</f>
        <v>ARS</v>
      </c>
      <c r="AH35" s="15" t="str">
        <f aca="false">IF(AD35=0,0,IF(AF35="수동",AD35*01_Inputs!$B$34,IF(ISNUMBER(01_Inputs!$B$36),AD35*01_Inputs!$B$36,"미확인")))</f>
        <v>미확인</v>
      </c>
      <c r="AI35" s="15" t="str">
        <f aca="false">IF(AE35=0,0,IF(AG35="수동",IF(ISNUMBER(01_Inputs!$B$35),AE35*01_Inputs!$B$35,"미확인"),IF(ISNUMBER(01_Inputs!$B$37),AE35*01_Inputs!$B$37,"미확인")))</f>
        <v>미확인</v>
      </c>
      <c r="AJ35" s="15" t="str">
        <f aca="false">IF(AND(ISNUMBER(AH35),ISNUMBER(AI35)),AH35+AI35,"부분 "&amp;TEXT(N(AH35)+N(AI35),"0")&amp;" h + 미확인")</f>
        <v>부분 0 h + 미확인</v>
      </c>
      <c r="AK35" s="15" t="n">
        <f aca="false">(AD35+AE35)*01_Inputs!$B$38</f>
        <v>80</v>
      </c>
      <c r="AL35" s="15" t="n">
        <f aca="false">(AD35+AE35)*01_Inputs!$B$33</f>
        <v>20</v>
      </c>
      <c r="AM35" s="15" t="str">
        <f aca="false">IF(ISNUMBER(01_Inputs!$B$87),01_Inputs!$B$87,"미확인")</f>
        <v>미확인</v>
      </c>
      <c r="AN35" s="15" t="str">
        <f aca="false">IF(ISNUMBER(AM35),AM35-AB35,"미확인")</f>
        <v>미확인</v>
      </c>
      <c r="AO35" s="37" t="n">
        <f aca="false">T35-Y35</f>
        <v>-160</v>
      </c>
      <c r="AP35" s="37" t="str">
        <f aca="false">IF(ISNUMBER(S35),S35-Y35,"미확인")</f>
        <v>미확인</v>
      </c>
      <c r="AQ35" s="37" t="str">
        <f aca="false">IF(AND(ISNUMBER(AP35),ISNUMBER(AQ34)),AQ34+AP35,"보류")</f>
        <v>보류</v>
      </c>
      <c r="AR35" s="37" t="str">
        <f aca="false">IF(ISNUMBER(AZ34),AZ34,"보류")</f>
        <v>보류</v>
      </c>
      <c r="AS35" s="37" t="str">
        <f aca="false">IF(AND(ISNUMBER(AR35),ISNUMBER(S35)),AR35+S35,"보류")</f>
        <v>보류</v>
      </c>
      <c r="AT35" s="37" t="str">
        <f aca="false">IF(ISNUMBER(AS35),MIN(AS35,U35),"보류")</f>
        <v>보류</v>
      </c>
      <c r="AU35" s="37" t="str">
        <f aca="false">IF(ISNUMBER(AS35),MIN(AS35-AT35,N(01_Inputs!$B$104)),"보류")</f>
        <v>보류</v>
      </c>
      <c r="AV35" s="37" t="str">
        <f aca="false">IF(ISNUMBER(AS35),IF((N(V35)+N(W35)+N(X35))=0,0,MIN(N(V35),(AS35-AT35-AU35)*N(V35)/(N(V35)+N(W35)+N(X35)))),"보류")</f>
        <v>보류</v>
      </c>
      <c r="AW35" s="37" t="str">
        <f aca="false">IF(ISNUMBER(AS35),IF((N(V35)+N(W35)+N(X35))=0,0,MIN(N(W35),(AS35-AT35-AU35)*N(W35)/(N(V35)+N(W35)+N(X35)))),"보류")</f>
        <v>보류</v>
      </c>
      <c r="AX35" s="37" t="str">
        <f aca="false">IF(ISNUMBER(AS35),IF((N(V35)+N(W35)+N(X35))=0,0,MIN(N(X35),(AS35-AT35-AU35)*N(X35)/(N(V35)+N(W35)+N(X35)))),"보류")</f>
        <v>보류</v>
      </c>
      <c r="AY35" s="37" t="str">
        <f aca="false">IF(ISNUMBER(AS35),Y35-AT35-AV35-AW35-AX35,"보류")</f>
        <v>보류</v>
      </c>
      <c r="AZ35" s="35" t="str">
        <f aca="false">IF(ISNUMBER(AS35),AS35-AT35-AV35-AW35-AX35,"보류")</f>
        <v>보류</v>
      </c>
      <c r="BA35" s="37" t="str">
        <f aca="false">IF(ISNUMBER(01_Inputs!$B$105),01_Inputs!$B$105,"미입력")</f>
        <v>미입력</v>
      </c>
      <c r="BB35" s="37" t="str">
        <f aca="false">IF(AND(ISNUMBER(AR35),ISNUMBER(BA35)),Y35+BA35-AR35,"보류")</f>
        <v>보류</v>
      </c>
      <c r="BC35" s="37" t="str">
        <f aca="false">IF(AND(ISNUMBER(AZ35),ISNUMBER(BA35)),AZ35-BA35,"보류")</f>
        <v>보류</v>
      </c>
      <c r="BD35" s="13" t="str">
        <f aca="false">IF(ISNUMBER(AZ35),"계산 가능",IF(ISNUMBER(AP35),"부분 (재고 입력 필요)","보류 (생산 조건 미확인)"))</f>
        <v>보류 (생산 조건 미확인)</v>
      </c>
      <c r="BE35" s="9" t="str">
        <f aca="false">IF(D35="공사",IF(ISNUMBER(01_Inputs!$B$80),"","공사 중 가용시간·"),"")&amp;IF(D35="시운전",IF(ISNUMBER(01_Inputs!$B$81),"","시운전 양품·"),"")&amp;IF(D35="개선 (2대)",IF(ISNUMBER(01_Inputs!$B$83),"","설비별 간격·"),"")&amp;IF(D35="개선 (2대·105℃)",IF(ISNUMBER(01_Inputs!$B$73),"","105℃ 간격·"),"")&amp;IF(ISNUMBER(N35),"","실적·")&amp;IF(ISNUMBER(01_Inputs!$B$106),"","양품률(100% 상한)·")&amp;IF(COUNTIF(U35:X35,"미제시")&gt;0,"고객 물량 미제시·","")&amp;IF(ISNUMBER(AJ35),"","200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6" customFormat="false" ht="15" hidden="false" customHeight="false" outlineLevel="0" collapsed="false">
      <c r="A36" s="67" t="n">
        <v>46935</v>
      </c>
      <c r="B36" s="16" t="n">
        <f aca="false">YEAR(A36)</f>
        <v>2028</v>
      </c>
      <c r="C36" s="16" t="n">
        <f aca="false">DAY(EOMONTH(A36,0))</f>
        <v>31</v>
      </c>
      <c r="D36" s="9" t="str">
        <f aca="false">IF(A36&lt;01_Inputs!$B$75,"현재 (1대)",IF(A36&lt;=01_Inputs!$B$76,"공사",IF(A36&lt;01_Inputs!$B$78,"시운전",IF(AND(ISNUMBER(01_Inputs!$B$72),A36&gt;=01_Inputs!$B$72),"개선 (2대·105℃)","개선 (2대)"))))</f>
        <v>개선 (2대)</v>
      </c>
      <c r="E36" s="16" t="n">
        <f aca="false">IF(LEFT(D36,2)="개선",01_Inputs!$B$8,01_Inputs!$B$7)</f>
        <v>2</v>
      </c>
      <c r="F36" s="68"/>
      <c r="G36" s="15" t="n">
        <f aca="false">IF(D36="공사",IF(ISNUMBER(01_Inputs!$B$80),01_Inputs!$B$80,"미확인"),IF(D36="시운전","시운전",E36*C36*24-N(F36)))</f>
        <v>1488</v>
      </c>
      <c r="H36" s="27" t="str">
        <f aca="false">IF(OR(D36="현재 (1대)",D36="공사"),03_Capacity_Model!$B$80,IF(D36="개선 (2대)",IF(ISNUMBER(01_Inputs!$B$83),01_Inputs!$B$83,"미확인"),IF(D36="개선 (2대·105℃)",IF(ISNUMBER(01_Inputs!$B$73),01_Inputs!$B$73,"미확인"),"-")))</f>
        <v>미확인</v>
      </c>
      <c r="I36" s="15" t="n">
        <f aca="false">IF(AND(ISNUMBER(K35),D35=D36),K35,0)</f>
        <v>0</v>
      </c>
      <c r="J36" s="48" t="str">
        <f aca="false">IF(D36="시운전",IF(ISNUMBER(01_Inputs!$B$81),01_Inputs!$B$81,"미확인"),IF(AND(ISNUMBER(G36),ISNUMBER(H36)),INT((G36+I36)/H36),"미확인"))</f>
        <v>미확인</v>
      </c>
      <c r="K36" s="15" t="str">
        <f aca="false">IF(AND(ISNUMBER(G36),ISNUMBER(H36),ISNUMBER(J36)),G36+I36-J36*H36,"")</f>
        <v/>
      </c>
      <c r="L36" s="57" t="str">
        <f aca="false">IF(COUNTIFS(02_Batch_Raw!$E$6:$E$61,"&gt;="&amp;A36,02_Batch_Raw!$E$6:$E$61,"&lt;="&amp;EOMONTH(A36,0))=0,"",COUNTIFS(02_Batch_Raw!$E$6:$E$61,"&gt;="&amp;A36,02_Batch_Raw!$E$6:$E$61,"&lt;="&amp;EOMONTH(A36,0)))</f>
        <v/>
      </c>
      <c r="M36" s="57" t="str">
        <f aca="false">""</f>
        <v/>
      </c>
      <c r="N36" s="69"/>
      <c r="O36" s="16" t="str">
        <f aca="false">IF(ISNUMBER(N36),N36,J36)</f>
        <v>미확인</v>
      </c>
      <c r="P36" s="13" t="str">
        <f aca="false">IF(ISNUMBER(N36),"실적 입력",IF(ISNUMBER(J36),"추정 생산 가능량","미확인"))</f>
        <v>미확인</v>
      </c>
      <c r="Q36" s="22" t="n">
        <f aca="false">IF(LEFT(D36,2)="개선",IF(ISNUMBER(01_Inputs!$B$61),01_Inputs!$B$61,01_Inputs!$B$49),01_Inputs!$B$49)</f>
        <v>190</v>
      </c>
      <c r="R36" s="22" t="str">
        <f aca="false">IF(ISNUMBER(O36),O36*Q36,"미확인")</f>
        <v>미확인</v>
      </c>
      <c r="S36" s="45" t="str">
        <f aca="false">IF(ISNUMBER(R36),R36*IF(ISNUMBER(01_Inputs!$B$106),01_Inputs!$B$106,1),"미확인")</f>
        <v>미확인</v>
      </c>
      <c r="T36" s="37" t="n">
        <f aca="false">IF(A36&lt;01_Inputs!$B$78,01_Inputs!$B$63,IF(D36="개선 (2대·105℃)",01_Inputs!$B$68,01_Inputs!$B$65))*1000/12</f>
        <v>3933.33333333333</v>
      </c>
      <c r="U36" s="70" t="n">
        <f aca="false">IF(ISNUMBER(01_Inputs!$I$134),01_Inputs!$I$134,"미제시")</f>
        <v>1893.33333333333</v>
      </c>
      <c r="V36" s="70" t="n">
        <f aca="false">IF(ISNUMBER(01_Inputs!$I$135),01_Inputs!$I$135,"미제시")</f>
        <v>780</v>
      </c>
      <c r="W36" s="70" t="n">
        <f aca="false">IF(ISNUMBER(01_Inputs!$I$136),01_Inputs!$I$136,"미제시")</f>
        <v>1120</v>
      </c>
      <c r="X36" s="70" t="n">
        <f aca="false">IF(ISNUMBER(01_Inputs!$I$137),01_Inputs!$I$137,"미제시")</f>
        <v>300</v>
      </c>
      <c r="Y36" s="35" t="n">
        <f aca="false">SUM(U36:X36)</f>
        <v>4093.33333333333</v>
      </c>
      <c r="Z36" s="64" t="n">
        <f aca="false">Y36/Q36</f>
        <v>21.5438596491228</v>
      </c>
      <c r="AA36" s="64" t="n">
        <f aca="false">(N(U36)+N(V36))/01_Inputs!$B$42</f>
        <v>133.666666666667</v>
      </c>
      <c r="AB36" s="15" t="n">
        <f aca="false">AA36*01_Inputs!$B$28</f>
        <v>267.333333333333</v>
      </c>
      <c r="AC36" s="15" t="n">
        <f aca="false">AA36/01_Inputs!$B$29*01_Inputs!$B$32</f>
        <v>29.7037037037037</v>
      </c>
      <c r="AD36" s="64" t="n">
        <f aca="false">N(W36)/01_Inputs!$B$43</f>
        <v>8</v>
      </c>
      <c r="AE36" s="64" t="n">
        <f aca="false">N(X36)/01_Inputs!$B$44</f>
        <v>2</v>
      </c>
      <c r="AF36" s="13" t="str">
        <f aca="false">IF(AD36=0,"-",IF(A36&gt;=01_Inputs!$B$47,"ARS","수동"))</f>
        <v>ARS</v>
      </c>
      <c r="AG36" s="13" t="str">
        <f aca="false">IF(AE36=0,"-",IF(A36&gt;=01_Inputs!$B$46,"ARS","수동"))</f>
        <v>ARS</v>
      </c>
      <c r="AH36" s="15" t="str">
        <f aca="false">IF(AD36=0,0,IF(AF36="수동",AD36*01_Inputs!$B$34,IF(ISNUMBER(01_Inputs!$B$36),AD36*01_Inputs!$B$36,"미확인")))</f>
        <v>미확인</v>
      </c>
      <c r="AI36" s="15" t="str">
        <f aca="false">IF(AE36=0,0,IF(AG36="수동",IF(ISNUMBER(01_Inputs!$B$35),AE36*01_Inputs!$B$35,"미확인"),IF(ISNUMBER(01_Inputs!$B$37),AE36*01_Inputs!$B$37,"미확인")))</f>
        <v>미확인</v>
      </c>
      <c r="AJ36" s="15" t="str">
        <f aca="false">IF(AND(ISNUMBER(AH36),ISNUMBER(AI36)),AH36+AI36,"부분 "&amp;TEXT(N(AH36)+N(AI36),"0")&amp;" h + 미확인")</f>
        <v>부분 0 h + 미확인</v>
      </c>
      <c r="AK36" s="15" t="n">
        <f aca="false">(AD36+AE36)*01_Inputs!$B$38</f>
        <v>80</v>
      </c>
      <c r="AL36" s="15" t="n">
        <f aca="false">(AD36+AE36)*01_Inputs!$B$33</f>
        <v>20</v>
      </c>
      <c r="AM36" s="15" t="str">
        <f aca="false">IF(ISNUMBER(01_Inputs!$B$87),01_Inputs!$B$87,"미확인")</f>
        <v>미확인</v>
      </c>
      <c r="AN36" s="15" t="str">
        <f aca="false">IF(ISNUMBER(AM36),AM36-AB36,"미확인")</f>
        <v>미확인</v>
      </c>
      <c r="AO36" s="37" t="n">
        <f aca="false">T36-Y36</f>
        <v>-160</v>
      </c>
      <c r="AP36" s="37" t="str">
        <f aca="false">IF(ISNUMBER(S36),S36-Y36,"미확인")</f>
        <v>미확인</v>
      </c>
      <c r="AQ36" s="37" t="str">
        <f aca="false">IF(AND(ISNUMBER(AP36),ISNUMBER(AQ35)),AQ35+AP36,"보류")</f>
        <v>보류</v>
      </c>
      <c r="AR36" s="37" t="str">
        <f aca="false">IF(ISNUMBER(AZ35),AZ35,"보류")</f>
        <v>보류</v>
      </c>
      <c r="AS36" s="37" t="str">
        <f aca="false">IF(AND(ISNUMBER(AR36),ISNUMBER(S36)),AR36+S36,"보류")</f>
        <v>보류</v>
      </c>
      <c r="AT36" s="37" t="str">
        <f aca="false">IF(ISNUMBER(AS36),MIN(AS36,U36),"보류")</f>
        <v>보류</v>
      </c>
      <c r="AU36" s="37" t="str">
        <f aca="false">IF(ISNUMBER(AS36),MIN(AS36-AT36,N(01_Inputs!$B$104)),"보류")</f>
        <v>보류</v>
      </c>
      <c r="AV36" s="37" t="str">
        <f aca="false">IF(ISNUMBER(AS36),IF((N(V36)+N(W36)+N(X36))=0,0,MIN(N(V36),(AS36-AT36-AU36)*N(V36)/(N(V36)+N(W36)+N(X36)))),"보류")</f>
        <v>보류</v>
      </c>
      <c r="AW36" s="37" t="str">
        <f aca="false">IF(ISNUMBER(AS36),IF((N(V36)+N(W36)+N(X36))=0,0,MIN(N(W36),(AS36-AT36-AU36)*N(W36)/(N(V36)+N(W36)+N(X36)))),"보류")</f>
        <v>보류</v>
      </c>
      <c r="AX36" s="37" t="str">
        <f aca="false">IF(ISNUMBER(AS36),IF((N(V36)+N(W36)+N(X36))=0,0,MIN(N(X36),(AS36-AT36-AU36)*N(X36)/(N(V36)+N(W36)+N(X36)))),"보류")</f>
        <v>보류</v>
      </c>
      <c r="AY36" s="37" t="str">
        <f aca="false">IF(ISNUMBER(AS36),Y36-AT36-AV36-AW36-AX36,"보류")</f>
        <v>보류</v>
      </c>
      <c r="AZ36" s="35" t="str">
        <f aca="false">IF(ISNUMBER(AS36),AS36-AT36-AV36-AW36-AX36,"보류")</f>
        <v>보류</v>
      </c>
      <c r="BA36" s="37" t="str">
        <f aca="false">IF(ISNUMBER(01_Inputs!$B$105),01_Inputs!$B$105,"미입력")</f>
        <v>미입력</v>
      </c>
      <c r="BB36" s="37" t="str">
        <f aca="false">IF(AND(ISNUMBER(AR36),ISNUMBER(BA36)),Y36+BA36-AR36,"보류")</f>
        <v>보류</v>
      </c>
      <c r="BC36" s="37" t="str">
        <f aca="false">IF(AND(ISNUMBER(AZ36),ISNUMBER(BA36)),AZ36-BA36,"보류")</f>
        <v>보류</v>
      </c>
      <c r="BD36" s="13" t="str">
        <f aca="false">IF(ISNUMBER(AZ36),"계산 가능",IF(ISNUMBER(AP36),"부분 (재고 입력 필요)","보류 (생산 조건 미확인)"))</f>
        <v>보류 (생산 조건 미확인)</v>
      </c>
      <c r="BE36" s="9" t="str">
        <f aca="false">IF(D36="공사",IF(ISNUMBER(01_Inputs!$B$80),"","공사 중 가용시간·"),"")&amp;IF(D36="시운전",IF(ISNUMBER(01_Inputs!$B$81),"","시운전 양품·"),"")&amp;IF(D36="개선 (2대)",IF(ISNUMBER(01_Inputs!$B$83),"","설비별 간격·"),"")&amp;IF(D36="개선 (2대·105℃)",IF(ISNUMBER(01_Inputs!$B$73),"","105℃ 간격·"),"")&amp;IF(ISNUMBER(N36),"","실적·")&amp;IF(ISNUMBER(01_Inputs!$B$106),"","양품률(100% 상한)·")&amp;IF(COUNTIF(U36:X36,"미제시")&gt;0,"고객 물량 미제시·","")&amp;IF(ISNUMBER(AJ36),"","200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7" customFormat="false" ht="15" hidden="false" customHeight="false" outlineLevel="0" collapsed="false">
      <c r="A37" s="67" t="n">
        <v>46966</v>
      </c>
      <c r="B37" s="16" t="n">
        <f aca="false">YEAR(A37)</f>
        <v>2028</v>
      </c>
      <c r="C37" s="16" t="n">
        <f aca="false">DAY(EOMONTH(A37,0))</f>
        <v>31</v>
      </c>
      <c r="D37" s="9" t="str">
        <f aca="false">IF(A37&lt;01_Inputs!$B$75,"현재 (1대)",IF(A37&lt;=01_Inputs!$B$76,"공사",IF(A37&lt;01_Inputs!$B$78,"시운전",IF(AND(ISNUMBER(01_Inputs!$B$72),A37&gt;=01_Inputs!$B$72),"개선 (2대·105℃)","개선 (2대)"))))</f>
        <v>개선 (2대)</v>
      </c>
      <c r="E37" s="16" t="n">
        <f aca="false">IF(LEFT(D37,2)="개선",01_Inputs!$B$8,01_Inputs!$B$7)</f>
        <v>2</v>
      </c>
      <c r="F37" s="68"/>
      <c r="G37" s="15" t="n">
        <f aca="false">IF(D37="공사",IF(ISNUMBER(01_Inputs!$B$80),01_Inputs!$B$80,"미확인"),IF(D37="시운전","시운전",E37*C37*24-N(F37)))</f>
        <v>1488</v>
      </c>
      <c r="H37" s="27" t="str">
        <f aca="false">IF(OR(D37="현재 (1대)",D37="공사"),03_Capacity_Model!$B$80,IF(D37="개선 (2대)",IF(ISNUMBER(01_Inputs!$B$83),01_Inputs!$B$83,"미확인"),IF(D37="개선 (2대·105℃)",IF(ISNUMBER(01_Inputs!$B$73),01_Inputs!$B$73,"미확인"),"-")))</f>
        <v>미확인</v>
      </c>
      <c r="I37" s="15" t="n">
        <f aca="false">IF(AND(ISNUMBER(K36),D36=D37),K36,0)</f>
        <v>0</v>
      </c>
      <c r="J37" s="48" t="str">
        <f aca="false">IF(D37="시운전",IF(ISNUMBER(01_Inputs!$B$81),01_Inputs!$B$81,"미확인"),IF(AND(ISNUMBER(G37),ISNUMBER(H37)),INT((G37+I37)/H37),"미확인"))</f>
        <v>미확인</v>
      </c>
      <c r="K37" s="15" t="str">
        <f aca="false">IF(AND(ISNUMBER(G37),ISNUMBER(H37),ISNUMBER(J37)),G37+I37-J37*H37,"")</f>
        <v/>
      </c>
      <c r="L37" s="57" t="str">
        <f aca="false">IF(COUNTIFS(02_Batch_Raw!$E$6:$E$61,"&gt;="&amp;A37,02_Batch_Raw!$E$6:$E$61,"&lt;="&amp;EOMONTH(A37,0))=0,"",COUNTIFS(02_Batch_Raw!$E$6:$E$61,"&gt;="&amp;A37,02_Batch_Raw!$E$6:$E$61,"&lt;="&amp;EOMONTH(A37,0)))</f>
        <v/>
      </c>
      <c r="M37" s="57" t="str">
        <f aca="false">""</f>
        <v/>
      </c>
      <c r="N37" s="69"/>
      <c r="O37" s="16" t="str">
        <f aca="false">IF(ISNUMBER(N37),N37,J37)</f>
        <v>미확인</v>
      </c>
      <c r="P37" s="13" t="str">
        <f aca="false">IF(ISNUMBER(N37),"실적 입력",IF(ISNUMBER(J37),"추정 생산 가능량","미확인"))</f>
        <v>미확인</v>
      </c>
      <c r="Q37" s="22" t="n">
        <f aca="false">IF(LEFT(D37,2)="개선",IF(ISNUMBER(01_Inputs!$B$61),01_Inputs!$B$61,01_Inputs!$B$49),01_Inputs!$B$49)</f>
        <v>190</v>
      </c>
      <c r="R37" s="22" t="str">
        <f aca="false">IF(ISNUMBER(O37),O37*Q37,"미확인")</f>
        <v>미확인</v>
      </c>
      <c r="S37" s="45" t="str">
        <f aca="false">IF(ISNUMBER(R37),R37*IF(ISNUMBER(01_Inputs!$B$106),01_Inputs!$B$106,1),"미확인")</f>
        <v>미확인</v>
      </c>
      <c r="T37" s="37" t="n">
        <f aca="false">IF(A37&lt;01_Inputs!$B$78,01_Inputs!$B$63,IF(D37="개선 (2대·105℃)",01_Inputs!$B$68,01_Inputs!$B$65))*1000/12</f>
        <v>3933.33333333333</v>
      </c>
      <c r="U37" s="70" t="n">
        <f aca="false">IF(ISNUMBER(01_Inputs!$J$134),01_Inputs!$J$134,"미제시")</f>
        <v>1893.33333333333</v>
      </c>
      <c r="V37" s="70" t="n">
        <f aca="false">IF(ISNUMBER(01_Inputs!$J$135),01_Inputs!$J$135,"미제시")</f>
        <v>780</v>
      </c>
      <c r="W37" s="70" t="n">
        <f aca="false">IF(ISNUMBER(01_Inputs!$J$136),01_Inputs!$J$136,"미제시")</f>
        <v>1120</v>
      </c>
      <c r="X37" s="70" t="n">
        <f aca="false">IF(ISNUMBER(01_Inputs!$J$137),01_Inputs!$J$137,"미제시")</f>
        <v>300</v>
      </c>
      <c r="Y37" s="35" t="n">
        <f aca="false">SUM(U37:X37)</f>
        <v>4093.33333333333</v>
      </c>
      <c r="Z37" s="64" t="n">
        <f aca="false">Y37/Q37</f>
        <v>21.5438596491228</v>
      </c>
      <c r="AA37" s="64" t="n">
        <f aca="false">(N(U37)+N(V37))/01_Inputs!$B$42</f>
        <v>133.666666666667</v>
      </c>
      <c r="AB37" s="15" t="n">
        <f aca="false">AA37*01_Inputs!$B$28</f>
        <v>267.333333333333</v>
      </c>
      <c r="AC37" s="15" t="n">
        <f aca="false">AA37/01_Inputs!$B$29*01_Inputs!$B$32</f>
        <v>29.7037037037037</v>
      </c>
      <c r="AD37" s="64" t="n">
        <f aca="false">N(W37)/01_Inputs!$B$43</f>
        <v>8</v>
      </c>
      <c r="AE37" s="64" t="n">
        <f aca="false">N(X37)/01_Inputs!$B$44</f>
        <v>2</v>
      </c>
      <c r="AF37" s="13" t="str">
        <f aca="false">IF(AD37=0,"-",IF(A37&gt;=01_Inputs!$B$47,"ARS","수동"))</f>
        <v>ARS</v>
      </c>
      <c r="AG37" s="13" t="str">
        <f aca="false">IF(AE37=0,"-",IF(A37&gt;=01_Inputs!$B$46,"ARS","수동"))</f>
        <v>ARS</v>
      </c>
      <c r="AH37" s="15" t="str">
        <f aca="false">IF(AD37=0,0,IF(AF37="수동",AD37*01_Inputs!$B$34,IF(ISNUMBER(01_Inputs!$B$36),AD37*01_Inputs!$B$36,"미확인")))</f>
        <v>미확인</v>
      </c>
      <c r="AI37" s="15" t="str">
        <f aca="false">IF(AE37=0,0,IF(AG37="수동",IF(ISNUMBER(01_Inputs!$B$35),AE37*01_Inputs!$B$35,"미확인"),IF(ISNUMBER(01_Inputs!$B$37),AE37*01_Inputs!$B$37,"미확인")))</f>
        <v>미확인</v>
      </c>
      <c r="AJ37" s="15" t="str">
        <f aca="false">IF(AND(ISNUMBER(AH37),ISNUMBER(AI37)),AH37+AI37,"부분 "&amp;TEXT(N(AH37)+N(AI37),"0")&amp;" h + 미확인")</f>
        <v>부분 0 h + 미확인</v>
      </c>
      <c r="AK37" s="15" t="n">
        <f aca="false">(AD37+AE37)*01_Inputs!$B$38</f>
        <v>80</v>
      </c>
      <c r="AL37" s="15" t="n">
        <f aca="false">(AD37+AE37)*01_Inputs!$B$33</f>
        <v>20</v>
      </c>
      <c r="AM37" s="15" t="str">
        <f aca="false">IF(ISNUMBER(01_Inputs!$B$87),01_Inputs!$B$87,"미확인")</f>
        <v>미확인</v>
      </c>
      <c r="AN37" s="15" t="str">
        <f aca="false">IF(ISNUMBER(AM37),AM37-AB37,"미확인")</f>
        <v>미확인</v>
      </c>
      <c r="AO37" s="37" t="n">
        <f aca="false">T37-Y37</f>
        <v>-160</v>
      </c>
      <c r="AP37" s="37" t="str">
        <f aca="false">IF(ISNUMBER(S37),S37-Y37,"미확인")</f>
        <v>미확인</v>
      </c>
      <c r="AQ37" s="37" t="str">
        <f aca="false">IF(AND(ISNUMBER(AP37),ISNUMBER(AQ36)),AQ36+AP37,"보류")</f>
        <v>보류</v>
      </c>
      <c r="AR37" s="37" t="str">
        <f aca="false">IF(ISNUMBER(AZ36),AZ36,"보류")</f>
        <v>보류</v>
      </c>
      <c r="AS37" s="37" t="str">
        <f aca="false">IF(AND(ISNUMBER(AR37),ISNUMBER(S37)),AR37+S37,"보류")</f>
        <v>보류</v>
      </c>
      <c r="AT37" s="37" t="str">
        <f aca="false">IF(ISNUMBER(AS37),MIN(AS37,U37),"보류")</f>
        <v>보류</v>
      </c>
      <c r="AU37" s="37" t="str">
        <f aca="false">IF(ISNUMBER(AS37),MIN(AS37-AT37,N(01_Inputs!$B$104)),"보류")</f>
        <v>보류</v>
      </c>
      <c r="AV37" s="37" t="str">
        <f aca="false">IF(ISNUMBER(AS37),IF((N(V37)+N(W37)+N(X37))=0,0,MIN(N(V37),(AS37-AT37-AU37)*N(V37)/(N(V37)+N(W37)+N(X37)))),"보류")</f>
        <v>보류</v>
      </c>
      <c r="AW37" s="37" t="str">
        <f aca="false">IF(ISNUMBER(AS37),IF((N(V37)+N(W37)+N(X37))=0,0,MIN(N(W37),(AS37-AT37-AU37)*N(W37)/(N(V37)+N(W37)+N(X37)))),"보류")</f>
        <v>보류</v>
      </c>
      <c r="AX37" s="37" t="str">
        <f aca="false">IF(ISNUMBER(AS37),IF((N(V37)+N(W37)+N(X37))=0,0,MIN(N(X37),(AS37-AT37-AU37)*N(X37)/(N(V37)+N(W37)+N(X37)))),"보류")</f>
        <v>보류</v>
      </c>
      <c r="AY37" s="37" t="str">
        <f aca="false">IF(ISNUMBER(AS37),Y37-AT37-AV37-AW37-AX37,"보류")</f>
        <v>보류</v>
      </c>
      <c r="AZ37" s="35" t="str">
        <f aca="false">IF(ISNUMBER(AS37),AS37-AT37-AV37-AW37-AX37,"보류")</f>
        <v>보류</v>
      </c>
      <c r="BA37" s="37" t="str">
        <f aca="false">IF(ISNUMBER(01_Inputs!$B$105),01_Inputs!$B$105,"미입력")</f>
        <v>미입력</v>
      </c>
      <c r="BB37" s="37" t="str">
        <f aca="false">IF(AND(ISNUMBER(AR37),ISNUMBER(BA37)),Y37+BA37-AR37,"보류")</f>
        <v>보류</v>
      </c>
      <c r="BC37" s="37" t="str">
        <f aca="false">IF(AND(ISNUMBER(AZ37),ISNUMBER(BA37)),AZ37-BA37,"보류")</f>
        <v>보류</v>
      </c>
      <c r="BD37" s="13" t="str">
        <f aca="false">IF(ISNUMBER(AZ37),"계산 가능",IF(ISNUMBER(AP37),"부분 (재고 입력 필요)","보류 (생산 조건 미확인)"))</f>
        <v>보류 (생산 조건 미확인)</v>
      </c>
      <c r="BE37" s="9" t="str">
        <f aca="false">IF(D37="공사",IF(ISNUMBER(01_Inputs!$B$80),"","공사 중 가용시간·"),"")&amp;IF(D37="시운전",IF(ISNUMBER(01_Inputs!$B$81),"","시운전 양품·"),"")&amp;IF(D37="개선 (2대)",IF(ISNUMBER(01_Inputs!$B$83),"","설비별 간격·"),"")&amp;IF(D37="개선 (2대·105℃)",IF(ISNUMBER(01_Inputs!$B$73),"","105℃ 간격·"),"")&amp;IF(ISNUMBER(N37),"","실적·")&amp;IF(ISNUMBER(01_Inputs!$B$106),"","양품률(100% 상한)·")&amp;IF(COUNTIF(U37:X37,"미제시")&gt;0,"고객 물량 미제시·","")&amp;IF(ISNUMBER(AJ37),"","200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8" customFormat="false" ht="15" hidden="false" customHeight="false" outlineLevel="0" collapsed="false">
      <c r="A38" s="67" t="n">
        <v>46997</v>
      </c>
      <c r="B38" s="16" t="n">
        <f aca="false">YEAR(A38)</f>
        <v>2028</v>
      </c>
      <c r="C38" s="16" t="n">
        <f aca="false">DAY(EOMONTH(A38,0))</f>
        <v>30</v>
      </c>
      <c r="D38" s="9" t="str">
        <f aca="false">IF(A38&lt;01_Inputs!$B$75,"현재 (1대)",IF(A38&lt;=01_Inputs!$B$76,"공사",IF(A38&lt;01_Inputs!$B$78,"시운전",IF(AND(ISNUMBER(01_Inputs!$B$72),A38&gt;=01_Inputs!$B$72),"개선 (2대·105℃)","개선 (2대)"))))</f>
        <v>개선 (2대)</v>
      </c>
      <c r="E38" s="16" t="n">
        <f aca="false">IF(LEFT(D38,2)="개선",01_Inputs!$B$8,01_Inputs!$B$7)</f>
        <v>2</v>
      </c>
      <c r="F38" s="68"/>
      <c r="G38" s="15" t="n">
        <f aca="false">IF(D38="공사",IF(ISNUMBER(01_Inputs!$B$80),01_Inputs!$B$80,"미확인"),IF(D38="시운전","시운전",E38*C38*24-N(F38)))</f>
        <v>1440</v>
      </c>
      <c r="H38" s="27" t="str">
        <f aca="false">IF(OR(D38="현재 (1대)",D38="공사"),03_Capacity_Model!$B$80,IF(D38="개선 (2대)",IF(ISNUMBER(01_Inputs!$B$83),01_Inputs!$B$83,"미확인"),IF(D38="개선 (2대·105℃)",IF(ISNUMBER(01_Inputs!$B$73),01_Inputs!$B$73,"미확인"),"-")))</f>
        <v>미확인</v>
      </c>
      <c r="I38" s="15" t="n">
        <f aca="false">IF(AND(ISNUMBER(K37),D37=D38),K37,0)</f>
        <v>0</v>
      </c>
      <c r="J38" s="48" t="str">
        <f aca="false">IF(D38="시운전",IF(ISNUMBER(01_Inputs!$B$81),01_Inputs!$B$81,"미확인"),IF(AND(ISNUMBER(G38),ISNUMBER(H38)),INT((G38+I38)/H38),"미확인"))</f>
        <v>미확인</v>
      </c>
      <c r="K38" s="15" t="str">
        <f aca="false">IF(AND(ISNUMBER(G38),ISNUMBER(H38),ISNUMBER(J38)),G38+I38-J38*H38,"")</f>
        <v/>
      </c>
      <c r="L38" s="57" t="str">
        <f aca="false">IF(COUNTIFS(02_Batch_Raw!$E$6:$E$61,"&gt;="&amp;A38,02_Batch_Raw!$E$6:$E$61,"&lt;="&amp;EOMONTH(A38,0))=0,"",COUNTIFS(02_Batch_Raw!$E$6:$E$61,"&gt;="&amp;A38,02_Batch_Raw!$E$6:$E$61,"&lt;="&amp;EOMONTH(A38,0)))</f>
        <v/>
      </c>
      <c r="M38" s="57" t="str">
        <f aca="false">""</f>
        <v/>
      </c>
      <c r="N38" s="69"/>
      <c r="O38" s="16" t="str">
        <f aca="false">IF(ISNUMBER(N38),N38,J38)</f>
        <v>미확인</v>
      </c>
      <c r="P38" s="13" t="str">
        <f aca="false">IF(ISNUMBER(N38),"실적 입력",IF(ISNUMBER(J38),"추정 생산 가능량","미확인"))</f>
        <v>미확인</v>
      </c>
      <c r="Q38" s="22" t="n">
        <f aca="false">IF(LEFT(D38,2)="개선",IF(ISNUMBER(01_Inputs!$B$61),01_Inputs!$B$61,01_Inputs!$B$49),01_Inputs!$B$49)</f>
        <v>190</v>
      </c>
      <c r="R38" s="22" t="str">
        <f aca="false">IF(ISNUMBER(O38),O38*Q38,"미확인")</f>
        <v>미확인</v>
      </c>
      <c r="S38" s="45" t="str">
        <f aca="false">IF(ISNUMBER(R38),R38*IF(ISNUMBER(01_Inputs!$B$106),01_Inputs!$B$106,1),"미확인")</f>
        <v>미확인</v>
      </c>
      <c r="T38" s="37" t="n">
        <f aca="false">IF(A38&lt;01_Inputs!$B$78,01_Inputs!$B$63,IF(D38="개선 (2대·105℃)",01_Inputs!$B$68,01_Inputs!$B$65))*1000/12</f>
        <v>3933.33333333333</v>
      </c>
      <c r="U38" s="70" t="n">
        <f aca="false">IF(ISNUMBER(01_Inputs!$K$134),01_Inputs!$K$134,"미제시")</f>
        <v>1893.33333333333</v>
      </c>
      <c r="V38" s="70" t="n">
        <f aca="false">IF(ISNUMBER(01_Inputs!$K$135),01_Inputs!$K$135,"미제시")</f>
        <v>780</v>
      </c>
      <c r="W38" s="70" t="n">
        <f aca="false">IF(ISNUMBER(01_Inputs!$K$136),01_Inputs!$K$136,"미제시")</f>
        <v>1120</v>
      </c>
      <c r="X38" s="70" t="n">
        <f aca="false">IF(ISNUMBER(01_Inputs!$K$137),01_Inputs!$K$137,"미제시")</f>
        <v>300</v>
      </c>
      <c r="Y38" s="35" t="n">
        <f aca="false">SUM(U38:X38)</f>
        <v>4093.33333333333</v>
      </c>
      <c r="Z38" s="64" t="n">
        <f aca="false">Y38/Q38</f>
        <v>21.5438596491228</v>
      </c>
      <c r="AA38" s="64" t="n">
        <f aca="false">(N(U38)+N(V38))/01_Inputs!$B$42</f>
        <v>133.666666666667</v>
      </c>
      <c r="AB38" s="15" t="n">
        <f aca="false">AA38*01_Inputs!$B$28</f>
        <v>267.333333333333</v>
      </c>
      <c r="AC38" s="15" t="n">
        <f aca="false">AA38/01_Inputs!$B$29*01_Inputs!$B$32</f>
        <v>29.7037037037037</v>
      </c>
      <c r="AD38" s="64" t="n">
        <f aca="false">N(W38)/01_Inputs!$B$43</f>
        <v>8</v>
      </c>
      <c r="AE38" s="64" t="n">
        <f aca="false">N(X38)/01_Inputs!$B$44</f>
        <v>2</v>
      </c>
      <c r="AF38" s="13" t="str">
        <f aca="false">IF(AD38=0,"-",IF(A38&gt;=01_Inputs!$B$47,"ARS","수동"))</f>
        <v>ARS</v>
      </c>
      <c r="AG38" s="13" t="str">
        <f aca="false">IF(AE38=0,"-",IF(A38&gt;=01_Inputs!$B$46,"ARS","수동"))</f>
        <v>ARS</v>
      </c>
      <c r="AH38" s="15" t="str">
        <f aca="false">IF(AD38=0,0,IF(AF38="수동",AD38*01_Inputs!$B$34,IF(ISNUMBER(01_Inputs!$B$36),AD38*01_Inputs!$B$36,"미확인")))</f>
        <v>미확인</v>
      </c>
      <c r="AI38" s="15" t="str">
        <f aca="false">IF(AE38=0,0,IF(AG38="수동",IF(ISNUMBER(01_Inputs!$B$35),AE38*01_Inputs!$B$35,"미확인"),IF(ISNUMBER(01_Inputs!$B$37),AE38*01_Inputs!$B$37,"미확인")))</f>
        <v>미확인</v>
      </c>
      <c r="AJ38" s="15" t="str">
        <f aca="false">IF(AND(ISNUMBER(AH38),ISNUMBER(AI38)),AH38+AI38,"부분 "&amp;TEXT(N(AH38)+N(AI38),"0")&amp;" h + 미확인")</f>
        <v>부분 0 h + 미확인</v>
      </c>
      <c r="AK38" s="15" t="n">
        <f aca="false">(AD38+AE38)*01_Inputs!$B$38</f>
        <v>80</v>
      </c>
      <c r="AL38" s="15" t="n">
        <f aca="false">(AD38+AE38)*01_Inputs!$B$33</f>
        <v>20</v>
      </c>
      <c r="AM38" s="15" t="str">
        <f aca="false">IF(ISNUMBER(01_Inputs!$B$87),01_Inputs!$B$87,"미확인")</f>
        <v>미확인</v>
      </c>
      <c r="AN38" s="15" t="str">
        <f aca="false">IF(ISNUMBER(AM38),AM38-AB38,"미확인")</f>
        <v>미확인</v>
      </c>
      <c r="AO38" s="37" t="n">
        <f aca="false">T38-Y38</f>
        <v>-160</v>
      </c>
      <c r="AP38" s="37" t="str">
        <f aca="false">IF(ISNUMBER(S38),S38-Y38,"미확인")</f>
        <v>미확인</v>
      </c>
      <c r="AQ38" s="37" t="str">
        <f aca="false">IF(AND(ISNUMBER(AP38),ISNUMBER(AQ37)),AQ37+AP38,"보류")</f>
        <v>보류</v>
      </c>
      <c r="AR38" s="37" t="str">
        <f aca="false">IF(ISNUMBER(AZ37),AZ37,"보류")</f>
        <v>보류</v>
      </c>
      <c r="AS38" s="37" t="str">
        <f aca="false">IF(AND(ISNUMBER(AR38),ISNUMBER(S38)),AR38+S38,"보류")</f>
        <v>보류</v>
      </c>
      <c r="AT38" s="37" t="str">
        <f aca="false">IF(ISNUMBER(AS38),MIN(AS38,U38),"보류")</f>
        <v>보류</v>
      </c>
      <c r="AU38" s="37" t="str">
        <f aca="false">IF(ISNUMBER(AS38),MIN(AS38-AT38,N(01_Inputs!$B$104)),"보류")</f>
        <v>보류</v>
      </c>
      <c r="AV38" s="37" t="str">
        <f aca="false">IF(ISNUMBER(AS38),IF((N(V38)+N(W38)+N(X38))=0,0,MIN(N(V38),(AS38-AT38-AU38)*N(V38)/(N(V38)+N(W38)+N(X38)))),"보류")</f>
        <v>보류</v>
      </c>
      <c r="AW38" s="37" t="str">
        <f aca="false">IF(ISNUMBER(AS38),IF((N(V38)+N(W38)+N(X38))=0,0,MIN(N(W38),(AS38-AT38-AU38)*N(W38)/(N(V38)+N(W38)+N(X38)))),"보류")</f>
        <v>보류</v>
      </c>
      <c r="AX38" s="37" t="str">
        <f aca="false">IF(ISNUMBER(AS38),IF((N(V38)+N(W38)+N(X38))=0,0,MIN(N(X38),(AS38-AT38-AU38)*N(X38)/(N(V38)+N(W38)+N(X38)))),"보류")</f>
        <v>보류</v>
      </c>
      <c r="AY38" s="37" t="str">
        <f aca="false">IF(ISNUMBER(AS38),Y38-AT38-AV38-AW38-AX38,"보류")</f>
        <v>보류</v>
      </c>
      <c r="AZ38" s="35" t="str">
        <f aca="false">IF(ISNUMBER(AS38),AS38-AT38-AV38-AW38-AX38,"보류")</f>
        <v>보류</v>
      </c>
      <c r="BA38" s="37" t="str">
        <f aca="false">IF(ISNUMBER(01_Inputs!$B$105),01_Inputs!$B$105,"미입력")</f>
        <v>미입력</v>
      </c>
      <c r="BB38" s="37" t="str">
        <f aca="false">IF(AND(ISNUMBER(AR38),ISNUMBER(BA38)),Y38+BA38-AR38,"보류")</f>
        <v>보류</v>
      </c>
      <c r="BC38" s="37" t="str">
        <f aca="false">IF(AND(ISNUMBER(AZ38),ISNUMBER(BA38)),AZ38-BA38,"보류")</f>
        <v>보류</v>
      </c>
      <c r="BD38" s="13" t="str">
        <f aca="false">IF(ISNUMBER(AZ38),"계산 가능",IF(ISNUMBER(AP38),"부분 (재고 입력 필요)","보류 (생산 조건 미확인)"))</f>
        <v>보류 (생산 조건 미확인)</v>
      </c>
      <c r="BE38" s="9" t="str">
        <f aca="false">IF(D38="공사",IF(ISNUMBER(01_Inputs!$B$80),"","공사 중 가용시간·"),"")&amp;IF(D38="시운전",IF(ISNUMBER(01_Inputs!$B$81),"","시운전 양품·"),"")&amp;IF(D38="개선 (2대)",IF(ISNUMBER(01_Inputs!$B$83),"","설비별 간격·"),"")&amp;IF(D38="개선 (2대·105℃)",IF(ISNUMBER(01_Inputs!$B$73),"","105℃ 간격·"),"")&amp;IF(ISNUMBER(N38),"","실적·")&amp;IF(ISNUMBER(01_Inputs!$B$106),"","양품률(100% 상한)·")&amp;IF(COUNTIF(U38:X38,"미제시")&gt;0,"고객 물량 미제시·","")&amp;IF(ISNUMBER(AJ38),"","200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39" customFormat="false" ht="15" hidden="false" customHeight="false" outlineLevel="0" collapsed="false">
      <c r="A39" s="67" t="n">
        <v>47027</v>
      </c>
      <c r="B39" s="16" t="n">
        <f aca="false">YEAR(A39)</f>
        <v>2028</v>
      </c>
      <c r="C39" s="16" t="n">
        <f aca="false">DAY(EOMONTH(A39,0))</f>
        <v>31</v>
      </c>
      <c r="D39" s="9" t="str">
        <f aca="false">IF(A39&lt;01_Inputs!$B$75,"현재 (1대)",IF(A39&lt;=01_Inputs!$B$76,"공사",IF(A39&lt;01_Inputs!$B$78,"시운전",IF(AND(ISNUMBER(01_Inputs!$B$72),A39&gt;=01_Inputs!$B$72),"개선 (2대·105℃)","개선 (2대)"))))</f>
        <v>개선 (2대)</v>
      </c>
      <c r="E39" s="16" t="n">
        <f aca="false">IF(LEFT(D39,2)="개선",01_Inputs!$B$8,01_Inputs!$B$7)</f>
        <v>2</v>
      </c>
      <c r="F39" s="68"/>
      <c r="G39" s="15" t="n">
        <f aca="false">IF(D39="공사",IF(ISNUMBER(01_Inputs!$B$80),01_Inputs!$B$80,"미확인"),IF(D39="시운전","시운전",E39*C39*24-N(F39)))</f>
        <v>1488</v>
      </c>
      <c r="H39" s="27" t="str">
        <f aca="false">IF(OR(D39="현재 (1대)",D39="공사"),03_Capacity_Model!$B$80,IF(D39="개선 (2대)",IF(ISNUMBER(01_Inputs!$B$83),01_Inputs!$B$83,"미확인"),IF(D39="개선 (2대·105℃)",IF(ISNUMBER(01_Inputs!$B$73),01_Inputs!$B$73,"미확인"),"-")))</f>
        <v>미확인</v>
      </c>
      <c r="I39" s="15" t="n">
        <f aca="false">IF(AND(ISNUMBER(K38),D38=D39),K38,0)</f>
        <v>0</v>
      </c>
      <c r="J39" s="48" t="str">
        <f aca="false">IF(D39="시운전",IF(ISNUMBER(01_Inputs!$B$81),01_Inputs!$B$81,"미확인"),IF(AND(ISNUMBER(G39),ISNUMBER(H39)),INT((G39+I39)/H39),"미확인"))</f>
        <v>미확인</v>
      </c>
      <c r="K39" s="15" t="str">
        <f aca="false">IF(AND(ISNUMBER(G39),ISNUMBER(H39),ISNUMBER(J39)),G39+I39-J39*H39,"")</f>
        <v/>
      </c>
      <c r="L39" s="57" t="str">
        <f aca="false">IF(COUNTIFS(02_Batch_Raw!$E$6:$E$61,"&gt;="&amp;A39,02_Batch_Raw!$E$6:$E$61,"&lt;="&amp;EOMONTH(A39,0))=0,"",COUNTIFS(02_Batch_Raw!$E$6:$E$61,"&gt;="&amp;A39,02_Batch_Raw!$E$6:$E$61,"&lt;="&amp;EOMONTH(A39,0)))</f>
        <v/>
      </c>
      <c r="M39" s="57" t="str">
        <f aca="false">""</f>
        <v/>
      </c>
      <c r="N39" s="69"/>
      <c r="O39" s="16" t="str">
        <f aca="false">IF(ISNUMBER(N39),N39,J39)</f>
        <v>미확인</v>
      </c>
      <c r="P39" s="13" t="str">
        <f aca="false">IF(ISNUMBER(N39),"실적 입력",IF(ISNUMBER(J39),"추정 생산 가능량","미확인"))</f>
        <v>미확인</v>
      </c>
      <c r="Q39" s="22" t="n">
        <f aca="false">IF(LEFT(D39,2)="개선",IF(ISNUMBER(01_Inputs!$B$61),01_Inputs!$B$61,01_Inputs!$B$49),01_Inputs!$B$49)</f>
        <v>190</v>
      </c>
      <c r="R39" s="22" t="str">
        <f aca="false">IF(ISNUMBER(O39),O39*Q39,"미확인")</f>
        <v>미확인</v>
      </c>
      <c r="S39" s="45" t="str">
        <f aca="false">IF(ISNUMBER(R39),R39*IF(ISNUMBER(01_Inputs!$B$106),01_Inputs!$B$106,1),"미확인")</f>
        <v>미확인</v>
      </c>
      <c r="T39" s="37" t="n">
        <f aca="false">IF(A39&lt;01_Inputs!$B$78,01_Inputs!$B$63,IF(D39="개선 (2대·105℃)",01_Inputs!$B$68,01_Inputs!$B$65))*1000/12</f>
        <v>3933.33333333333</v>
      </c>
      <c r="U39" s="70" t="n">
        <f aca="false">IF(ISNUMBER(01_Inputs!$L$134),01_Inputs!$L$134,"미제시")</f>
        <v>1893.33333333333</v>
      </c>
      <c r="V39" s="70" t="n">
        <f aca="false">IF(ISNUMBER(01_Inputs!$L$135),01_Inputs!$L$135,"미제시")</f>
        <v>780</v>
      </c>
      <c r="W39" s="70" t="n">
        <f aca="false">IF(ISNUMBER(01_Inputs!$L$136),01_Inputs!$L$136,"미제시")</f>
        <v>1120</v>
      </c>
      <c r="X39" s="70" t="n">
        <f aca="false">IF(ISNUMBER(01_Inputs!$L$137),01_Inputs!$L$137,"미제시")</f>
        <v>300</v>
      </c>
      <c r="Y39" s="35" t="n">
        <f aca="false">SUM(U39:X39)</f>
        <v>4093.33333333333</v>
      </c>
      <c r="Z39" s="64" t="n">
        <f aca="false">Y39/Q39</f>
        <v>21.5438596491228</v>
      </c>
      <c r="AA39" s="64" t="n">
        <f aca="false">(N(U39)+N(V39))/01_Inputs!$B$42</f>
        <v>133.666666666667</v>
      </c>
      <c r="AB39" s="15" t="n">
        <f aca="false">AA39*01_Inputs!$B$28</f>
        <v>267.333333333333</v>
      </c>
      <c r="AC39" s="15" t="n">
        <f aca="false">AA39/01_Inputs!$B$29*01_Inputs!$B$32</f>
        <v>29.7037037037037</v>
      </c>
      <c r="AD39" s="64" t="n">
        <f aca="false">N(W39)/01_Inputs!$B$43</f>
        <v>8</v>
      </c>
      <c r="AE39" s="64" t="n">
        <f aca="false">N(X39)/01_Inputs!$B$44</f>
        <v>2</v>
      </c>
      <c r="AF39" s="13" t="str">
        <f aca="false">IF(AD39=0,"-",IF(A39&gt;=01_Inputs!$B$47,"ARS","수동"))</f>
        <v>ARS</v>
      </c>
      <c r="AG39" s="13" t="str">
        <f aca="false">IF(AE39=0,"-",IF(A39&gt;=01_Inputs!$B$46,"ARS","수동"))</f>
        <v>ARS</v>
      </c>
      <c r="AH39" s="15" t="str">
        <f aca="false">IF(AD39=0,0,IF(AF39="수동",AD39*01_Inputs!$B$34,IF(ISNUMBER(01_Inputs!$B$36),AD39*01_Inputs!$B$36,"미확인")))</f>
        <v>미확인</v>
      </c>
      <c r="AI39" s="15" t="str">
        <f aca="false">IF(AE39=0,0,IF(AG39="수동",IF(ISNUMBER(01_Inputs!$B$35),AE39*01_Inputs!$B$35,"미확인"),IF(ISNUMBER(01_Inputs!$B$37),AE39*01_Inputs!$B$37,"미확인")))</f>
        <v>미확인</v>
      </c>
      <c r="AJ39" s="15" t="str">
        <f aca="false">IF(AND(ISNUMBER(AH39),ISNUMBER(AI39)),AH39+AI39,"부분 "&amp;TEXT(N(AH39)+N(AI39),"0")&amp;" h + 미확인")</f>
        <v>부분 0 h + 미확인</v>
      </c>
      <c r="AK39" s="15" t="n">
        <f aca="false">(AD39+AE39)*01_Inputs!$B$38</f>
        <v>80</v>
      </c>
      <c r="AL39" s="15" t="n">
        <f aca="false">(AD39+AE39)*01_Inputs!$B$33</f>
        <v>20</v>
      </c>
      <c r="AM39" s="15" t="str">
        <f aca="false">IF(ISNUMBER(01_Inputs!$B$87),01_Inputs!$B$87,"미확인")</f>
        <v>미확인</v>
      </c>
      <c r="AN39" s="15" t="str">
        <f aca="false">IF(ISNUMBER(AM39),AM39-AB39,"미확인")</f>
        <v>미확인</v>
      </c>
      <c r="AO39" s="37" t="n">
        <f aca="false">T39-Y39</f>
        <v>-160</v>
      </c>
      <c r="AP39" s="37" t="str">
        <f aca="false">IF(ISNUMBER(S39),S39-Y39,"미확인")</f>
        <v>미확인</v>
      </c>
      <c r="AQ39" s="37" t="str">
        <f aca="false">IF(AND(ISNUMBER(AP39),ISNUMBER(AQ38)),AQ38+AP39,"보류")</f>
        <v>보류</v>
      </c>
      <c r="AR39" s="37" t="str">
        <f aca="false">IF(ISNUMBER(AZ38),AZ38,"보류")</f>
        <v>보류</v>
      </c>
      <c r="AS39" s="37" t="str">
        <f aca="false">IF(AND(ISNUMBER(AR39),ISNUMBER(S39)),AR39+S39,"보류")</f>
        <v>보류</v>
      </c>
      <c r="AT39" s="37" t="str">
        <f aca="false">IF(ISNUMBER(AS39),MIN(AS39,U39),"보류")</f>
        <v>보류</v>
      </c>
      <c r="AU39" s="37" t="str">
        <f aca="false">IF(ISNUMBER(AS39),MIN(AS39-AT39,N(01_Inputs!$B$104)),"보류")</f>
        <v>보류</v>
      </c>
      <c r="AV39" s="37" t="str">
        <f aca="false">IF(ISNUMBER(AS39),IF((N(V39)+N(W39)+N(X39))=0,0,MIN(N(V39),(AS39-AT39-AU39)*N(V39)/(N(V39)+N(W39)+N(X39)))),"보류")</f>
        <v>보류</v>
      </c>
      <c r="AW39" s="37" t="str">
        <f aca="false">IF(ISNUMBER(AS39),IF((N(V39)+N(W39)+N(X39))=0,0,MIN(N(W39),(AS39-AT39-AU39)*N(W39)/(N(V39)+N(W39)+N(X39)))),"보류")</f>
        <v>보류</v>
      </c>
      <c r="AX39" s="37" t="str">
        <f aca="false">IF(ISNUMBER(AS39),IF((N(V39)+N(W39)+N(X39))=0,0,MIN(N(X39),(AS39-AT39-AU39)*N(X39)/(N(V39)+N(W39)+N(X39)))),"보류")</f>
        <v>보류</v>
      </c>
      <c r="AY39" s="37" t="str">
        <f aca="false">IF(ISNUMBER(AS39),Y39-AT39-AV39-AW39-AX39,"보류")</f>
        <v>보류</v>
      </c>
      <c r="AZ39" s="35" t="str">
        <f aca="false">IF(ISNUMBER(AS39),AS39-AT39-AV39-AW39-AX39,"보류")</f>
        <v>보류</v>
      </c>
      <c r="BA39" s="37" t="str">
        <f aca="false">IF(ISNUMBER(01_Inputs!$B$105),01_Inputs!$B$105,"미입력")</f>
        <v>미입력</v>
      </c>
      <c r="BB39" s="37" t="str">
        <f aca="false">IF(AND(ISNUMBER(AR39),ISNUMBER(BA39)),Y39+BA39-AR39,"보류")</f>
        <v>보류</v>
      </c>
      <c r="BC39" s="37" t="str">
        <f aca="false">IF(AND(ISNUMBER(AZ39),ISNUMBER(BA39)),AZ39-BA39,"보류")</f>
        <v>보류</v>
      </c>
      <c r="BD39" s="13" t="str">
        <f aca="false">IF(ISNUMBER(AZ39),"계산 가능",IF(ISNUMBER(AP39),"부분 (재고 입력 필요)","보류 (생산 조건 미확인)"))</f>
        <v>보류 (생산 조건 미확인)</v>
      </c>
      <c r="BE39" s="9" t="str">
        <f aca="false">IF(D39="공사",IF(ISNUMBER(01_Inputs!$B$80),"","공사 중 가용시간·"),"")&amp;IF(D39="시운전",IF(ISNUMBER(01_Inputs!$B$81),"","시운전 양품·"),"")&amp;IF(D39="개선 (2대)",IF(ISNUMBER(01_Inputs!$B$83),"","설비별 간격·"),"")&amp;IF(D39="개선 (2대·105℃)",IF(ISNUMBER(01_Inputs!$B$73),"","105℃ 간격·"),"")&amp;IF(ISNUMBER(N39),"","실적·")&amp;IF(ISNUMBER(01_Inputs!$B$106),"","양품률(100% 상한)·")&amp;IF(COUNTIF(U39:X39,"미제시")&gt;0,"고객 물량 미제시·","")&amp;IF(ISNUMBER(AJ39),"","200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40" customFormat="false" ht="15" hidden="false" customHeight="false" outlineLevel="0" collapsed="false">
      <c r="A40" s="67" t="n">
        <v>47058</v>
      </c>
      <c r="B40" s="16" t="n">
        <f aca="false">YEAR(A40)</f>
        <v>2028</v>
      </c>
      <c r="C40" s="16" t="n">
        <f aca="false">DAY(EOMONTH(A40,0))</f>
        <v>30</v>
      </c>
      <c r="D40" s="9" t="str">
        <f aca="false">IF(A40&lt;01_Inputs!$B$75,"현재 (1대)",IF(A40&lt;=01_Inputs!$B$76,"공사",IF(A40&lt;01_Inputs!$B$78,"시운전",IF(AND(ISNUMBER(01_Inputs!$B$72),A40&gt;=01_Inputs!$B$72),"개선 (2대·105℃)","개선 (2대)"))))</f>
        <v>개선 (2대)</v>
      </c>
      <c r="E40" s="16" t="n">
        <f aca="false">IF(LEFT(D40,2)="개선",01_Inputs!$B$8,01_Inputs!$B$7)</f>
        <v>2</v>
      </c>
      <c r="F40" s="68"/>
      <c r="G40" s="15" t="n">
        <f aca="false">IF(D40="공사",IF(ISNUMBER(01_Inputs!$B$80),01_Inputs!$B$80,"미확인"),IF(D40="시운전","시운전",E40*C40*24-N(F40)))</f>
        <v>1440</v>
      </c>
      <c r="H40" s="27" t="str">
        <f aca="false">IF(OR(D40="현재 (1대)",D40="공사"),03_Capacity_Model!$B$80,IF(D40="개선 (2대)",IF(ISNUMBER(01_Inputs!$B$83),01_Inputs!$B$83,"미확인"),IF(D40="개선 (2대·105℃)",IF(ISNUMBER(01_Inputs!$B$73),01_Inputs!$B$73,"미확인"),"-")))</f>
        <v>미확인</v>
      </c>
      <c r="I40" s="15" t="n">
        <f aca="false">IF(AND(ISNUMBER(K39),D39=D40),K39,0)</f>
        <v>0</v>
      </c>
      <c r="J40" s="48" t="str">
        <f aca="false">IF(D40="시운전",IF(ISNUMBER(01_Inputs!$B$81),01_Inputs!$B$81,"미확인"),IF(AND(ISNUMBER(G40),ISNUMBER(H40)),INT((G40+I40)/H40),"미확인"))</f>
        <v>미확인</v>
      </c>
      <c r="K40" s="15" t="str">
        <f aca="false">IF(AND(ISNUMBER(G40),ISNUMBER(H40),ISNUMBER(J40)),G40+I40-J40*H40,"")</f>
        <v/>
      </c>
      <c r="L40" s="57" t="str">
        <f aca="false">IF(COUNTIFS(02_Batch_Raw!$E$6:$E$61,"&gt;="&amp;A40,02_Batch_Raw!$E$6:$E$61,"&lt;="&amp;EOMONTH(A40,0))=0,"",COUNTIFS(02_Batch_Raw!$E$6:$E$61,"&gt;="&amp;A40,02_Batch_Raw!$E$6:$E$61,"&lt;="&amp;EOMONTH(A40,0)))</f>
        <v/>
      </c>
      <c r="M40" s="57" t="str">
        <f aca="false">""</f>
        <v/>
      </c>
      <c r="N40" s="69"/>
      <c r="O40" s="16" t="str">
        <f aca="false">IF(ISNUMBER(N40),N40,J40)</f>
        <v>미확인</v>
      </c>
      <c r="P40" s="13" t="str">
        <f aca="false">IF(ISNUMBER(N40),"실적 입력",IF(ISNUMBER(J40),"추정 생산 가능량","미확인"))</f>
        <v>미확인</v>
      </c>
      <c r="Q40" s="22" t="n">
        <f aca="false">IF(LEFT(D40,2)="개선",IF(ISNUMBER(01_Inputs!$B$61),01_Inputs!$B$61,01_Inputs!$B$49),01_Inputs!$B$49)</f>
        <v>190</v>
      </c>
      <c r="R40" s="22" t="str">
        <f aca="false">IF(ISNUMBER(O40),O40*Q40,"미확인")</f>
        <v>미확인</v>
      </c>
      <c r="S40" s="45" t="str">
        <f aca="false">IF(ISNUMBER(R40),R40*IF(ISNUMBER(01_Inputs!$B$106),01_Inputs!$B$106,1),"미확인")</f>
        <v>미확인</v>
      </c>
      <c r="T40" s="37" t="n">
        <f aca="false">IF(A40&lt;01_Inputs!$B$78,01_Inputs!$B$63,IF(D40="개선 (2대·105℃)",01_Inputs!$B$68,01_Inputs!$B$65))*1000/12</f>
        <v>3933.33333333333</v>
      </c>
      <c r="U40" s="70" t="n">
        <f aca="false">IF(ISNUMBER(01_Inputs!$M$134),01_Inputs!$M$134,"미제시")</f>
        <v>1893.33333333333</v>
      </c>
      <c r="V40" s="70" t="n">
        <f aca="false">IF(ISNUMBER(01_Inputs!$M$135),01_Inputs!$M$135,"미제시")</f>
        <v>780</v>
      </c>
      <c r="W40" s="70" t="n">
        <f aca="false">IF(ISNUMBER(01_Inputs!$M$136),01_Inputs!$M$136,"미제시")</f>
        <v>1120</v>
      </c>
      <c r="X40" s="70" t="n">
        <f aca="false">IF(ISNUMBER(01_Inputs!$M$137),01_Inputs!$M$137,"미제시")</f>
        <v>300</v>
      </c>
      <c r="Y40" s="35" t="n">
        <f aca="false">SUM(U40:X40)</f>
        <v>4093.33333333333</v>
      </c>
      <c r="Z40" s="64" t="n">
        <f aca="false">Y40/Q40</f>
        <v>21.5438596491228</v>
      </c>
      <c r="AA40" s="64" t="n">
        <f aca="false">(N(U40)+N(V40))/01_Inputs!$B$42</f>
        <v>133.666666666667</v>
      </c>
      <c r="AB40" s="15" t="n">
        <f aca="false">AA40*01_Inputs!$B$28</f>
        <v>267.333333333333</v>
      </c>
      <c r="AC40" s="15" t="n">
        <f aca="false">AA40/01_Inputs!$B$29*01_Inputs!$B$32</f>
        <v>29.7037037037037</v>
      </c>
      <c r="AD40" s="64" t="n">
        <f aca="false">N(W40)/01_Inputs!$B$43</f>
        <v>8</v>
      </c>
      <c r="AE40" s="64" t="n">
        <f aca="false">N(X40)/01_Inputs!$B$44</f>
        <v>2</v>
      </c>
      <c r="AF40" s="13" t="str">
        <f aca="false">IF(AD40=0,"-",IF(A40&gt;=01_Inputs!$B$47,"ARS","수동"))</f>
        <v>ARS</v>
      </c>
      <c r="AG40" s="13" t="str">
        <f aca="false">IF(AE40=0,"-",IF(A40&gt;=01_Inputs!$B$46,"ARS","수동"))</f>
        <v>ARS</v>
      </c>
      <c r="AH40" s="15" t="str">
        <f aca="false">IF(AD40=0,0,IF(AF40="수동",AD40*01_Inputs!$B$34,IF(ISNUMBER(01_Inputs!$B$36),AD40*01_Inputs!$B$36,"미확인")))</f>
        <v>미확인</v>
      </c>
      <c r="AI40" s="15" t="str">
        <f aca="false">IF(AE40=0,0,IF(AG40="수동",IF(ISNUMBER(01_Inputs!$B$35),AE40*01_Inputs!$B$35,"미확인"),IF(ISNUMBER(01_Inputs!$B$37),AE40*01_Inputs!$B$37,"미확인")))</f>
        <v>미확인</v>
      </c>
      <c r="AJ40" s="15" t="str">
        <f aca="false">IF(AND(ISNUMBER(AH40),ISNUMBER(AI40)),AH40+AI40,"부분 "&amp;TEXT(N(AH40)+N(AI40),"0")&amp;" h + 미확인")</f>
        <v>부분 0 h + 미확인</v>
      </c>
      <c r="AK40" s="15" t="n">
        <f aca="false">(AD40+AE40)*01_Inputs!$B$38</f>
        <v>80</v>
      </c>
      <c r="AL40" s="15" t="n">
        <f aca="false">(AD40+AE40)*01_Inputs!$B$33</f>
        <v>20</v>
      </c>
      <c r="AM40" s="15" t="str">
        <f aca="false">IF(ISNUMBER(01_Inputs!$B$87),01_Inputs!$B$87,"미확인")</f>
        <v>미확인</v>
      </c>
      <c r="AN40" s="15" t="str">
        <f aca="false">IF(ISNUMBER(AM40),AM40-AB40,"미확인")</f>
        <v>미확인</v>
      </c>
      <c r="AO40" s="37" t="n">
        <f aca="false">T40-Y40</f>
        <v>-160</v>
      </c>
      <c r="AP40" s="37" t="str">
        <f aca="false">IF(ISNUMBER(S40),S40-Y40,"미확인")</f>
        <v>미확인</v>
      </c>
      <c r="AQ40" s="37" t="str">
        <f aca="false">IF(AND(ISNUMBER(AP40),ISNUMBER(AQ39)),AQ39+AP40,"보류")</f>
        <v>보류</v>
      </c>
      <c r="AR40" s="37" t="str">
        <f aca="false">IF(ISNUMBER(AZ39),AZ39,"보류")</f>
        <v>보류</v>
      </c>
      <c r="AS40" s="37" t="str">
        <f aca="false">IF(AND(ISNUMBER(AR40),ISNUMBER(S40)),AR40+S40,"보류")</f>
        <v>보류</v>
      </c>
      <c r="AT40" s="37" t="str">
        <f aca="false">IF(ISNUMBER(AS40),MIN(AS40,U40),"보류")</f>
        <v>보류</v>
      </c>
      <c r="AU40" s="37" t="str">
        <f aca="false">IF(ISNUMBER(AS40),MIN(AS40-AT40,N(01_Inputs!$B$104)),"보류")</f>
        <v>보류</v>
      </c>
      <c r="AV40" s="37" t="str">
        <f aca="false">IF(ISNUMBER(AS40),IF((N(V40)+N(W40)+N(X40))=0,0,MIN(N(V40),(AS40-AT40-AU40)*N(V40)/(N(V40)+N(W40)+N(X40)))),"보류")</f>
        <v>보류</v>
      </c>
      <c r="AW40" s="37" t="str">
        <f aca="false">IF(ISNUMBER(AS40),IF((N(V40)+N(W40)+N(X40))=0,0,MIN(N(W40),(AS40-AT40-AU40)*N(W40)/(N(V40)+N(W40)+N(X40)))),"보류")</f>
        <v>보류</v>
      </c>
      <c r="AX40" s="37" t="str">
        <f aca="false">IF(ISNUMBER(AS40),IF((N(V40)+N(W40)+N(X40))=0,0,MIN(N(X40),(AS40-AT40-AU40)*N(X40)/(N(V40)+N(W40)+N(X40)))),"보류")</f>
        <v>보류</v>
      </c>
      <c r="AY40" s="37" t="str">
        <f aca="false">IF(ISNUMBER(AS40),Y40-AT40-AV40-AW40-AX40,"보류")</f>
        <v>보류</v>
      </c>
      <c r="AZ40" s="35" t="str">
        <f aca="false">IF(ISNUMBER(AS40),AS40-AT40-AV40-AW40-AX40,"보류")</f>
        <v>보류</v>
      </c>
      <c r="BA40" s="37" t="str">
        <f aca="false">IF(ISNUMBER(01_Inputs!$B$105),01_Inputs!$B$105,"미입력")</f>
        <v>미입력</v>
      </c>
      <c r="BB40" s="37" t="str">
        <f aca="false">IF(AND(ISNUMBER(AR40),ISNUMBER(BA40)),Y40+BA40-AR40,"보류")</f>
        <v>보류</v>
      </c>
      <c r="BC40" s="37" t="str">
        <f aca="false">IF(AND(ISNUMBER(AZ40),ISNUMBER(BA40)),AZ40-BA40,"보류")</f>
        <v>보류</v>
      </c>
      <c r="BD40" s="13" t="str">
        <f aca="false">IF(ISNUMBER(AZ40),"계산 가능",IF(ISNUMBER(AP40),"부분 (재고 입력 필요)","보류 (생산 조건 미확인)"))</f>
        <v>보류 (생산 조건 미확인)</v>
      </c>
      <c r="BE40" s="9" t="str">
        <f aca="false">IF(D40="공사",IF(ISNUMBER(01_Inputs!$B$80),"","공사 중 가용시간·"),"")&amp;IF(D40="시운전",IF(ISNUMBER(01_Inputs!$B$81),"","시운전 양품·"),"")&amp;IF(D40="개선 (2대)",IF(ISNUMBER(01_Inputs!$B$83),"","설비별 간격·"),"")&amp;IF(D40="개선 (2대·105℃)",IF(ISNUMBER(01_Inputs!$B$73),"","105℃ 간격·"),"")&amp;IF(ISNUMBER(N40),"","실적·")&amp;IF(ISNUMBER(01_Inputs!$B$106),"","양품률(100% 상한)·")&amp;IF(COUNTIF(U40:X40,"미제시")&gt;0,"고객 물량 미제시·","")&amp;IF(ISNUMBER(AJ40),"","200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41" customFormat="false" ht="15" hidden="false" customHeight="false" outlineLevel="0" collapsed="false">
      <c r="A41" s="67" t="n">
        <v>47088</v>
      </c>
      <c r="B41" s="16" t="n">
        <f aca="false">YEAR(A41)</f>
        <v>2028</v>
      </c>
      <c r="C41" s="16" t="n">
        <f aca="false">DAY(EOMONTH(A41,0))</f>
        <v>31</v>
      </c>
      <c r="D41" s="9" t="str">
        <f aca="false">IF(A41&lt;01_Inputs!$B$75,"현재 (1대)",IF(A41&lt;=01_Inputs!$B$76,"공사",IF(A41&lt;01_Inputs!$B$78,"시운전",IF(AND(ISNUMBER(01_Inputs!$B$72),A41&gt;=01_Inputs!$B$72),"개선 (2대·105℃)","개선 (2대)"))))</f>
        <v>개선 (2대)</v>
      </c>
      <c r="E41" s="16" t="n">
        <f aca="false">IF(LEFT(D41,2)="개선",01_Inputs!$B$8,01_Inputs!$B$7)</f>
        <v>2</v>
      </c>
      <c r="F41" s="68"/>
      <c r="G41" s="15" t="n">
        <f aca="false">IF(D41="공사",IF(ISNUMBER(01_Inputs!$B$80),01_Inputs!$B$80,"미확인"),IF(D41="시운전","시운전",E41*C41*24-N(F41)))</f>
        <v>1488</v>
      </c>
      <c r="H41" s="27" t="str">
        <f aca="false">IF(OR(D41="현재 (1대)",D41="공사"),03_Capacity_Model!$B$80,IF(D41="개선 (2대)",IF(ISNUMBER(01_Inputs!$B$83),01_Inputs!$B$83,"미확인"),IF(D41="개선 (2대·105℃)",IF(ISNUMBER(01_Inputs!$B$73),01_Inputs!$B$73,"미확인"),"-")))</f>
        <v>미확인</v>
      </c>
      <c r="I41" s="15" t="n">
        <f aca="false">IF(AND(ISNUMBER(K40),D40=D41),K40,0)</f>
        <v>0</v>
      </c>
      <c r="J41" s="48" t="str">
        <f aca="false">IF(D41="시운전",IF(ISNUMBER(01_Inputs!$B$81),01_Inputs!$B$81,"미확인"),IF(AND(ISNUMBER(G41),ISNUMBER(H41)),INT((G41+I41)/H41),"미확인"))</f>
        <v>미확인</v>
      </c>
      <c r="K41" s="15" t="str">
        <f aca="false">IF(AND(ISNUMBER(G41),ISNUMBER(H41),ISNUMBER(J41)),G41+I41-J41*H41,"")</f>
        <v/>
      </c>
      <c r="L41" s="57" t="str">
        <f aca="false">IF(COUNTIFS(02_Batch_Raw!$E$6:$E$61,"&gt;="&amp;A41,02_Batch_Raw!$E$6:$E$61,"&lt;="&amp;EOMONTH(A41,0))=0,"",COUNTIFS(02_Batch_Raw!$E$6:$E$61,"&gt;="&amp;A41,02_Batch_Raw!$E$6:$E$61,"&lt;="&amp;EOMONTH(A41,0)))</f>
        <v/>
      </c>
      <c r="M41" s="57" t="str">
        <f aca="false">""</f>
        <v/>
      </c>
      <c r="N41" s="69"/>
      <c r="O41" s="16" t="str">
        <f aca="false">IF(ISNUMBER(N41),N41,J41)</f>
        <v>미확인</v>
      </c>
      <c r="P41" s="13" t="str">
        <f aca="false">IF(ISNUMBER(N41),"실적 입력",IF(ISNUMBER(J41),"추정 생산 가능량","미확인"))</f>
        <v>미확인</v>
      </c>
      <c r="Q41" s="22" t="n">
        <f aca="false">IF(LEFT(D41,2)="개선",IF(ISNUMBER(01_Inputs!$B$61),01_Inputs!$B$61,01_Inputs!$B$49),01_Inputs!$B$49)</f>
        <v>190</v>
      </c>
      <c r="R41" s="22" t="str">
        <f aca="false">IF(ISNUMBER(O41),O41*Q41,"미확인")</f>
        <v>미확인</v>
      </c>
      <c r="S41" s="45" t="str">
        <f aca="false">IF(ISNUMBER(R41),R41*IF(ISNUMBER(01_Inputs!$B$106),01_Inputs!$B$106,1),"미확인")</f>
        <v>미확인</v>
      </c>
      <c r="T41" s="37" t="n">
        <f aca="false">IF(A41&lt;01_Inputs!$B$78,01_Inputs!$B$63,IF(D41="개선 (2대·105℃)",01_Inputs!$B$68,01_Inputs!$B$65))*1000/12</f>
        <v>3933.33333333333</v>
      </c>
      <c r="U41" s="70" t="n">
        <f aca="false">IF(ISNUMBER(01_Inputs!$N$134),01_Inputs!$N$134,"미제시")</f>
        <v>1893.33333333333</v>
      </c>
      <c r="V41" s="70" t="n">
        <f aca="false">IF(ISNUMBER(01_Inputs!$N$135),01_Inputs!$N$135,"미제시")</f>
        <v>780</v>
      </c>
      <c r="W41" s="70" t="n">
        <f aca="false">IF(ISNUMBER(01_Inputs!$N$136),01_Inputs!$N$136,"미제시")</f>
        <v>1120</v>
      </c>
      <c r="X41" s="70" t="n">
        <f aca="false">IF(ISNUMBER(01_Inputs!$N$137),01_Inputs!$N$137,"미제시")</f>
        <v>300</v>
      </c>
      <c r="Y41" s="35" t="n">
        <f aca="false">SUM(U41:X41)</f>
        <v>4093.33333333333</v>
      </c>
      <c r="Z41" s="64" t="n">
        <f aca="false">Y41/Q41</f>
        <v>21.5438596491228</v>
      </c>
      <c r="AA41" s="64" t="n">
        <f aca="false">(N(U41)+N(V41))/01_Inputs!$B$42</f>
        <v>133.666666666667</v>
      </c>
      <c r="AB41" s="15" t="n">
        <f aca="false">AA41*01_Inputs!$B$28</f>
        <v>267.333333333333</v>
      </c>
      <c r="AC41" s="15" t="n">
        <f aca="false">AA41/01_Inputs!$B$29*01_Inputs!$B$32</f>
        <v>29.7037037037037</v>
      </c>
      <c r="AD41" s="64" t="n">
        <f aca="false">N(W41)/01_Inputs!$B$43</f>
        <v>8</v>
      </c>
      <c r="AE41" s="64" t="n">
        <f aca="false">N(X41)/01_Inputs!$B$44</f>
        <v>2</v>
      </c>
      <c r="AF41" s="13" t="str">
        <f aca="false">IF(AD41=0,"-",IF(A41&gt;=01_Inputs!$B$47,"ARS","수동"))</f>
        <v>ARS</v>
      </c>
      <c r="AG41" s="13" t="str">
        <f aca="false">IF(AE41=0,"-",IF(A41&gt;=01_Inputs!$B$46,"ARS","수동"))</f>
        <v>ARS</v>
      </c>
      <c r="AH41" s="15" t="str">
        <f aca="false">IF(AD41=0,0,IF(AF41="수동",AD41*01_Inputs!$B$34,IF(ISNUMBER(01_Inputs!$B$36),AD41*01_Inputs!$B$36,"미확인")))</f>
        <v>미확인</v>
      </c>
      <c r="AI41" s="15" t="str">
        <f aca="false">IF(AE41=0,0,IF(AG41="수동",IF(ISNUMBER(01_Inputs!$B$35),AE41*01_Inputs!$B$35,"미확인"),IF(ISNUMBER(01_Inputs!$B$37),AE41*01_Inputs!$B$37,"미확인")))</f>
        <v>미확인</v>
      </c>
      <c r="AJ41" s="15" t="str">
        <f aca="false">IF(AND(ISNUMBER(AH41),ISNUMBER(AI41)),AH41+AI41,"부분 "&amp;TEXT(N(AH41)+N(AI41),"0")&amp;" h + 미확인")</f>
        <v>부분 0 h + 미확인</v>
      </c>
      <c r="AK41" s="15" t="n">
        <f aca="false">(AD41+AE41)*01_Inputs!$B$38</f>
        <v>80</v>
      </c>
      <c r="AL41" s="15" t="n">
        <f aca="false">(AD41+AE41)*01_Inputs!$B$33</f>
        <v>20</v>
      </c>
      <c r="AM41" s="15" t="str">
        <f aca="false">IF(ISNUMBER(01_Inputs!$B$87),01_Inputs!$B$87,"미확인")</f>
        <v>미확인</v>
      </c>
      <c r="AN41" s="15" t="str">
        <f aca="false">IF(ISNUMBER(AM41),AM41-AB41,"미확인")</f>
        <v>미확인</v>
      </c>
      <c r="AO41" s="37" t="n">
        <f aca="false">T41-Y41</f>
        <v>-160</v>
      </c>
      <c r="AP41" s="37" t="str">
        <f aca="false">IF(ISNUMBER(S41),S41-Y41,"미확인")</f>
        <v>미확인</v>
      </c>
      <c r="AQ41" s="37" t="str">
        <f aca="false">IF(AND(ISNUMBER(AP41),ISNUMBER(AQ40)),AQ40+AP41,"보류")</f>
        <v>보류</v>
      </c>
      <c r="AR41" s="37" t="str">
        <f aca="false">IF(ISNUMBER(AZ40),AZ40,"보류")</f>
        <v>보류</v>
      </c>
      <c r="AS41" s="37" t="str">
        <f aca="false">IF(AND(ISNUMBER(AR41),ISNUMBER(S41)),AR41+S41,"보류")</f>
        <v>보류</v>
      </c>
      <c r="AT41" s="37" t="str">
        <f aca="false">IF(ISNUMBER(AS41),MIN(AS41,U41),"보류")</f>
        <v>보류</v>
      </c>
      <c r="AU41" s="37" t="str">
        <f aca="false">IF(ISNUMBER(AS41),MIN(AS41-AT41,N(01_Inputs!$B$104)),"보류")</f>
        <v>보류</v>
      </c>
      <c r="AV41" s="37" t="str">
        <f aca="false">IF(ISNUMBER(AS41),IF((N(V41)+N(W41)+N(X41))=0,0,MIN(N(V41),(AS41-AT41-AU41)*N(V41)/(N(V41)+N(W41)+N(X41)))),"보류")</f>
        <v>보류</v>
      </c>
      <c r="AW41" s="37" t="str">
        <f aca="false">IF(ISNUMBER(AS41),IF((N(V41)+N(W41)+N(X41))=0,0,MIN(N(W41),(AS41-AT41-AU41)*N(W41)/(N(V41)+N(W41)+N(X41)))),"보류")</f>
        <v>보류</v>
      </c>
      <c r="AX41" s="37" t="str">
        <f aca="false">IF(ISNUMBER(AS41),IF((N(V41)+N(W41)+N(X41))=0,0,MIN(N(X41),(AS41-AT41-AU41)*N(X41)/(N(V41)+N(W41)+N(X41)))),"보류")</f>
        <v>보류</v>
      </c>
      <c r="AY41" s="37" t="str">
        <f aca="false">IF(ISNUMBER(AS41),Y41-AT41-AV41-AW41-AX41,"보류")</f>
        <v>보류</v>
      </c>
      <c r="AZ41" s="35" t="str">
        <f aca="false">IF(ISNUMBER(AS41),AS41-AT41-AV41-AW41-AX41,"보류")</f>
        <v>보류</v>
      </c>
      <c r="BA41" s="37" t="str">
        <f aca="false">IF(ISNUMBER(01_Inputs!$B$105),01_Inputs!$B$105,"미입력")</f>
        <v>미입력</v>
      </c>
      <c r="BB41" s="37" t="str">
        <f aca="false">IF(AND(ISNUMBER(AR41),ISNUMBER(BA41)),Y41+BA41-AR41,"보류")</f>
        <v>보류</v>
      </c>
      <c r="BC41" s="37" t="str">
        <f aca="false">IF(AND(ISNUMBER(AZ41),ISNUMBER(BA41)),AZ41-BA41,"보류")</f>
        <v>보류</v>
      </c>
      <c r="BD41" s="13" t="str">
        <f aca="false">IF(ISNUMBER(AZ41),"계산 가능",IF(ISNUMBER(AP41),"부분 (재고 입력 필요)","보류 (생산 조건 미확인)"))</f>
        <v>보류 (생산 조건 미확인)</v>
      </c>
      <c r="BE41" s="9" t="str">
        <f aca="false">IF(D41="공사",IF(ISNUMBER(01_Inputs!$B$80),"","공사 중 가용시간·"),"")&amp;IF(D41="시운전",IF(ISNUMBER(01_Inputs!$B$81),"","시운전 양품·"),"")&amp;IF(D41="개선 (2대)",IF(ISNUMBER(01_Inputs!$B$83),"","설비별 간격·"),"")&amp;IF(D41="개선 (2대·105℃)",IF(ISNUMBER(01_Inputs!$B$73),"","105℃ 간격·"),"")&amp;IF(ISNUMBER(N41),"","실적·")&amp;IF(ISNUMBER(01_Inputs!$B$106),"","양품률(100% 상한)·")&amp;IF(COUNTIF(U41:X41,"미제시")&gt;0,"고객 물량 미제시·","")&amp;IF(ISNUMBER(AJ41),"","200 L 충진시간·")&amp;IF(ISNUMBER(01_Inputs!$B$87),"","글로브 박스 가용·")&amp;IF(ISNUMBER(01_Inputs!$B$103),"","기초재고·")</f>
        <v>설비별 간격·실적·양품률(100% 상한)·200 L 충진시간·글로브 박스 가용·기초재고·</v>
      </c>
    </row>
    <row r="42" customFormat="false" ht="15" hidden="false" customHeight="false" outlineLevel="0" collapsed="false">
      <c r="A42" s="38" t="s">
        <v>732</v>
      </c>
      <c r="J42" s="45" t="n">
        <f aca="false">IF(COUNT(J6:J17)=12,SUM(J6:J17),"부분합계 "&amp;TEXT(SUM(J6:J17),"#,##0")&amp;" ("&amp;COUNT(J6:J17)&amp;"/12개월)")</f>
        <v>129</v>
      </c>
      <c r="L42" s="48" t="n">
        <f aca="false">SUM(L6:L17)</f>
        <v>56</v>
      </c>
      <c r="M42" s="48" t="n">
        <f aca="false">SUM(M6:M17)</f>
        <v>46</v>
      </c>
      <c r="O42" s="45" t="n">
        <f aca="false">IF(COUNT(O6:O17)=12,SUM(O6:O17),"부분합계 "&amp;TEXT(SUM(O6:O17),"#,##0")&amp;" ("&amp;COUNT(O6:O17)&amp;"/12개월)")</f>
        <v>129</v>
      </c>
      <c r="R42" s="45" t="n">
        <f aca="false">IF(COUNT(R6:R17)=12,SUM(R6:R17),"부분합계 "&amp;TEXT(SUM(R6:R17),"#,##0")&amp;" ("&amp;COUNT(R6:R17)&amp;"/12개월)")</f>
        <v>24510</v>
      </c>
      <c r="S42" s="45" t="n">
        <f aca="false">IF(COUNT(S6:S17)=12,SUM(S6:S17),"부분합계 "&amp;TEXT(SUM(S6:S17),"#,##0")&amp;" ("&amp;COUNT(S6:S17)&amp;"/12개월)")</f>
        <v>24510</v>
      </c>
      <c r="T42" s="35" t="n">
        <f aca="false">SUM(T6:T17)</f>
        <v>26200</v>
      </c>
      <c r="U42" s="35" t="n">
        <f aca="false">SUM(U6:U17)</f>
        <v>16980</v>
      </c>
      <c r="V42" s="35" t="str">
        <f aca="false">IF(COUNT(V6:V17)=0,"미제시",SUM(V6:V17))</f>
        <v>미제시</v>
      </c>
      <c r="W42" s="35" t="n">
        <f aca="false">SUM(W6:W17)</f>
        <v>2240</v>
      </c>
      <c r="X42" s="35" t="str">
        <f aca="false">IF(COUNT(X6:X17)=0,"미제시",SUM(X6:X17))</f>
        <v>미제시</v>
      </c>
      <c r="Y42" s="35" t="n">
        <f aca="false">SUM(Y6:Y17)</f>
        <v>19220</v>
      </c>
      <c r="Z42" s="71" t="n">
        <f aca="false">SUM(Z6:Z17)</f>
        <v>101.157894736842</v>
      </c>
      <c r="AA42" s="71" t="n">
        <f aca="false">SUM(AA6:AA17)</f>
        <v>849</v>
      </c>
      <c r="AB42" s="53" t="n">
        <f aca="false">SUM(AB6:AB17)</f>
        <v>1698</v>
      </c>
      <c r="AC42" s="53" t="n">
        <f aca="false">SUM(AC6:AC17)</f>
        <v>188.666666666667</v>
      </c>
      <c r="AD42" s="71" t="n">
        <f aca="false">SUM(AD6:AD17)</f>
        <v>16</v>
      </c>
      <c r="AE42" s="71" t="n">
        <f aca="false">SUM(AE6:AE17)</f>
        <v>0</v>
      </c>
      <c r="AH42" s="53" t="n">
        <f aca="false">IF(COUNTIF(AH6:AH17,"미확인")&gt;0,"부분 "&amp;TEXT(SUM(AH6:AH17),"0")&amp;" h + 미확인",SUM(AH6:AH17))</f>
        <v>128</v>
      </c>
      <c r="AI42" s="53" t="n">
        <f aca="false">IF(COUNTIF(AI6:AI17,"미확인")&gt;0,"부분 "&amp;TEXT(SUM(AI6:AI17),"0")&amp;" h + 미확인",SUM(AI6:AI17))</f>
        <v>0</v>
      </c>
      <c r="AK42" s="53" t="n">
        <f aca="false">SUM(AK6:AK17)</f>
        <v>128</v>
      </c>
      <c r="AL42" s="53" t="n">
        <f aca="false">SUM(AL6:AL17)</f>
        <v>32</v>
      </c>
      <c r="AO42" s="35" t="n">
        <f aca="false">SUM(AO6:AO17)</f>
        <v>6980</v>
      </c>
    </row>
    <row r="43" customFormat="false" ht="26.85" hidden="false" customHeight="false" outlineLevel="0" collapsed="false">
      <c r="A43" s="38" t="s">
        <v>339</v>
      </c>
      <c r="J43" s="45" t="str">
        <f aca="false">IF(COUNT(J18:J29)=12,SUM(J18:J29),"부분합계 "&amp;TEXT(SUM(J18:J29),"#,##0")&amp;" ("&amp;COUNT(J18:J29)&amp;"/12개월)")</f>
        <v>부분합계 11 (1/12개월)</v>
      </c>
      <c r="O43" s="45" t="str">
        <f aca="false">IF(COUNT(O18:O29)=12,SUM(O18:O29),"부분합계 "&amp;TEXT(SUM(O18:O29),"#,##0")&amp;" ("&amp;COUNT(O18:O29)&amp;"/12개월)")</f>
        <v>부분합계 11 (1/12개월)</v>
      </c>
      <c r="R43" s="45" t="str">
        <f aca="false">IF(COUNT(R18:R29)=12,SUM(R18:R29),"부분합계 "&amp;TEXT(SUM(R18:R29),"#,##0")&amp;" ("&amp;COUNT(R18:R29)&amp;"/12개월)")</f>
        <v>부분합계 2,090 (1/12개월)</v>
      </c>
      <c r="S43" s="45" t="str">
        <f aca="false">IF(COUNT(S18:S29)=12,SUM(S18:S29),"부분합계 "&amp;TEXT(SUM(S18:S29),"#,##0")&amp;" ("&amp;COUNT(S18:S29)&amp;"/12개월)")</f>
        <v>부분합계 2,090 (1/12개월)</v>
      </c>
      <c r="T43" s="35" t="n">
        <f aca="false">SUM(T18:T29)</f>
        <v>36700</v>
      </c>
      <c r="U43" s="35" t="n">
        <f aca="false">SUM(U18:U29)</f>
        <v>22720</v>
      </c>
      <c r="V43" s="35" t="n">
        <f aca="false">IF(COUNT(V18:V29)=0,"미제시",SUM(V18:V29))</f>
        <v>7000</v>
      </c>
      <c r="W43" s="35" t="n">
        <f aca="false">SUM(W18:W29)</f>
        <v>10080</v>
      </c>
      <c r="X43" s="35" t="n">
        <f aca="false">IF(COUNT(X18:X29)=0,"미제시",SUM(X18:X29))</f>
        <v>3600</v>
      </c>
      <c r="Y43" s="35" t="n">
        <f aca="false">SUM(Y18:Y29)</f>
        <v>43400</v>
      </c>
      <c r="Z43" s="71" t="n">
        <f aca="false">SUM(Z18:Z29)</f>
        <v>228.421052631579</v>
      </c>
      <c r="AA43" s="71" t="n">
        <f aca="false">SUM(AA18:AA29)</f>
        <v>1486</v>
      </c>
      <c r="AB43" s="53" t="n">
        <f aca="false">SUM(AB18:AB29)</f>
        <v>2972</v>
      </c>
      <c r="AC43" s="53" t="n">
        <f aca="false">SUM(AC18:AC29)</f>
        <v>330.222222222222</v>
      </c>
      <c r="AD43" s="71" t="n">
        <f aca="false">SUM(AD18:AD29)</f>
        <v>72</v>
      </c>
      <c r="AE43" s="71" t="n">
        <f aca="false">SUM(AE18:AE29)</f>
        <v>24</v>
      </c>
      <c r="AH43" s="53" t="str">
        <f aca="false">IF(COUNTIF(AH18:AH29,"미확인")&gt;0,"부분 "&amp;TEXT(SUM(AH18:AH29),"0")&amp;" h + 미확인",SUM(AH18:AH29))</f>
        <v>부분 0 h + 미확인</v>
      </c>
      <c r="AI43" s="53" t="str">
        <f aca="false">IF(COUNTIF(AI18:AI29,"미확인")&gt;0,"부분 "&amp;TEXT(SUM(AI18:AI29),"0")&amp;" h + 미확인",SUM(AI18:AI29))</f>
        <v>부분 0 h + 미확인</v>
      </c>
      <c r="AK43" s="53" t="n">
        <f aca="false">SUM(AK18:AK29)</f>
        <v>768</v>
      </c>
      <c r="AL43" s="53" t="n">
        <f aca="false">SUM(AL18:AL29)</f>
        <v>192</v>
      </c>
      <c r="AO43" s="35" t="n">
        <f aca="false">SUM(AO18:AO29)</f>
        <v>-6699.99999999999</v>
      </c>
    </row>
    <row r="44" customFormat="false" ht="26.85" hidden="false" customHeight="false" outlineLevel="0" collapsed="false">
      <c r="A44" s="38" t="s">
        <v>341</v>
      </c>
      <c r="J44" s="45" t="str">
        <f aca="false">IF(COUNT(J30:J41)=12,SUM(J30:J41),"부분합계 "&amp;TEXT(SUM(J30:J41),"#,##0")&amp;" ("&amp;COUNT(J30:J41)&amp;"/12개월)")</f>
        <v>부분합계 0 (0/12개월)</v>
      </c>
      <c r="O44" s="45" t="str">
        <f aca="false">IF(COUNT(O30:O41)=12,SUM(O30:O41),"부분합계 "&amp;TEXT(SUM(O30:O41),"#,##0")&amp;" ("&amp;COUNT(O30:O41)&amp;"/12개월)")</f>
        <v>부분합계 0 (0/12개월)</v>
      </c>
      <c r="R44" s="45" t="str">
        <f aca="false">IF(COUNT(R30:R41)=12,SUM(R30:R41),"부분합계 "&amp;TEXT(SUM(R30:R41),"#,##0")&amp;" ("&amp;COUNT(R30:R41)&amp;"/12개월)")</f>
        <v>부분합계 0 (0/12개월)</v>
      </c>
      <c r="S44" s="45" t="str">
        <f aca="false">IF(COUNT(S30:S41)=12,SUM(S30:S41),"부분합계 "&amp;TEXT(SUM(S30:S41),"#,##0")&amp;" ("&amp;COUNT(S30:S41)&amp;"/12개월)")</f>
        <v>부분합계 0 (0/12개월)</v>
      </c>
      <c r="T44" s="35" t="n">
        <f aca="false">SUM(T30:T41)</f>
        <v>47200</v>
      </c>
      <c r="U44" s="35" t="n">
        <f aca="false">SUM(U30:U41)</f>
        <v>22720</v>
      </c>
      <c r="V44" s="35" t="n">
        <f aca="false">IF(COUNT(V30:V41)=0,"미제시",SUM(V30:V41))</f>
        <v>9360</v>
      </c>
      <c r="W44" s="35" t="n">
        <f aca="false">SUM(W30:W41)</f>
        <v>13440</v>
      </c>
      <c r="X44" s="35" t="n">
        <f aca="false">IF(COUNT(X30:X41)=0,"미제시",SUM(X30:X41))</f>
        <v>3600</v>
      </c>
      <c r="Y44" s="35" t="n">
        <f aca="false">SUM(Y30:Y41)</f>
        <v>49120</v>
      </c>
      <c r="Z44" s="71" t="n">
        <f aca="false">SUM(Z30:Z41)</f>
        <v>258.526315789474</v>
      </c>
      <c r="AA44" s="71" t="n">
        <f aca="false">SUM(AA30:AA41)</f>
        <v>1604</v>
      </c>
      <c r="AB44" s="53" t="n">
        <f aca="false">SUM(AB30:AB41)</f>
        <v>3208</v>
      </c>
      <c r="AC44" s="53" t="n">
        <f aca="false">SUM(AC30:AC41)</f>
        <v>356.444444444444</v>
      </c>
      <c r="AD44" s="71" t="n">
        <f aca="false">SUM(AD30:AD41)</f>
        <v>96</v>
      </c>
      <c r="AE44" s="71" t="n">
        <f aca="false">SUM(AE30:AE41)</f>
        <v>24</v>
      </c>
      <c r="AH44" s="53" t="str">
        <f aca="false">IF(COUNTIF(AH30:AH41,"미확인")&gt;0,"부분 "&amp;TEXT(SUM(AH30:AH41),"0")&amp;" h + 미확인",SUM(AH30:AH41))</f>
        <v>부분 0 h + 미확인</v>
      </c>
      <c r="AI44" s="53" t="str">
        <f aca="false">IF(COUNTIF(AI30:AI41,"미확인")&gt;0,"부분 "&amp;TEXT(SUM(AI30:AI41),"0")&amp;" h + 미확인",SUM(AI30:AI41))</f>
        <v>부분 0 h + 미확인</v>
      </c>
      <c r="AK44" s="53" t="n">
        <f aca="false">SUM(AK30:AK41)</f>
        <v>960</v>
      </c>
      <c r="AL44" s="53" t="n">
        <f aca="false">SUM(AL30:AL41)</f>
        <v>240</v>
      </c>
      <c r="AO44" s="35" t="n">
        <f aca="false">SUM(AO30:AO41)</f>
        <v>-1919.99999999999</v>
      </c>
    </row>
    <row r="45" customFormat="false" ht="15" hidden="false" customHeight="false" outlineLevel="0" collapsed="false">
      <c r="A45" s="38" t="s">
        <v>733</v>
      </c>
      <c r="Y45" s="37" t="n">
        <f aca="false">MAX(Y6:Y17)</f>
        <v>2040</v>
      </c>
      <c r="AA45" s="64" t="n">
        <f aca="false">MAX(AA6:AA17)</f>
        <v>80</v>
      </c>
      <c r="AB45" s="15" t="n">
        <f aca="false">MAX(AB6:AB17)</f>
        <v>160</v>
      </c>
      <c r="AC45" s="15" t="n">
        <f aca="false">MAX(AC6:AC17)</f>
        <v>17.7777777777778</v>
      </c>
      <c r="AD45" s="64" t="n">
        <f aca="false">MAX(AD6:AD17)</f>
        <v>4</v>
      </c>
      <c r="AE45" s="64" t="n">
        <f aca="false">MAX(AE6:AE17)</f>
        <v>0</v>
      </c>
      <c r="AK45" s="15" t="n">
        <f aca="false">MAX(AK6:AK17)</f>
        <v>32</v>
      </c>
      <c r="AL45" s="15" t="n">
        <f aca="false">MAX(AL6:AL17)</f>
        <v>8</v>
      </c>
    </row>
    <row r="46" customFormat="false" ht="15" hidden="false" customHeight="false" outlineLevel="0" collapsed="false">
      <c r="A46" s="38" t="s">
        <v>734</v>
      </c>
      <c r="Y46" s="37" t="n">
        <f aca="false">MAX(Y18:Y29)</f>
        <v>4093.33333333333</v>
      </c>
      <c r="AA46" s="64" t="n">
        <f aca="false">MAX(AA18:AA29)</f>
        <v>133.666666666667</v>
      </c>
      <c r="AB46" s="15" t="n">
        <f aca="false">MAX(AB18:AB29)</f>
        <v>267.333333333333</v>
      </c>
      <c r="AC46" s="15" t="n">
        <f aca="false">MAX(AC18:AC29)</f>
        <v>29.7037037037037</v>
      </c>
      <c r="AD46" s="64" t="n">
        <f aca="false">MAX(AD18:AD29)</f>
        <v>8</v>
      </c>
      <c r="AE46" s="64" t="n">
        <f aca="false">MAX(AE18:AE29)</f>
        <v>2</v>
      </c>
      <c r="AK46" s="15" t="n">
        <f aca="false">MAX(AK18:AK29)</f>
        <v>80</v>
      </c>
      <c r="AL46" s="15" t="n">
        <f aca="false">MAX(AL18:AL29)</f>
        <v>20</v>
      </c>
    </row>
    <row r="47" customFormat="false" ht="15" hidden="false" customHeight="false" outlineLevel="0" collapsed="false">
      <c r="A47" s="38" t="s">
        <v>735</v>
      </c>
      <c r="Y47" s="37" t="n">
        <f aca="false">MAX(Y30:Y41)</f>
        <v>4093.33333333333</v>
      </c>
      <c r="AA47" s="64" t="n">
        <f aca="false">MAX(AA30:AA41)</f>
        <v>133.666666666667</v>
      </c>
      <c r="AB47" s="15" t="n">
        <f aca="false">MAX(AB30:AB41)</f>
        <v>267.333333333333</v>
      </c>
      <c r="AC47" s="15" t="n">
        <f aca="false">MAX(AC30:AC41)</f>
        <v>29.7037037037037</v>
      </c>
      <c r="AD47" s="64" t="n">
        <f aca="false">MAX(AD30:AD41)</f>
        <v>8</v>
      </c>
      <c r="AE47" s="64" t="n">
        <f aca="false">MAX(AE30:AE41)</f>
        <v>2</v>
      </c>
      <c r="AK47" s="15" t="n">
        <f aca="false">MAX(AK30:AK41)</f>
        <v>80</v>
      </c>
      <c r="AL47" s="15" t="n">
        <f aca="false">MAX(AL30:AL41)</f>
        <v>20</v>
      </c>
    </row>
    <row r="49" customFormat="false" ht="15" hidden="false" customHeight="false" outlineLevel="0" collapsed="false">
      <c r="A49" s="2" t="s">
        <v>736</v>
      </c>
    </row>
    <row r="50" customFormat="false" ht="15" hidden="false" customHeight="false" outlineLevel="0" collapsed="false">
      <c r="A50" s="2" t="s">
        <v>737</v>
      </c>
    </row>
    <row r="51" customFormat="false" ht="15" hidden="false" customHeight="false" outlineLevel="0" collapsed="false">
      <c r="A51" s="2" t="s">
        <v>738</v>
      </c>
    </row>
    <row r="52" customFormat="false" ht="15" hidden="false" customHeight="false" outlineLevel="0" collapsed="false">
      <c r="A52" s="40" t="s">
        <v>739</v>
      </c>
    </row>
    <row r="53" customFormat="false" ht="15" hidden="false" customHeight="false" outlineLevel="0" collapsed="false">
      <c r="A53" s="40" t="s">
        <v>740</v>
      </c>
    </row>
    <row r="54" customFormat="false" ht="15" hidden="false" customHeight="false" outlineLevel="0" collapsed="false">
      <c r="A54" s="2" t="s">
        <v>741</v>
      </c>
    </row>
  </sheetData>
  <autoFilter ref="A5:BE41"/>
  <conditionalFormatting sqref="AN6:AN41">
    <cfRule type="expression" priority="2" aboveAverage="0" equalAverage="0" bottom="0" percent="0" rank="0" text="" dxfId="11">
      <formula>AND(ISNUMBER(AN6),AN6&lt;0)</formula>
    </cfRule>
  </conditionalFormatting>
  <conditionalFormatting sqref="AO6:AO41">
    <cfRule type="expression" priority="3" aboveAverage="0" equalAverage="0" bottom="0" percent="0" rank="0" text="" dxfId="11">
      <formula>AND(ISNUMBER(AO6),AO6&lt;0)</formula>
    </cfRule>
  </conditionalFormatting>
  <conditionalFormatting sqref="AP6:AP41">
    <cfRule type="expression" priority="4" aboveAverage="0" equalAverage="0" bottom="0" percent="0" rank="0" text="" dxfId="11">
      <formula>AND(ISNUMBER(AP6),AP6&lt;0)</formula>
    </cfRule>
  </conditionalFormatting>
  <conditionalFormatting sqref="AQ6:AQ41">
    <cfRule type="expression" priority="5" aboveAverage="0" equalAverage="0" bottom="0" percent="0" rank="0" text="" dxfId="11">
      <formula>AND(ISNUMBER(AQ6),AQ6&lt;0)</formula>
    </cfRule>
  </conditionalFormatting>
  <conditionalFormatting sqref="BC6:BC41">
    <cfRule type="expression" priority="6" aboveAverage="0" equalAverage="0" bottom="0" percent="0" rank="0" text="" dxfId="11">
      <formula>AND(ISNUMBER(BC6),BC6&lt;0)</formula>
    </cfRule>
  </conditionalFormatting>
  <conditionalFormatting sqref="AY6:AY41">
    <cfRule type="expression" priority="7" aboveAverage="0" equalAverage="0" bottom="0" percent="0" rank="0" text="" dxfId="11">
      <formula>AND(ISNUMBER(AY6),AY6&gt;0.001)</formula>
    </cfRule>
  </conditionalFormatting>
  <conditionalFormatting sqref="G6:BD41">
    <cfRule type="expression" priority="8" aboveAverage="0" equalAverage="0" bottom="0" percent="0" rank="0" text="" dxfId="24">
      <formula>OR(G6="미확인",G6="보류",G6="미입력",G6="미제시",LEFT(G6,2)="부분")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Z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6" min="2" style="0" width="11"/>
    <col collapsed="false" customWidth="true" hidden="false" outlineLevel="0" max="27" min="27" style="0" width="40"/>
  </cols>
  <sheetData>
    <row r="1" customFormat="false" ht="21.6" hidden="false" customHeight="false" outlineLevel="0" collapsed="false">
      <c r="A1" s="1" t="s">
        <v>742</v>
      </c>
    </row>
    <row r="2" customFormat="false" ht="15" hidden="false" customHeight="false" outlineLevel="0" collapsed="false">
      <c r="A2" s="2" t="s">
        <v>743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2</v>
      </c>
      <c r="D3" s="4" t="s">
        <v>4</v>
      </c>
      <c r="E3" s="6" t="s">
        <v>2</v>
      </c>
      <c r="F3" s="4" t="s">
        <v>5</v>
      </c>
      <c r="G3" s="7" t="s">
        <v>2</v>
      </c>
      <c r="H3" s="4" t="s">
        <v>6</v>
      </c>
      <c r="I3" s="8" t="s">
        <v>2</v>
      </c>
      <c r="J3" s="4" t="s">
        <v>7</v>
      </c>
      <c r="K3" s="9" t="s">
        <v>2</v>
      </c>
      <c r="L3" s="4" t="s">
        <v>8</v>
      </c>
      <c r="M3" s="10" t="s">
        <v>2</v>
      </c>
      <c r="N3" s="4" t="s">
        <v>9</v>
      </c>
    </row>
    <row r="5" customFormat="false" ht="15" hidden="false" customHeight="false" outlineLevel="0" collapsed="false">
      <c r="A5" s="72" t="s">
        <v>744</v>
      </c>
    </row>
    <row r="6" customFormat="false" ht="30" hidden="false" customHeight="true" outlineLevel="0" collapsed="false">
      <c r="A6" s="11" t="s">
        <v>14</v>
      </c>
      <c r="B6" s="11" t="s">
        <v>607</v>
      </c>
      <c r="C6" s="11" t="s">
        <v>608</v>
      </c>
      <c r="D6" s="11" t="s">
        <v>745</v>
      </c>
      <c r="E6" s="11" t="s">
        <v>746</v>
      </c>
      <c r="F6" s="33" t="s">
        <v>747</v>
      </c>
      <c r="G6" s="11" t="s">
        <v>748</v>
      </c>
      <c r="H6" s="11" t="s">
        <v>749</v>
      </c>
    </row>
    <row r="7" customFormat="false" ht="26.85" hidden="false" customHeight="false" outlineLevel="0" collapsed="false">
      <c r="A7" s="13" t="s">
        <v>750</v>
      </c>
      <c r="B7" s="58" t="n">
        <v>46023</v>
      </c>
      <c r="C7" s="58" t="n">
        <f aca="false">01_Inputs!$B$75-1</f>
        <v>46418</v>
      </c>
      <c r="D7" s="9" t="s">
        <v>751</v>
      </c>
      <c r="E7" s="13" t="s">
        <v>752</v>
      </c>
      <c r="F7" s="13" t="s">
        <v>753</v>
      </c>
      <c r="G7" s="13" t="s">
        <v>754</v>
      </c>
      <c r="H7" s="13" t="s">
        <v>21</v>
      </c>
    </row>
    <row r="8" customFormat="false" ht="26.85" hidden="false" customHeight="false" outlineLevel="0" collapsed="false">
      <c r="A8" s="13" t="s">
        <v>755</v>
      </c>
      <c r="B8" s="58" t="n">
        <f aca="false">01_Inputs!$B$75</f>
        <v>46419</v>
      </c>
      <c r="C8" s="58" t="n">
        <f aca="false">01_Inputs!$B$76</f>
        <v>46538</v>
      </c>
      <c r="D8" s="9" t="s">
        <v>751</v>
      </c>
      <c r="E8" s="13" t="s">
        <v>756</v>
      </c>
      <c r="F8" s="9" t="s">
        <v>69</v>
      </c>
      <c r="G8" s="9" t="str">
        <f aca="false">IF(ISNUMBER(01_Inputs!$B$80),"가용 "&amp;01_Inputs!$B$80&amp;" h/월","공사 중 가용시간 미확인")</f>
        <v>공사 중 가용시간 미확인</v>
      </c>
      <c r="H8" s="13" t="s">
        <v>122</v>
      </c>
    </row>
    <row r="9" customFormat="false" ht="26.85" hidden="false" customHeight="false" outlineLevel="0" collapsed="false">
      <c r="A9" s="13" t="s">
        <v>213</v>
      </c>
      <c r="B9" s="58" t="n">
        <f aca="false">01_Inputs!$B$77</f>
        <v>46539</v>
      </c>
      <c r="C9" s="58" t="n">
        <f aca="false">01_Inputs!$B$78-1</f>
        <v>46568</v>
      </c>
      <c r="D9" s="9" t="s">
        <v>757</v>
      </c>
      <c r="E9" s="13" t="s">
        <v>213</v>
      </c>
      <c r="F9" s="9" t="s">
        <v>69</v>
      </c>
      <c r="G9" s="9" t="str">
        <f aca="false">IF(ISNUMBER(01_Inputs!$B$81),01_Inputs!$B$81&amp;" Batch","양품·출하 승인 미확인")</f>
        <v>양품·출하 승인 미확인</v>
      </c>
      <c r="H9" s="13" t="s">
        <v>122</v>
      </c>
    </row>
    <row r="10" customFormat="false" ht="26.85" hidden="false" customHeight="false" outlineLevel="0" collapsed="false">
      <c r="A10" s="13" t="s">
        <v>758</v>
      </c>
      <c r="B10" s="58" t="n">
        <f aca="false">01_Inputs!$B$78</f>
        <v>46569</v>
      </c>
      <c r="C10" s="58"/>
      <c r="D10" s="9" t="s">
        <v>759</v>
      </c>
      <c r="E10" s="13" t="s">
        <v>760</v>
      </c>
      <c r="F10" s="13" t="s">
        <v>761</v>
      </c>
      <c r="G10" s="9" t="str">
        <f aca="false">IF(ISNUMBER(01_Inputs!$B$83),01_Inputs!$B$83&amp;" h/Batch","설비별 간격 미확인")</f>
        <v>설비별 간격 미확인</v>
      </c>
      <c r="H10" s="13" t="s">
        <v>122</v>
      </c>
    </row>
    <row r="11" customFormat="false" ht="26.85" hidden="false" customHeight="false" outlineLevel="0" collapsed="false">
      <c r="A11" s="13" t="s">
        <v>762</v>
      </c>
      <c r="B11" s="58" t="n">
        <f aca="false">01_Inputs!$B$78</f>
        <v>46569</v>
      </c>
      <c r="C11" s="58" t="n">
        <f aca="false">01_Inputs!$B$79</f>
        <v>46934</v>
      </c>
      <c r="D11" s="9" t="s">
        <v>759</v>
      </c>
      <c r="E11" s="9"/>
      <c r="F11" s="9"/>
      <c r="G11" s="9" t="s">
        <v>763</v>
      </c>
      <c r="H11" s="13" t="s">
        <v>21</v>
      </c>
    </row>
    <row r="12" customFormat="false" ht="15" hidden="false" customHeight="false" outlineLevel="0" collapsed="false">
      <c r="A12" s="9" t="s">
        <v>764</v>
      </c>
      <c r="B12" s="58" t="n">
        <v>46753</v>
      </c>
      <c r="C12" s="58" t="n">
        <v>47118</v>
      </c>
      <c r="D12" s="9" t="s">
        <v>759</v>
      </c>
      <c r="E12" s="9"/>
      <c r="F12" s="9" t="s">
        <v>765</v>
      </c>
      <c r="G12" s="9" t="s">
        <v>766</v>
      </c>
      <c r="H12" s="13" t="s">
        <v>111</v>
      </c>
    </row>
    <row r="13" customFormat="false" ht="15" hidden="false" customHeight="false" outlineLevel="0" collapsed="false">
      <c r="A13" s="9" t="s">
        <v>767</v>
      </c>
      <c r="B13" s="58" t="str">
        <f aca="false">IF(ISNUMBER(01_Inputs!$B$72),01_Inputs!$B$72,"미정")</f>
        <v>미정</v>
      </c>
      <c r="C13" s="58"/>
      <c r="D13" s="9" t="s">
        <v>759</v>
      </c>
      <c r="E13" s="9" t="s">
        <v>768</v>
      </c>
      <c r="F13" s="9"/>
      <c r="G13" s="9" t="s">
        <v>769</v>
      </c>
      <c r="H13" s="13" t="s">
        <v>195</v>
      </c>
    </row>
    <row r="15" customFormat="false" ht="15" hidden="false" customHeight="false" outlineLevel="0" collapsed="false">
      <c r="A15" s="72" t="s">
        <v>770</v>
      </c>
    </row>
    <row r="16" customFormat="false" ht="30" hidden="false" customHeight="true" outlineLevel="0" collapsed="false">
      <c r="A16" s="11" t="s">
        <v>14</v>
      </c>
      <c r="B16" s="11" t="s">
        <v>771</v>
      </c>
      <c r="C16" s="11" t="s">
        <v>772</v>
      </c>
      <c r="D16" s="11" t="s">
        <v>773</v>
      </c>
      <c r="E16" s="33" t="s">
        <v>774</v>
      </c>
      <c r="F16" s="11" t="s">
        <v>775</v>
      </c>
      <c r="G16" s="11" t="s">
        <v>749</v>
      </c>
      <c r="H16" s="11" t="s">
        <v>16</v>
      </c>
    </row>
    <row r="17" customFormat="false" ht="15" hidden="false" customHeight="false" outlineLevel="0" collapsed="false">
      <c r="A17" s="13" t="s">
        <v>776</v>
      </c>
      <c r="B17" s="47" t="n">
        <f aca="false">01_Inputs!$B$63</f>
        <v>26.2</v>
      </c>
      <c r="C17" s="27"/>
      <c r="D17" s="27" t="n">
        <f aca="false">B17/12</f>
        <v>2.18333333333333</v>
      </c>
      <c r="E17" s="64" t="n">
        <f aca="false">B17*1000/01_Inputs!$B$49</f>
        <v>137.894736842105</v>
      </c>
      <c r="F17" s="27" t="n">
        <f aca="false">01_Inputs!$B$7*01_Inputs!$B$12/E17</f>
        <v>63.5267175572519</v>
      </c>
      <c r="G17" s="13" t="s">
        <v>777</v>
      </c>
      <c r="H17" s="9"/>
    </row>
    <row r="18" customFormat="false" ht="26.85" hidden="false" customHeight="false" outlineLevel="0" collapsed="false">
      <c r="A18" s="13" t="s">
        <v>778</v>
      </c>
      <c r="B18" s="47" t="n">
        <f aca="false">01_Inputs!$B$66</f>
        <v>52.4</v>
      </c>
      <c r="C18" s="27"/>
      <c r="D18" s="27" t="n">
        <f aca="false">B18/12</f>
        <v>4.36666666666667</v>
      </c>
      <c r="E18" s="64" t="n">
        <f aca="false">B18*1000/01_Inputs!$B$49</f>
        <v>275.789473684211</v>
      </c>
      <c r="F18" s="27" t="n">
        <f aca="false">01_Inputs!$B$8*01_Inputs!$B$12/E18</f>
        <v>63.5267175572519</v>
      </c>
      <c r="G18" s="13" t="s">
        <v>591</v>
      </c>
      <c r="H18" s="13" t="s">
        <v>779</v>
      </c>
    </row>
    <row r="19" customFormat="false" ht="15" hidden="false" customHeight="false" outlineLevel="0" collapsed="false">
      <c r="A19" s="13" t="s">
        <v>780</v>
      </c>
      <c r="B19" s="47" t="n">
        <f aca="false">01_Inputs!$B$65</f>
        <v>47.2</v>
      </c>
      <c r="C19" s="27" t="n">
        <f aca="false">01_Inputs!$B$64</f>
        <v>21</v>
      </c>
      <c r="D19" s="27" t="n">
        <f aca="false">B19/12</f>
        <v>3.93333333333333</v>
      </c>
      <c r="E19" s="64" t="n">
        <f aca="false">B19*1000/01_Inputs!$B$49</f>
        <v>248.421052631579</v>
      </c>
      <c r="F19" s="27" t="n">
        <f aca="false">01_Inputs!$B$8*01_Inputs!$B$12/E19</f>
        <v>70.5254237288136</v>
      </c>
      <c r="G19" s="13" t="s">
        <v>781</v>
      </c>
      <c r="H19" s="9" t="s">
        <v>782</v>
      </c>
    </row>
    <row r="20" customFormat="false" ht="15" hidden="false" customHeight="false" outlineLevel="0" collapsed="false">
      <c r="A20" s="9" t="s">
        <v>783</v>
      </c>
      <c r="B20" s="47" t="n">
        <f aca="false">01_Inputs!$B$68</f>
        <v>50.2</v>
      </c>
      <c r="C20" s="27" t="n">
        <f aca="false">01_Inputs!$B$67</f>
        <v>3</v>
      </c>
      <c r="D20" s="27" t="n">
        <f aca="false">B20/12</f>
        <v>4.18333333333333</v>
      </c>
      <c r="E20" s="64" t="n">
        <f aca="false">B20*1000/01_Inputs!$B$49</f>
        <v>264.21052631579</v>
      </c>
      <c r="F20" s="27" t="n">
        <f aca="false">01_Inputs!$B$8*01_Inputs!$B$12/E20</f>
        <v>66.3107569721116</v>
      </c>
      <c r="G20" s="13" t="s">
        <v>195</v>
      </c>
      <c r="H20" s="13" t="s">
        <v>784</v>
      </c>
    </row>
    <row r="21" customFormat="false" ht="15" hidden="false" customHeight="false" outlineLevel="0" collapsed="false">
      <c r="A21" s="13" t="s">
        <v>785</v>
      </c>
      <c r="B21" s="47" t="n">
        <f aca="false">01_Inputs!$B$69</f>
        <v>50</v>
      </c>
      <c r="C21" s="27"/>
      <c r="D21" s="27" t="n">
        <f aca="false">B21/12</f>
        <v>4.16666666666667</v>
      </c>
      <c r="E21" s="64" t="n">
        <f aca="false">B21*1000/01_Inputs!$B$49</f>
        <v>263.157894736842</v>
      </c>
      <c r="F21" s="27" t="n">
        <f aca="false">01_Inputs!$B$8*01_Inputs!$B$12/E21</f>
        <v>66.576</v>
      </c>
      <c r="G21" s="13" t="s">
        <v>786</v>
      </c>
      <c r="H21" s="9" t="s">
        <v>787</v>
      </c>
    </row>
    <row r="23" customFormat="false" ht="15" hidden="false" customHeight="false" outlineLevel="0" collapsed="false">
      <c r="A23" s="72" t="s">
        <v>788</v>
      </c>
    </row>
    <row r="24" customFormat="false" ht="30" hidden="false" customHeight="true" outlineLevel="0" collapsed="false">
      <c r="A24" s="11" t="s">
        <v>789</v>
      </c>
      <c r="B24" s="11" t="s">
        <v>790</v>
      </c>
      <c r="C24" s="11" t="s">
        <v>791</v>
      </c>
      <c r="D24" s="33" t="s">
        <v>792</v>
      </c>
      <c r="E24" s="11" t="s">
        <v>793</v>
      </c>
      <c r="F24" s="11"/>
      <c r="G24" s="11"/>
      <c r="H24" s="11" t="s">
        <v>794</v>
      </c>
    </row>
    <row r="25" customFormat="false" ht="15" hidden="false" customHeight="false" outlineLevel="0" collapsed="false">
      <c r="A25" s="9" t="s">
        <v>795</v>
      </c>
      <c r="B25" s="62" t="n">
        <f aca="false">01_Inputs!$O$138/1000</f>
        <v>19.22</v>
      </c>
      <c r="C25" s="62" t="n">
        <f aca="false">01_Inputs!$B$63</f>
        <v>26.2</v>
      </c>
      <c r="D25" s="47" t="n">
        <f aca="false">C25-B25</f>
        <v>6.98</v>
      </c>
      <c r="E25" s="9" t="str">
        <f aca="false">IF(D25&lt;0,"부족 방향","여유 방향")</f>
        <v>여유 방향</v>
      </c>
      <c r="F25" s="73"/>
      <c r="G25" s="73"/>
      <c r="H25" s="9" t="s">
        <v>796</v>
      </c>
    </row>
    <row r="26" customFormat="false" ht="15" hidden="false" customHeight="false" outlineLevel="0" collapsed="false">
      <c r="A26" s="9" t="s">
        <v>797</v>
      </c>
      <c r="B26" s="62" t="n">
        <f aca="false">01_Inputs!$O$139/1000</f>
        <v>43.4</v>
      </c>
      <c r="C26" s="62" t="n">
        <f aca="false">01_Inputs!$B$63</f>
        <v>26.2</v>
      </c>
      <c r="D26" s="47" t="n">
        <f aca="false">C26-B26</f>
        <v>-17.2</v>
      </c>
      <c r="E26" s="9" t="str">
        <f aca="false">IF(D26&lt;0,"부족 방향","여유 방향")</f>
        <v>부족 방향</v>
      </c>
      <c r="F26" s="73"/>
      <c r="G26" s="73"/>
      <c r="H26" s="9" t="s">
        <v>798</v>
      </c>
    </row>
    <row r="27" customFormat="false" ht="26.85" hidden="false" customHeight="false" outlineLevel="0" collapsed="false">
      <c r="A27" s="9" t="s">
        <v>799</v>
      </c>
      <c r="B27" s="62" t="n">
        <f aca="false">01_Inputs!$O$139/1000</f>
        <v>43.4</v>
      </c>
      <c r="C27" s="62" t="n">
        <f aca="false">01_Inputs!$B$65</f>
        <v>47.2</v>
      </c>
      <c r="D27" s="47" t="n">
        <f aca="false">C27-B27</f>
        <v>3.8</v>
      </c>
      <c r="E27" s="9" t="str">
        <f aca="false">IF(D27&lt;0,"부족 방향","여유 방향")</f>
        <v>여유 방향</v>
      </c>
      <c r="F27" s="73"/>
      <c r="G27" s="73"/>
      <c r="H27" s="9" t="s">
        <v>800</v>
      </c>
    </row>
    <row r="28" customFormat="false" ht="26.85" hidden="false" customHeight="false" outlineLevel="0" collapsed="false">
      <c r="A28" s="9" t="s">
        <v>801</v>
      </c>
      <c r="B28" s="62" t="n">
        <f aca="false">SUM(01_Inputs!C139:H139)/1000</f>
        <v>18.84</v>
      </c>
      <c r="C28" s="62" t="n">
        <f aca="false">01_Inputs!$B$63*6/12</f>
        <v>13.1</v>
      </c>
      <c r="D28" s="47" t="n">
        <f aca="false">C28-B28</f>
        <v>-5.74</v>
      </c>
      <c r="E28" s="9" t="str">
        <f aca="false">IF(D28&lt;0,"부족 방향","여유 방향")</f>
        <v>부족 방향</v>
      </c>
      <c r="F28" s="73"/>
      <c r="G28" s="73"/>
      <c r="H28" s="13" t="s">
        <v>802</v>
      </c>
    </row>
    <row r="29" customFormat="false" ht="15" hidden="false" customHeight="false" outlineLevel="0" collapsed="false">
      <c r="A29" s="9" t="s">
        <v>803</v>
      </c>
      <c r="B29" s="62" t="n">
        <f aca="false">SUM(01_Inputs!I139:N139)/1000</f>
        <v>24.56</v>
      </c>
      <c r="C29" s="62" t="n">
        <f aca="false">01_Inputs!$B$65*6/12</f>
        <v>23.6</v>
      </c>
      <c r="D29" s="47" t="n">
        <f aca="false">C29-B29</f>
        <v>-0.95999999999999</v>
      </c>
      <c r="E29" s="9" t="str">
        <f aca="false">IF(D29&lt;0,"부족 방향","여유 방향")</f>
        <v>부족 방향</v>
      </c>
      <c r="F29" s="73"/>
      <c r="G29" s="73"/>
      <c r="H29" s="9" t="s">
        <v>804</v>
      </c>
    </row>
    <row r="30" customFormat="false" ht="15" hidden="false" customHeight="false" outlineLevel="0" collapsed="false">
      <c r="A30" s="9" t="s">
        <v>805</v>
      </c>
      <c r="B30" s="62" t="n">
        <f aca="false">01_Inputs!$O$140/1000</f>
        <v>49.12</v>
      </c>
      <c r="C30" s="62" t="n">
        <f aca="false">01_Inputs!$B$65</f>
        <v>47.2</v>
      </c>
      <c r="D30" s="47" t="n">
        <f aca="false">C30-B30</f>
        <v>-1.91999999999999</v>
      </c>
      <c r="E30" s="9" t="str">
        <f aca="false">IF(D30&lt;0,"부족 방향","여유 방향")</f>
        <v>부족 방향</v>
      </c>
      <c r="F30" s="73"/>
      <c r="G30" s="73"/>
      <c r="H30" s="9" t="s">
        <v>806</v>
      </c>
    </row>
    <row r="31" customFormat="false" ht="26.85" hidden="false" customHeight="false" outlineLevel="0" collapsed="false">
      <c r="A31" s="9" t="s">
        <v>807</v>
      </c>
      <c r="B31" s="62" t="n">
        <f aca="false">01_Inputs!$O$140/1000</f>
        <v>49.12</v>
      </c>
      <c r="C31" s="62" t="n">
        <f aca="false">01_Inputs!$B$68</f>
        <v>50.2</v>
      </c>
      <c r="D31" s="47" t="n">
        <f aca="false">C31-B31</f>
        <v>1.08000000000001</v>
      </c>
      <c r="E31" s="9" t="str">
        <f aca="false">IF(D31&lt;0,"부족 방향","여유 방향")</f>
        <v>여유 방향</v>
      </c>
      <c r="F31" s="73"/>
      <c r="G31" s="73"/>
      <c r="H31" s="9" t="s">
        <v>808</v>
      </c>
    </row>
    <row r="33" customFormat="false" ht="15" hidden="false" customHeight="false" outlineLevel="0" collapsed="false">
      <c r="A33" s="72" t="s">
        <v>809</v>
      </c>
    </row>
    <row r="34" customFormat="false" ht="30" hidden="false" customHeight="true" outlineLevel="0" collapsed="false">
      <c r="A34" s="11" t="s">
        <v>14</v>
      </c>
      <c r="B34" s="33" t="s">
        <v>810</v>
      </c>
      <c r="C34" s="33" t="s">
        <v>811</v>
      </c>
      <c r="D34" s="33" t="s">
        <v>812</v>
      </c>
      <c r="E34" s="33" t="s">
        <v>813</v>
      </c>
      <c r="F34" s="33" t="s">
        <v>814</v>
      </c>
      <c r="G34" s="33" t="s">
        <v>815</v>
      </c>
      <c r="H34" s="33" t="s">
        <v>816</v>
      </c>
      <c r="I34" s="33" t="s">
        <v>817</v>
      </c>
      <c r="J34" s="33" t="s">
        <v>818</v>
      </c>
      <c r="K34" s="33" t="s">
        <v>819</v>
      </c>
      <c r="L34" s="33" t="s">
        <v>820</v>
      </c>
      <c r="M34" s="33" t="s">
        <v>821</v>
      </c>
      <c r="N34" s="33" t="s">
        <v>822</v>
      </c>
      <c r="O34" s="33" t="s">
        <v>823</v>
      </c>
      <c r="P34" s="33" t="s">
        <v>824</v>
      </c>
      <c r="Q34" s="33" t="s">
        <v>825</v>
      </c>
      <c r="R34" s="33" t="s">
        <v>826</v>
      </c>
      <c r="S34" s="33" t="s">
        <v>827</v>
      </c>
      <c r="T34" s="33" t="s">
        <v>828</v>
      </c>
      <c r="U34" s="33" t="s">
        <v>829</v>
      </c>
      <c r="V34" s="33" t="s">
        <v>830</v>
      </c>
      <c r="W34" s="33" t="s">
        <v>831</v>
      </c>
      <c r="X34" s="33" t="s">
        <v>832</v>
      </c>
      <c r="Y34" s="33" t="s">
        <v>833</v>
      </c>
      <c r="Z34" s="11" t="s">
        <v>16</v>
      </c>
    </row>
    <row r="35" customFormat="false" ht="15" hidden="false" customHeight="false" outlineLevel="0" collapsed="false">
      <c r="A35" s="52" t="s">
        <v>678</v>
      </c>
      <c r="B35" s="73" t="str">
        <f aca="false">04_Monthly_2026_2028!D18</f>
        <v>현재 (1대)</v>
      </c>
      <c r="C35" s="73" t="str">
        <f aca="false">04_Monthly_2026_2028!D19</f>
        <v>공사</v>
      </c>
      <c r="D35" s="73" t="str">
        <f aca="false">04_Monthly_2026_2028!D20</f>
        <v>공사</v>
      </c>
      <c r="E35" s="73" t="str">
        <f aca="false">04_Monthly_2026_2028!D21</f>
        <v>공사</v>
      </c>
      <c r="F35" s="73" t="str">
        <f aca="false">04_Monthly_2026_2028!D22</f>
        <v>공사</v>
      </c>
      <c r="G35" s="73" t="str">
        <f aca="false">04_Monthly_2026_2028!D23</f>
        <v>시운전</v>
      </c>
      <c r="H35" s="73" t="str">
        <f aca="false">04_Monthly_2026_2028!D24</f>
        <v>개선 (2대)</v>
      </c>
      <c r="I35" s="73" t="str">
        <f aca="false">04_Monthly_2026_2028!D25</f>
        <v>개선 (2대)</v>
      </c>
      <c r="J35" s="73" t="str">
        <f aca="false">04_Monthly_2026_2028!D26</f>
        <v>개선 (2대)</v>
      </c>
      <c r="K35" s="73" t="str">
        <f aca="false">04_Monthly_2026_2028!D27</f>
        <v>개선 (2대)</v>
      </c>
      <c r="L35" s="73" t="str">
        <f aca="false">04_Monthly_2026_2028!D28</f>
        <v>개선 (2대)</v>
      </c>
      <c r="M35" s="73" t="str">
        <f aca="false">04_Monthly_2026_2028!D29</f>
        <v>개선 (2대)</v>
      </c>
      <c r="N35" s="73" t="str">
        <f aca="false">04_Monthly_2026_2028!D30</f>
        <v>개선 (2대)</v>
      </c>
      <c r="O35" s="73" t="str">
        <f aca="false">04_Monthly_2026_2028!D31</f>
        <v>개선 (2대)</v>
      </c>
      <c r="P35" s="73" t="str">
        <f aca="false">04_Monthly_2026_2028!D32</f>
        <v>개선 (2대)</v>
      </c>
      <c r="Q35" s="73" t="str">
        <f aca="false">04_Monthly_2026_2028!D33</f>
        <v>개선 (2대)</v>
      </c>
      <c r="R35" s="73" t="str">
        <f aca="false">04_Monthly_2026_2028!D34</f>
        <v>개선 (2대)</v>
      </c>
      <c r="S35" s="73" t="str">
        <f aca="false">04_Monthly_2026_2028!D35</f>
        <v>개선 (2대)</v>
      </c>
      <c r="T35" s="73" t="str">
        <f aca="false">04_Monthly_2026_2028!D36</f>
        <v>개선 (2대)</v>
      </c>
      <c r="U35" s="73" t="str">
        <f aca="false">04_Monthly_2026_2028!D37</f>
        <v>개선 (2대)</v>
      </c>
      <c r="V35" s="73" t="str">
        <f aca="false">04_Monthly_2026_2028!D38</f>
        <v>개선 (2대)</v>
      </c>
      <c r="W35" s="73" t="str">
        <f aca="false">04_Monthly_2026_2028!D39</f>
        <v>개선 (2대)</v>
      </c>
      <c r="X35" s="73" t="str">
        <f aca="false">04_Monthly_2026_2028!D40</f>
        <v>개선 (2대)</v>
      </c>
      <c r="Y35" s="73" t="str">
        <f aca="false">04_Monthly_2026_2028!D41</f>
        <v>개선 (2대)</v>
      </c>
    </row>
    <row r="36" customFormat="false" ht="15" hidden="false" customHeight="false" outlineLevel="0" collapsed="false">
      <c r="A36" s="52" t="s">
        <v>834</v>
      </c>
      <c r="B36" s="57" t="n">
        <f aca="false">04_Monthly_2026_2028!O18</f>
        <v>11</v>
      </c>
      <c r="C36" s="57" t="str">
        <f aca="false">04_Monthly_2026_2028!O19</f>
        <v>미확인</v>
      </c>
      <c r="D36" s="57" t="str">
        <f aca="false">04_Monthly_2026_2028!O20</f>
        <v>미확인</v>
      </c>
      <c r="E36" s="57" t="str">
        <f aca="false">04_Monthly_2026_2028!O21</f>
        <v>미확인</v>
      </c>
      <c r="F36" s="57" t="str">
        <f aca="false">04_Monthly_2026_2028!O22</f>
        <v>미확인</v>
      </c>
      <c r="G36" s="57" t="str">
        <f aca="false">04_Monthly_2026_2028!O23</f>
        <v>미확인</v>
      </c>
      <c r="H36" s="57" t="str">
        <f aca="false">04_Monthly_2026_2028!O24</f>
        <v>미확인</v>
      </c>
      <c r="I36" s="57" t="str">
        <f aca="false">04_Monthly_2026_2028!O25</f>
        <v>미확인</v>
      </c>
      <c r="J36" s="57" t="str">
        <f aca="false">04_Monthly_2026_2028!O26</f>
        <v>미확인</v>
      </c>
      <c r="K36" s="57" t="str">
        <f aca="false">04_Monthly_2026_2028!O27</f>
        <v>미확인</v>
      </c>
      <c r="L36" s="57" t="str">
        <f aca="false">04_Monthly_2026_2028!O28</f>
        <v>미확인</v>
      </c>
      <c r="M36" s="57" t="str">
        <f aca="false">04_Monthly_2026_2028!O29</f>
        <v>미확인</v>
      </c>
      <c r="N36" s="57" t="str">
        <f aca="false">04_Monthly_2026_2028!O30</f>
        <v>미확인</v>
      </c>
      <c r="O36" s="57" t="str">
        <f aca="false">04_Monthly_2026_2028!O31</f>
        <v>미확인</v>
      </c>
      <c r="P36" s="57" t="str">
        <f aca="false">04_Monthly_2026_2028!O32</f>
        <v>미확인</v>
      </c>
      <c r="Q36" s="57" t="str">
        <f aca="false">04_Monthly_2026_2028!O33</f>
        <v>미확인</v>
      </c>
      <c r="R36" s="57" t="str">
        <f aca="false">04_Monthly_2026_2028!O34</f>
        <v>미확인</v>
      </c>
      <c r="S36" s="57" t="str">
        <f aca="false">04_Monthly_2026_2028!O35</f>
        <v>미확인</v>
      </c>
      <c r="T36" s="57" t="str">
        <f aca="false">04_Monthly_2026_2028!O36</f>
        <v>미확인</v>
      </c>
      <c r="U36" s="57" t="str">
        <f aca="false">04_Monthly_2026_2028!O37</f>
        <v>미확인</v>
      </c>
      <c r="V36" s="57" t="str">
        <f aca="false">04_Monthly_2026_2028!O38</f>
        <v>미확인</v>
      </c>
      <c r="W36" s="57" t="str">
        <f aca="false">04_Monthly_2026_2028!O39</f>
        <v>미확인</v>
      </c>
      <c r="X36" s="57" t="str">
        <f aca="false">04_Monthly_2026_2028!O40</f>
        <v>미확인</v>
      </c>
      <c r="Y36" s="57" t="str">
        <f aca="false">04_Monthly_2026_2028!O41</f>
        <v>미확인</v>
      </c>
    </row>
    <row r="37" customFormat="false" ht="15" hidden="false" customHeight="false" outlineLevel="0" collapsed="false">
      <c r="A37" s="52" t="s">
        <v>835</v>
      </c>
      <c r="B37" s="60" t="n">
        <f aca="false">04_Monthly_2026_2028!S18</f>
        <v>2090</v>
      </c>
      <c r="C37" s="60" t="str">
        <f aca="false">04_Monthly_2026_2028!S19</f>
        <v>미확인</v>
      </c>
      <c r="D37" s="60" t="str">
        <f aca="false">04_Monthly_2026_2028!S20</f>
        <v>미확인</v>
      </c>
      <c r="E37" s="60" t="str">
        <f aca="false">04_Monthly_2026_2028!S21</f>
        <v>미확인</v>
      </c>
      <c r="F37" s="60" t="str">
        <f aca="false">04_Monthly_2026_2028!S22</f>
        <v>미확인</v>
      </c>
      <c r="G37" s="60" t="str">
        <f aca="false">04_Monthly_2026_2028!S23</f>
        <v>미확인</v>
      </c>
      <c r="H37" s="60" t="str">
        <f aca="false">04_Monthly_2026_2028!S24</f>
        <v>미확인</v>
      </c>
      <c r="I37" s="60" t="str">
        <f aca="false">04_Monthly_2026_2028!S25</f>
        <v>미확인</v>
      </c>
      <c r="J37" s="60" t="str">
        <f aca="false">04_Monthly_2026_2028!S26</f>
        <v>미확인</v>
      </c>
      <c r="K37" s="60" t="str">
        <f aca="false">04_Monthly_2026_2028!S27</f>
        <v>미확인</v>
      </c>
      <c r="L37" s="60" t="str">
        <f aca="false">04_Monthly_2026_2028!S28</f>
        <v>미확인</v>
      </c>
      <c r="M37" s="60" t="str">
        <f aca="false">04_Monthly_2026_2028!S29</f>
        <v>미확인</v>
      </c>
      <c r="N37" s="60" t="str">
        <f aca="false">04_Monthly_2026_2028!S30</f>
        <v>미확인</v>
      </c>
      <c r="O37" s="60" t="str">
        <f aca="false">04_Monthly_2026_2028!S31</f>
        <v>미확인</v>
      </c>
      <c r="P37" s="60" t="str">
        <f aca="false">04_Monthly_2026_2028!S32</f>
        <v>미확인</v>
      </c>
      <c r="Q37" s="60" t="str">
        <f aca="false">04_Monthly_2026_2028!S33</f>
        <v>미확인</v>
      </c>
      <c r="R37" s="60" t="str">
        <f aca="false">04_Monthly_2026_2028!S34</f>
        <v>미확인</v>
      </c>
      <c r="S37" s="60" t="str">
        <f aca="false">04_Monthly_2026_2028!S35</f>
        <v>미확인</v>
      </c>
      <c r="T37" s="60" t="str">
        <f aca="false">04_Monthly_2026_2028!S36</f>
        <v>미확인</v>
      </c>
      <c r="U37" s="60" t="str">
        <f aca="false">04_Monthly_2026_2028!S37</f>
        <v>미확인</v>
      </c>
      <c r="V37" s="60" t="str">
        <f aca="false">04_Monthly_2026_2028!S38</f>
        <v>미확인</v>
      </c>
      <c r="W37" s="60" t="str">
        <f aca="false">04_Monthly_2026_2028!S39</f>
        <v>미확인</v>
      </c>
      <c r="X37" s="60" t="str">
        <f aca="false">04_Monthly_2026_2028!S40</f>
        <v>미확인</v>
      </c>
      <c r="Y37" s="60" t="str">
        <f aca="false">04_Monthly_2026_2028!S41</f>
        <v>미확인</v>
      </c>
    </row>
    <row r="38" customFormat="false" ht="15" hidden="false" customHeight="false" outlineLevel="0" collapsed="false">
      <c r="A38" s="52" t="s">
        <v>836</v>
      </c>
      <c r="B38" s="60" t="n">
        <f aca="false">04_Monthly_2026_2028!Y18</f>
        <v>2753.33333333333</v>
      </c>
      <c r="C38" s="60" t="n">
        <f aca="false">04_Monthly_2026_2028!Y19</f>
        <v>2753.33333333333</v>
      </c>
      <c r="D38" s="60" t="n">
        <f aca="false">04_Monthly_2026_2028!Y20</f>
        <v>3333.33333333333</v>
      </c>
      <c r="E38" s="60" t="n">
        <f aca="false">04_Monthly_2026_2028!Y21</f>
        <v>3333.33333333333</v>
      </c>
      <c r="F38" s="60" t="n">
        <f aca="false">04_Monthly_2026_2028!Y22</f>
        <v>3333.33333333333</v>
      </c>
      <c r="G38" s="60" t="n">
        <f aca="false">04_Monthly_2026_2028!Y23</f>
        <v>3333.33333333333</v>
      </c>
      <c r="H38" s="60" t="n">
        <f aca="false">04_Monthly_2026_2028!Y24</f>
        <v>4093.33333333333</v>
      </c>
      <c r="I38" s="60" t="n">
        <f aca="false">04_Monthly_2026_2028!Y25</f>
        <v>4093.33333333333</v>
      </c>
      <c r="J38" s="60" t="n">
        <f aca="false">04_Monthly_2026_2028!Y26</f>
        <v>4093.33333333333</v>
      </c>
      <c r="K38" s="60" t="n">
        <f aca="false">04_Monthly_2026_2028!Y27</f>
        <v>4093.33333333333</v>
      </c>
      <c r="L38" s="60" t="n">
        <f aca="false">04_Monthly_2026_2028!Y28</f>
        <v>4093.33333333333</v>
      </c>
      <c r="M38" s="60" t="n">
        <f aca="false">04_Monthly_2026_2028!Y29</f>
        <v>4093.33333333333</v>
      </c>
      <c r="N38" s="60" t="n">
        <f aca="false">04_Monthly_2026_2028!Y30</f>
        <v>4093.33333333333</v>
      </c>
      <c r="O38" s="60" t="n">
        <f aca="false">04_Monthly_2026_2028!Y31</f>
        <v>4093.33333333333</v>
      </c>
      <c r="P38" s="60" t="n">
        <f aca="false">04_Monthly_2026_2028!Y32</f>
        <v>4093.33333333333</v>
      </c>
      <c r="Q38" s="60" t="n">
        <f aca="false">04_Monthly_2026_2028!Y33</f>
        <v>4093.33333333333</v>
      </c>
      <c r="R38" s="60" t="n">
        <f aca="false">04_Monthly_2026_2028!Y34</f>
        <v>4093.33333333333</v>
      </c>
      <c r="S38" s="60" t="n">
        <f aca="false">04_Monthly_2026_2028!Y35</f>
        <v>4093.33333333333</v>
      </c>
      <c r="T38" s="60" t="n">
        <f aca="false">04_Monthly_2026_2028!Y36</f>
        <v>4093.33333333333</v>
      </c>
      <c r="U38" s="60" t="n">
        <f aca="false">04_Monthly_2026_2028!Y37</f>
        <v>4093.33333333333</v>
      </c>
      <c r="V38" s="60" t="n">
        <f aca="false">04_Monthly_2026_2028!Y38</f>
        <v>4093.33333333333</v>
      </c>
      <c r="W38" s="60" t="n">
        <f aca="false">04_Monthly_2026_2028!Y39</f>
        <v>4093.33333333333</v>
      </c>
      <c r="X38" s="60" t="n">
        <f aca="false">04_Monthly_2026_2028!Y40</f>
        <v>4093.33333333333</v>
      </c>
      <c r="Y38" s="60" t="n">
        <f aca="false">04_Monthly_2026_2028!Y41</f>
        <v>4093.33333333333</v>
      </c>
    </row>
    <row r="40" customFormat="false" ht="15" hidden="false" customHeight="false" outlineLevel="0" collapsed="false">
      <c r="A40" s="72" t="s">
        <v>837</v>
      </c>
    </row>
    <row r="41" customFormat="false" ht="30" hidden="false" customHeight="true" outlineLevel="0" collapsed="false">
      <c r="A41" s="11" t="s">
        <v>838</v>
      </c>
      <c r="B41" s="33" t="s">
        <v>839</v>
      </c>
      <c r="C41" s="33" t="s">
        <v>840</v>
      </c>
      <c r="D41" s="33" t="s">
        <v>841</v>
      </c>
      <c r="E41" s="11"/>
      <c r="F41" s="11"/>
      <c r="G41" s="11"/>
      <c r="H41" s="11" t="s">
        <v>794</v>
      </c>
    </row>
    <row r="42" customFormat="false" ht="15" hidden="false" customHeight="false" outlineLevel="0" collapsed="false">
      <c r="A42" s="52" t="s">
        <v>842</v>
      </c>
      <c r="B42" s="74" t="n">
        <v>0</v>
      </c>
      <c r="C42" s="74" t="n">
        <v>1</v>
      </c>
      <c r="D42" s="74" t="n">
        <v>0.5</v>
      </c>
      <c r="H42" s="54" t="s">
        <v>843</v>
      </c>
    </row>
    <row r="43" customFormat="false" ht="26.85" hidden="false" customHeight="false" outlineLevel="0" collapsed="false">
      <c r="A43" s="52" t="s">
        <v>844</v>
      </c>
      <c r="B43" s="31" t="n">
        <v>0</v>
      </c>
      <c r="C43" s="31" t="n">
        <v>0</v>
      </c>
      <c r="D43" s="31" t="n">
        <v>0</v>
      </c>
      <c r="H43" s="54" t="s">
        <v>845</v>
      </c>
    </row>
    <row r="44" customFormat="false" ht="15" hidden="false" customHeight="false" outlineLevel="0" collapsed="false">
      <c r="A44" s="52" t="s">
        <v>846</v>
      </c>
      <c r="B44" s="30" t="n">
        <v>0</v>
      </c>
      <c r="C44" s="30" t="n">
        <v>0</v>
      </c>
      <c r="D44" s="30" t="n">
        <v>3</v>
      </c>
      <c r="H44" s="54" t="s">
        <v>847</v>
      </c>
    </row>
    <row r="45" customFormat="false" ht="26.85" hidden="false" customHeight="false" outlineLevel="0" collapsed="false">
      <c r="A45" s="52" t="s">
        <v>848</v>
      </c>
      <c r="B45" s="31" t="n">
        <f aca="false">01_Inputs!$B$65*1000/12</f>
        <v>3933.33333333333</v>
      </c>
      <c r="C45" s="31" t="n">
        <f aca="false">01_Inputs!$B$65*1000/12</f>
        <v>3933.33333333333</v>
      </c>
      <c r="D45" s="31" t="n">
        <f aca="false">01_Inputs!$B$65*1000/12</f>
        <v>3933.33333333333</v>
      </c>
      <c r="H45" s="54" t="s">
        <v>849</v>
      </c>
    </row>
    <row r="46" customFormat="false" ht="15" hidden="false" customHeight="false" outlineLevel="0" collapsed="false">
      <c r="A46" s="38" t="s">
        <v>850</v>
      </c>
      <c r="B46" s="30" t="n">
        <v>0</v>
      </c>
      <c r="C46" s="30" t="n">
        <v>0</v>
      </c>
      <c r="D46" s="30" t="n">
        <v>0</v>
      </c>
      <c r="H46" s="51" t="s">
        <v>851</v>
      </c>
    </row>
    <row r="47" customFormat="false" ht="15" hidden="false" customHeight="false" outlineLevel="0" collapsed="false">
      <c r="A47" s="52" t="s">
        <v>852</v>
      </c>
      <c r="B47" s="74" t="n">
        <v>1</v>
      </c>
      <c r="C47" s="74" t="n">
        <v>1</v>
      </c>
      <c r="D47" s="74" t="n">
        <v>1</v>
      </c>
      <c r="H47" s="54" t="s">
        <v>853</v>
      </c>
    </row>
    <row r="49" customFormat="false" ht="30" hidden="false" customHeight="true" outlineLevel="0" collapsed="false">
      <c r="A49" s="11" t="s">
        <v>854</v>
      </c>
      <c r="B49" s="33" t="s">
        <v>810</v>
      </c>
      <c r="C49" s="33" t="s">
        <v>811</v>
      </c>
      <c r="D49" s="33" t="s">
        <v>812</v>
      </c>
      <c r="E49" s="33" t="s">
        <v>813</v>
      </c>
      <c r="F49" s="33" t="s">
        <v>814</v>
      </c>
      <c r="G49" s="33" t="s">
        <v>815</v>
      </c>
      <c r="H49" s="33" t="s">
        <v>816</v>
      </c>
      <c r="I49" s="33" t="s">
        <v>817</v>
      </c>
      <c r="J49" s="33" t="s">
        <v>818</v>
      </c>
      <c r="K49" s="33" t="s">
        <v>819</v>
      </c>
      <c r="L49" s="33" t="s">
        <v>820</v>
      </c>
      <c r="M49" s="33" t="s">
        <v>821</v>
      </c>
      <c r="N49" s="33" t="s">
        <v>822</v>
      </c>
      <c r="O49" s="33" t="s">
        <v>823</v>
      </c>
      <c r="P49" s="33" t="s">
        <v>824</v>
      </c>
      <c r="Q49" s="33" t="s">
        <v>825</v>
      </c>
      <c r="R49" s="33" t="s">
        <v>826</v>
      </c>
      <c r="S49" s="33" t="s">
        <v>827</v>
      </c>
      <c r="T49" s="33" t="s">
        <v>828</v>
      </c>
      <c r="U49" s="33" t="s">
        <v>829</v>
      </c>
      <c r="V49" s="33" t="s">
        <v>830</v>
      </c>
      <c r="W49" s="33" t="s">
        <v>831</v>
      </c>
      <c r="X49" s="33" t="s">
        <v>832</v>
      </c>
      <c r="Y49" s="33" t="s">
        <v>833</v>
      </c>
      <c r="Z49" s="11" t="s">
        <v>337</v>
      </c>
    </row>
    <row r="50" customFormat="false" ht="15" hidden="false" customHeight="false" outlineLevel="0" collapsed="false">
      <c r="A50" s="52" t="s">
        <v>855</v>
      </c>
      <c r="B50" s="22" t="n">
        <f aca="false">04_Monthly_2026_2028!C18*24/03_Capacity_Model!$B$80*01_Inputs!$B$49</f>
        <v>2095.10067114094</v>
      </c>
      <c r="C50" s="22" t="n">
        <f aca="false">04_Monthly_2026_2028!C19*24/03_Capacity_Model!$B$80*01_Inputs!$B$49</f>
        <v>1892.34899328859</v>
      </c>
      <c r="D50" s="22" t="n">
        <f aca="false">04_Monthly_2026_2028!C20*24/03_Capacity_Model!$B$80*01_Inputs!$B$49</f>
        <v>2095.10067114094</v>
      </c>
      <c r="E50" s="22" t="n">
        <f aca="false">04_Monthly_2026_2028!C21*24/03_Capacity_Model!$B$80*01_Inputs!$B$49</f>
        <v>2027.51677852349</v>
      </c>
      <c r="F50" s="22" t="n">
        <f aca="false">04_Monthly_2026_2028!C22*24/03_Capacity_Model!$B$80*01_Inputs!$B$49</f>
        <v>2095.10067114094</v>
      </c>
      <c r="G50" s="22" t="n">
        <f aca="false">04_Monthly_2026_2028!C23*24/03_Capacity_Model!$B$80*01_Inputs!$B$49</f>
        <v>2027.51677852349</v>
      </c>
      <c r="H50" s="22" t="n">
        <f aca="false">04_Monthly_2026_2028!C24*24/03_Capacity_Model!$B$80*01_Inputs!$B$49</f>
        <v>2095.10067114094</v>
      </c>
      <c r="I50" s="22" t="n">
        <f aca="false">04_Monthly_2026_2028!C25*24/03_Capacity_Model!$B$80*01_Inputs!$B$49</f>
        <v>2095.10067114094</v>
      </c>
      <c r="J50" s="22" t="n">
        <f aca="false">04_Monthly_2026_2028!C26*24/03_Capacity_Model!$B$80*01_Inputs!$B$49</f>
        <v>2027.51677852349</v>
      </c>
      <c r="K50" s="22" t="n">
        <f aca="false">04_Monthly_2026_2028!C27*24/03_Capacity_Model!$B$80*01_Inputs!$B$49</f>
        <v>2095.10067114094</v>
      </c>
      <c r="L50" s="22" t="n">
        <f aca="false">04_Monthly_2026_2028!C28*24/03_Capacity_Model!$B$80*01_Inputs!$B$49</f>
        <v>2027.51677852349</v>
      </c>
      <c r="M50" s="22" t="n">
        <f aca="false">04_Monthly_2026_2028!C29*24/03_Capacity_Model!$B$80*01_Inputs!$B$49</f>
        <v>2095.10067114094</v>
      </c>
      <c r="N50" s="22" t="n">
        <f aca="false">04_Monthly_2026_2028!C30*24/03_Capacity_Model!$B$80*01_Inputs!$B$49</f>
        <v>2095.10067114094</v>
      </c>
      <c r="O50" s="22" t="n">
        <f aca="false">04_Monthly_2026_2028!C31*24/03_Capacity_Model!$B$80*01_Inputs!$B$49</f>
        <v>1959.93288590604</v>
      </c>
      <c r="P50" s="22" t="n">
        <f aca="false">04_Monthly_2026_2028!C32*24/03_Capacity_Model!$B$80*01_Inputs!$B$49</f>
        <v>2095.10067114094</v>
      </c>
      <c r="Q50" s="22" t="n">
        <f aca="false">04_Monthly_2026_2028!C33*24/03_Capacity_Model!$B$80*01_Inputs!$B$49</f>
        <v>2027.51677852349</v>
      </c>
      <c r="R50" s="22" t="n">
        <f aca="false">04_Monthly_2026_2028!C34*24/03_Capacity_Model!$B$80*01_Inputs!$B$49</f>
        <v>2095.10067114094</v>
      </c>
      <c r="S50" s="22" t="n">
        <f aca="false">04_Monthly_2026_2028!C35*24/03_Capacity_Model!$B$80*01_Inputs!$B$49</f>
        <v>2027.51677852349</v>
      </c>
      <c r="T50" s="22" t="n">
        <f aca="false">04_Monthly_2026_2028!C36*24/03_Capacity_Model!$B$80*01_Inputs!$B$49</f>
        <v>2095.10067114094</v>
      </c>
      <c r="U50" s="22" t="n">
        <f aca="false">04_Monthly_2026_2028!C37*24/03_Capacity_Model!$B$80*01_Inputs!$B$49</f>
        <v>2095.10067114094</v>
      </c>
      <c r="V50" s="22" t="n">
        <f aca="false">04_Monthly_2026_2028!C38*24/03_Capacity_Model!$B$80*01_Inputs!$B$49</f>
        <v>2027.51677852349</v>
      </c>
      <c r="W50" s="22" t="n">
        <f aca="false">04_Monthly_2026_2028!C39*24/03_Capacity_Model!$B$80*01_Inputs!$B$49</f>
        <v>2095.10067114094</v>
      </c>
      <c r="X50" s="22" t="n">
        <f aca="false">04_Monthly_2026_2028!C40*24/03_Capacity_Model!$B$80*01_Inputs!$B$49</f>
        <v>2027.51677852349</v>
      </c>
      <c r="Y50" s="22" t="n">
        <f aca="false">04_Monthly_2026_2028!C41*24/03_Capacity_Model!$B$80*01_Inputs!$B$49</f>
        <v>2095.10067114094</v>
      </c>
    </row>
    <row r="51" customFormat="false" ht="15" hidden="false" customHeight="false" outlineLevel="0" collapsed="false">
      <c r="A51" s="52" t="s">
        <v>856</v>
      </c>
      <c r="B51" s="60" t="n">
        <f aca="false">04_Monthly_2026_2028!Y18</f>
        <v>2753.33333333333</v>
      </c>
      <c r="C51" s="60" t="n">
        <f aca="false">04_Monthly_2026_2028!Y19</f>
        <v>2753.33333333333</v>
      </c>
      <c r="D51" s="60" t="n">
        <f aca="false">04_Monthly_2026_2028!Y20</f>
        <v>3333.33333333333</v>
      </c>
      <c r="E51" s="60" t="n">
        <f aca="false">04_Monthly_2026_2028!Y21</f>
        <v>3333.33333333333</v>
      </c>
      <c r="F51" s="60" t="n">
        <f aca="false">04_Monthly_2026_2028!Y22</f>
        <v>3333.33333333333</v>
      </c>
      <c r="G51" s="60" t="n">
        <f aca="false">04_Monthly_2026_2028!Y23</f>
        <v>3333.33333333333</v>
      </c>
      <c r="H51" s="60" t="n">
        <f aca="false">04_Monthly_2026_2028!Y24</f>
        <v>4093.33333333333</v>
      </c>
      <c r="I51" s="60" t="n">
        <f aca="false">04_Monthly_2026_2028!Y25</f>
        <v>4093.33333333333</v>
      </c>
      <c r="J51" s="60" t="n">
        <f aca="false">04_Monthly_2026_2028!Y26</f>
        <v>4093.33333333333</v>
      </c>
      <c r="K51" s="60" t="n">
        <f aca="false">04_Monthly_2026_2028!Y27</f>
        <v>4093.33333333333</v>
      </c>
      <c r="L51" s="60" t="n">
        <f aca="false">04_Monthly_2026_2028!Y28</f>
        <v>4093.33333333333</v>
      </c>
      <c r="M51" s="60" t="n">
        <f aca="false">04_Monthly_2026_2028!Y29</f>
        <v>4093.33333333333</v>
      </c>
      <c r="N51" s="60" t="n">
        <f aca="false">04_Monthly_2026_2028!Y30</f>
        <v>4093.33333333333</v>
      </c>
      <c r="O51" s="60" t="n">
        <f aca="false">04_Monthly_2026_2028!Y31</f>
        <v>4093.33333333333</v>
      </c>
      <c r="P51" s="60" t="n">
        <f aca="false">04_Monthly_2026_2028!Y32</f>
        <v>4093.33333333333</v>
      </c>
      <c r="Q51" s="60" t="n">
        <f aca="false">04_Monthly_2026_2028!Y33</f>
        <v>4093.33333333333</v>
      </c>
      <c r="R51" s="60" t="n">
        <f aca="false">04_Monthly_2026_2028!Y34</f>
        <v>4093.33333333333</v>
      </c>
      <c r="S51" s="60" t="n">
        <f aca="false">04_Monthly_2026_2028!Y35</f>
        <v>4093.33333333333</v>
      </c>
      <c r="T51" s="60" t="n">
        <f aca="false">04_Monthly_2026_2028!Y36</f>
        <v>4093.33333333333</v>
      </c>
      <c r="U51" s="60" t="n">
        <f aca="false">04_Monthly_2026_2028!Y37</f>
        <v>4093.33333333333</v>
      </c>
      <c r="V51" s="60" t="n">
        <f aca="false">04_Monthly_2026_2028!Y38</f>
        <v>4093.33333333333</v>
      </c>
      <c r="W51" s="60" t="n">
        <f aca="false">04_Monthly_2026_2028!Y39</f>
        <v>4093.33333333333</v>
      </c>
      <c r="X51" s="60" t="n">
        <f aca="false">04_Monthly_2026_2028!Y40</f>
        <v>4093.33333333333</v>
      </c>
      <c r="Y51" s="60" t="n">
        <f aca="false">04_Monthly_2026_2028!Y41</f>
        <v>4093.33333333333</v>
      </c>
      <c r="Z51" s="45" t="n">
        <f aca="false">SUM(B51:Y51)</f>
        <v>92520</v>
      </c>
    </row>
    <row r="52" customFormat="false" ht="15" hidden="false" customHeight="false" outlineLevel="0" collapsed="false">
      <c r="A52" s="38" t="s">
        <v>857</v>
      </c>
      <c r="B52" s="22" t="n">
        <f aca="false">IF(1=1,B50,IF(1&lt;=5,B50*$B$42,IF(1=6,$B$43,IF(1-6&lt;=$B$44,B50,IF(AND(1&gt;12,$B$46=1),01_Inputs!$B$68*1000/12,$B$45)))))*$B$47</f>
        <v>2095.10067114094</v>
      </c>
      <c r="C52" s="22" t="n">
        <f aca="false">IF(2=1,C50,IF(2&lt;=5,C50*$B$42,IF(2=6,$B$43,IF(2-6&lt;=$B$44,C50,IF(AND(2&gt;12,$B$46=1),01_Inputs!$B$68*1000/12,$B$45)))))*$B$47</f>
        <v>0</v>
      </c>
      <c r="D52" s="22" t="n">
        <f aca="false">IF(3=1,D50,IF(3&lt;=5,D50*$B$42,IF(3=6,$B$43,IF(3-6&lt;=$B$44,D50,IF(AND(3&gt;12,$B$46=1),01_Inputs!$B$68*1000/12,$B$45)))))*$B$47</f>
        <v>0</v>
      </c>
      <c r="E52" s="22" t="n">
        <f aca="false">IF(4=1,E50,IF(4&lt;=5,E50*$B$42,IF(4=6,$B$43,IF(4-6&lt;=$B$44,E50,IF(AND(4&gt;12,$B$46=1),01_Inputs!$B$68*1000/12,$B$45)))))*$B$47</f>
        <v>0</v>
      </c>
      <c r="F52" s="22" t="n">
        <f aca="false">IF(5=1,F50,IF(5&lt;=5,F50*$B$42,IF(5=6,$B$43,IF(5-6&lt;=$B$44,F50,IF(AND(5&gt;12,$B$46=1),01_Inputs!$B$68*1000/12,$B$45)))))*$B$47</f>
        <v>0</v>
      </c>
      <c r="G52" s="22" t="n">
        <f aca="false">IF(6=1,G50,IF(6&lt;=5,G50*$B$42,IF(6=6,$B$43,IF(6-6&lt;=$B$44,G50,IF(AND(6&gt;12,$B$46=1),01_Inputs!$B$68*1000/12,$B$45)))))*$B$47</f>
        <v>0</v>
      </c>
      <c r="H52" s="22" t="n">
        <f aca="false">IF(7=1,H50,IF(7&lt;=5,H50*$B$42,IF(7=6,$B$43,IF(7-6&lt;=$B$44,H50,IF(AND(7&gt;12,$B$46=1),01_Inputs!$B$68*1000/12,$B$45)))))*$B$47</f>
        <v>3933.33333333333</v>
      </c>
      <c r="I52" s="22" t="n">
        <f aca="false">IF(8=1,I50,IF(8&lt;=5,I50*$B$42,IF(8=6,$B$43,IF(8-6&lt;=$B$44,I50,IF(AND(8&gt;12,$B$46=1),01_Inputs!$B$68*1000/12,$B$45)))))*$B$47</f>
        <v>3933.33333333333</v>
      </c>
      <c r="J52" s="22" t="n">
        <f aca="false">IF(9=1,J50,IF(9&lt;=5,J50*$B$42,IF(9=6,$B$43,IF(9-6&lt;=$B$44,J50,IF(AND(9&gt;12,$B$46=1),01_Inputs!$B$68*1000/12,$B$45)))))*$B$47</f>
        <v>3933.33333333333</v>
      </c>
      <c r="K52" s="22" t="n">
        <f aca="false">IF(10=1,K50,IF(10&lt;=5,K50*$B$42,IF(10=6,$B$43,IF(10-6&lt;=$B$44,K50,IF(AND(10&gt;12,$B$46=1),01_Inputs!$B$68*1000/12,$B$45)))))*$B$47</f>
        <v>3933.33333333333</v>
      </c>
      <c r="L52" s="22" t="n">
        <f aca="false">IF(11=1,L50,IF(11&lt;=5,L50*$B$42,IF(11=6,$B$43,IF(11-6&lt;=$B$44,L50,IF(AND(11&gt;12,$B$46=1),01_Inputs!$B$68*1000/12,$B$45)))))*$B$47</f>
        <v>3933.33333333333</v>
      </c>
      <c r="M52" s="22" t="n">
        <f aca="false">IF(12=1,M50,IF(12&lt;=5,M50*$B$42,IF(12=6,$B$43,IF(12-6&lt;=$B$44,M50,IF(AND(12&gt;12,$B$46=1),01_Inputs!$B$68*1000/12,$B$45)))))*$B$47</f>
        <v>3933.33333333333</v>
      </c>
      <c r="N52" s="22" t="n">
        <f aca="false">IF(13=1,N50,IF(13&lt;=5,N50*$B$42,IF(13=6,$B$43,IF(13-6&lt;=$B$44,N50,IF(AND(13&gt;12,$B$46=1),01_Inputs!$B$68*1000/12,$B$45)))))*$B$47</f>
        <v>3933.33333333333</v>
      </c>
      <c r="O52" s="22" t="n">
        <f aca="false">IF(14=1,O50,IF(14&lt;=5,O50*$B$42,IF(14=6,$B$43,IF(14-6&lt;=$B$44,O50,IF(AND(14&gt;12,$B$46=1),01_Inputs!$B$68*1000/12,$B$45)))))*$B$47</f>
        <v>3933.33333333333</v>
      </c>
      <c r="P52" s="22" t="n">
        <f aca="false">IF(15=1,P50,IF(15&lt;=5,P50*$B$42,IF(15=6,$B$43,IF(15-6&lt;=$B$44,P50,IF(AND(15&gt;12,$B$46=1),01_Inputs!$B$68*1000/12,$B$45)))))*$B$47</f>
        <v>3933.33333333333</v>
      </c>
      <c r="Q52" s="22" t="n">
        <f aca="false">IF(16=1,Q50,IF(16&lt;=5,Q50*$B$42,IF(16=6,$B$43,IF(16-6&lt;=$B$44,Q50,IF(AND(16&gt;12,$B$46=1),01_Inputs!$B$68*1000/12,$B$45)))))*$B$47</f>
        <v>3933.33333333333</v>
      </c>
      <c r="R52" s="22" t="n">
        <f aca="false">IF(17=1,R50,IF(17&lt;=5,R50*$B$42,IF(17=6,$B$43,IF(17-6&lt;=$B$44,R50,IF(AND(17&gt;12,$B$46=1),01_Inputs!$B$68*1000/12,$B$45)))))*$B$47</f>
        <v>3933.33333333333</v>
      </c>
      <c r="S52" s="22" t="n">
        <f aca="false">IF(18=1,S50,IF(18&lt;=5,S50*$B$42,IF(18=6,$B$43,IF(18-6&lt;=$B$44,S50,IF(AND(18&gt;12,$B$46=1),01_Inputs!$B$68*1000/12,$B$45)))))*$B$47</f>
        <v>3933.33333333333</v>
      </c>
      <c r="T52" s="22" t="n">
        <f aca="false">IF(19=1,T50,IF(19&lt;=5,T50*$B$42,IF(19=6,$B$43,IF(19-6&lt;=$B$44,T50,IF(AND(19&gt;12,$B$46=1),01_Inputs!$B$68*1000/12,$B$45)))))*$B$47</f>
        <v>3933.33333333333</v>
      </c>
      <c r="U52" s="22" t="n">
        <f aca="false">IF(20=1,U50,IF(20&lt;=5,U50*$B$42,IF(20=6,$B$43,IF(20-6&lt;=$B$44,U50,IF(AND(20&gt;12,$B$46=1),01_Inputs!$B$68*1000/12,$B$45)))))*$B$47</f>
        <v>3933.33333333333</v>
      </c>
      <c r="V52" s="22" t="n">
        <f aca="false">IF(21=1,V50,IF(21&lt;=5,V50*$B$42,IF(21=6,$B$43,IF(21-6&lt;=$B$44,V50,IF(AND(21&gt;12,$B$46=1),01_Inputs!$B$68*1000/12,$B$45)))))*$B$47</f>
        <v>3933.33333333333</v>
      </c>
      <c r="W52" s="22" t="n">
        <f aca="false">IF(22=1,W50,IF(22&lt;=5,W50*$B$42,IF(22=6,$B$43,IF(22-6&lt;=$B$44,W50,IF(AND(22&gt;12,$B$46=1),01_Inputs!$B$68*1000/12,$B$45)))))*$B$47</f>
        <v>3933.33333333333</v>
      </c>
      <c r="X52" s="22" t="n">
        <f aca="false">IF(23=1,X50,IF(23&lt;=5,X50*$B$42,IF(23=6,$B$43,IF(23-6&lt;=$B$44,X50,IF(AND(23&gt;12,$B$46=1),01_Inputs!$B$68*1000/12,$B$45)))))*$B$47</f>
        <v>3933.33333333333</v>
      </c>
      <c r="Y52" s="22" t="n">
        <f aca="false">IF(24=1,Y50,IF(24&lt;=5,Y50*$B$42,IF(24=6,$B$43,IF(24-6&lt;=$B$44,Y50,IF(AND(24&gt;12,$B$46=1),01_Inputs!$B$68*1000/12,$B$45)))))*$B$47</f>
        <v>3933.33333333333</v>
      </c>
      <c r="Z52" s="45" t="n">
        <f aca="false">SUM(B52:Y52)</f>
        <v>72895.1006711409</v>
      </c>
    </row>
    <row r="53" customFormat="false" ht="15" hidden="false" customHeight="false" outlineLevel="0" collapsed="false">
      <c r="A53" s="9" t="s">
        <v>858</v>
      </c>
      <c r="B53" s="22" t="n">
        <f aca="false">B52-B51</f>
        <v>-658.232662192394</v>
      </c>
      <c r="C53" s="22" t="n">
        <f aca="false">B53+C52-C51</f>
        <v>-3411.56599552573</v>
      </c>
      <c r="D53" s="22" t="n">
        <f aca="false">C53+D52-D51</f>
        <v>-6744.89932885906</v>
      </c>
      <c r="E53" s="22" t="n">
        <f aca="false">D53+E52-E51</f>
        <v>-10078.2326621924</v>
      </c>
      <c r="F53" s="22" t="n">
        <f aca="false">E53+F52-F51</f>
        <v>-13411.5659955257</v>
      </c>
      <c r="G53" s="22" t="n">
        <f aca="false">F53+G52-G51</f>
        <v>-16744.8993288591</v>
      </c>
      <c r="H53" s="22" t="n">
        <f aca="false">G53+H52-H51</f>
        <v>-16904.8993288591</v>
      </c>
      <c r="I53" s="22" t="n">
        <f aca="false">H53+I52-I51</f>
        <v>-17064.8993288591</v>
      </c>
      <c r="J53" s="22" t="n">
        <f aca="false">I53+J52-J51</f>
        <v>-17224.8993288591</v>
      </c>
      <c r="K53" s="22" t="n">
        <f aca="false">J53+K52-K51</f>
        <v>-17384.8993288591</v>
      </c>
      <c r="L53" s="22" t="n">
        <f aca="false">K53+L52-L51</f>
        <v>-17544.8993288591</v>
      </c>
      <c r="M53" s="22" t="n">
        <f aca="false">L53+M52-M51</f>
        <v>-17704.8993288591</v>
      </c>
      <c r="N53" s="22" t="n">
        <f aca="false">M53+N52-N51</f>
        <v>-17864.8993288591</v>
      </c>
      <c r="O53" s="22" t="n">
        <f aca="false">N53+O52-O51</f>
        <v>-18024.8993288591</v>
      </c>
      <c r="P53" s="22" t="n">
        <f aca="false">O53+P52-P51</f>
        <v>-18184.8993288591</v>
      </c>
      <c r="Q53" s="22" t="n">
        <f aca="false">P53+Q52-Q51</f>
        <v>-18344.8993288591</v>
      </c>
      <c r="R53" s="22" t="n">
        <f aca="false">Q53+R52-R51</f>
        <v>-18504.8993288591</v>
      </c>
      <c r="S53" s="22" t="n">
        <f aca="false">R53+S52-S51</f>
        <v>-18664.8993288591</v>
      </c>
      <c r="T53" s="22" t="n">
        <f aca="false">S53+T52-T51</f>
        <v>-18824.8993288591</v>
      </c>
      <c r="U53" s="22" t="n">
        <f aca="false">T53+U52-U51</f>
        <v>-18984.8993288591</v>
      </c>
      <c r="V53" s="22" t="n">
        <f aca="false">U53+V52-V51</f>
        <v>-19144.8993288591</v>
      </c>
      <c r="W53" s="22" t="n">
        <f aca="false">V53+W52-W51</f>
        <v>-19304.8993288591</v>
      </c>
      <c r="X53" s="22" t="n">
        <f aca="false">W53+X52-X51</f>
        <v>-19464.8993288591</v>
      </c>
      <c r="Y53" s="22" t="n">
        <f aca="false">X53+Y52-Y51</f>
        <v>-19624.8993288591</v>
      </c>
    </row>
    <row r="54" customFormat="false" ht="15" hidden="false" customHeight="false" outlineLevel="0" collapsed="false">
      <c r="A54" s="38" t="s">
        <v>859</v>
      </c>
      <c r="B54" s="22" t="n">
        <f aca="false">IF(1=1,B50,IF(1&lt;=5,B50*$C$42,IF(1=6,$C$43,IF(1-6&lt;=$C$44,B50,IF(AND(1&gt;12,$C$46=1),01_Inputs!$B$68*1000/12,$C$45)))))*$C$47</f>
        <v>2095.10067114094</v>
      </c>
      <c r="C54" s="22" t="n">
        <f aca="false">IF(2=1,C50,IF(2&lt;=5,C50*$C$42,IF(2=6,$C$43,IF(2-6&lt;=$C$44,C50,IF(AND(2&gt;12,$C$46=1),01_Inputs!$B$68*1000/12,$C$45)))))*$C$47</f>
        <v>1892.34899328859</v>
      </c>
      <c r="D54" s="22" t="n">
        <f aca="false">IF(3=1,D50,IF(3&lt;=5,D50*$C$42,IF(3=6,$C$43,IF(3-6&lt;=$C$44,D50,IF(AND(3&gt;12,$C$46=1),01_Inputs!$B$68*1000/12,$C$45)))))*$C$47</f>
        <v>2095.10067114094</v>
      </c>
      <c r="E54" s="22" t="n">
        <f aca="false">IF(4=1,E50,IF(4&lt;=5,E50*$C$42,IF(4=6,$C$43,IF(4-6&lt;=$C$44,E50,IF(AND(4&gt;12,$C$46=1),01_Inputs!$B$68*1000/12,$C$45)))))*$C$47</f>
        <v>2027.51677852349</v>
      </c>
      <c r="F54" s="22" t="n">
        <f aca="false">IF(5=1,F50,IF(5&lt;=5,F50*$C$42,IF(5=6,$C$43,IF(5-6&lt;=$C$44,F50,IF(AND(5&gt;12,$C$46=1),01_Inputs!$B$68*1000/12,$C$45)))))*$C$47</f>
        <v>2095.10067114094</v>
      </c>
      <c r="G54" s="22" t="n">
        <f aca="false">IF(6=1,G50,IF(6&lt;=5,G50*$C$42,IF(6=6,$C$43,IF(6-6&lt;=$C$44,G50,IF(AND(6&gt;12,$C$46=1),01_Inputs!$B$68*1000/12,$C$45)))))*$C$47</f>
        <v>0</v>
      </c>
      <c r="H54" s="22" t="n">
        <f aca="false">IF(7=1,H50,IF(7&lt;=5,H50*$C$42,IF(7=6,$C$43,IF(7-6&lt;=$C$44,H50,IF(AND(7&gt;12,$C$46=1),01_Inputs!$B$68*1000/12,$C$45)))))*$C$47</f>
        <v>3933.33333333333</v>
      </c>
      <c r="I54" s="22" t="n">
        <f aca="false">IF(8=1,I50,IF(8&lt;=5,I50*$C$42,IF(8=6,$C$43,IF(8-6&lt;=$C$44,I50,IF(AND(8&gt;12,$C$46=1),01_Inputs!$B$68*1000/12,$C$45)))))*$C$47</f>
        <v>3933.33333333333</v>
      </c>
      <c r="J54" s="22" t="n">
        <f aca="false">IF(9=1,J50,IF(9&lt;=5,J50*$C$42,IF(9=6,$C$43,IF(9-6&lt;=$C$44,J50,IF(AND(9&gt;12,$C$46=1),01_Inputs!$B$68*1000/12,$C$45)))))*$C$47</f>
        <v>3933.33333333333</v>
      </c>
      <c r="K54" s="22" t="n">
        <f aca="false">IF(10=1,K50,IF(10&lt;=5,K50*$C$42,IF(10=6,$C$43,IF(10-6&lt;=$C$44,K50,IF(AND(10&gt;12,$C$46=1),01_Inputs!$B$68*1000/12,$C$45)))))*$C$47</f>
        <v>3933.33333333333</v>
      </c>
      <c r="L54" s="22" t="n">
        <f aca="false">IF(11=1,L50,IF(11&lt;=5,L50*$C$42,IF(11=6,$C$43,IF(11-6&lt;=$C$44,L50,IF(AND(11&gt;12,$C$46=1),01_Inputs!$B$68*1000/12,$C$45)))))*$C$47</f>
        <v>3933.33333333333</v>
      </c>
      <c r="M54" s="22" t="n">
        <f aca="false">IF(12=1,M50,IF(12&lt;=5,M50*$C$42,IF(12=6,$C$43,IF(12-6&lt;=$C$44,M50,IF(AND(12&gt;12,$C$46=1),01_Inputs!$B$68*1000/12,$C$45)))))*$C$47</f>
        <v>3933.33333333333</v>
      </c>
      <c r="N54" s="22" t="n">
        <f aca="false">IF(13=1,N50,IF(13&lt;=5,N50*$C$42,IF(13=6,$C$43,IF(13-6&lt;=$C$44,N50,IF(AND(13&gt;12,$C$46=1),01_Inputs!$B$68*1000/12,$C$45)))))*$C$47</f>
        <v>3933.33333333333</v>
      </c>
      <c r="O54" s="22" t="n">
        <f aca="false">IF(14=1,O50,IF(14&lt;=5,O50*$C$42,IF(14=6,$C$43,IF(14-6&lt;=$C$44,O50,IF(AND(14&gt;12,$C$46=1),01_Inputs!$B$68*1000/12,$C$45)))))*$C$47</f>
        <v>3933.33333333333</v>
      </c>
      <c r="P54" s="22" t="n">
        <f aca="false">IF(15=1,P50,IF(15&lt;=5,P50*$C$42,IF(15=6,$C$43,IF(15-6&lt;=$C$44,P50,IF(AND(15&gt;12,$C$46=1),01_Inputs!$B$68*1000/12,$C$45)))))*$C$47</f>
        <v>3933.33333333333</v>
      </c>
      <c r="Q54" s="22" t="n">
        <f aca="false">IF(16=1,Q50,IF(16&lt;=5,Q50*$C$42,IF(16=6,$C$43,IF(16-6&lt;=$C$44,Q50,IF(AND(16&gt;12,$C$46=1),01_Inputs!$B$68*1000/12,$C$45)))))*$C$47</f>
        <v>3933.33333333333</v>
      </c>
      <c r="R54" s="22" t="n">
        <f aca="false">IF(17=1,R50,IF(17&lt;=5,R50*$C$42,IF(17=6,$C$43,IF(17-6&lt;=$C$44,R50,IF(AND(17&gt;12,$C$46=1),01_Inputs!$B$68*1000/12,$C$45)))))*$C$47</f>
        <v>3933.33333333333</v>
      </c>
      <c r="S54" s="22" t="n">
        <f aca="false">IF(18=1,S50,IF(18&lt;=5,S50*$C$42,IF(18=6,$C$43,IF(18-6&lt;=$C$44,S50,IF(AND(18&gt;12,$C$46=1),01_Inputs!$B$68*1000/12,$C$45)))))*$C$47</f>
        <v>3933.33333333333</v>
      </c>
      <c r="T54" s="22" t="n">
        <f aca="false">IF(19=1,T50,IF(19&lt;=5,T50*$C$42,IF(19=6,$C$43,IF(19-6&lt;=$C$44,T50,IF(AND(19&gt;12,$C$46=1),01_Inputs!$B$68*1000/12,$C$45)))))*$C$47</f>
        <v>3933.33333333333</v>
      </c>
      <c r="U54" s="22" t="n">
        <f aca="false">IF(20=1,U50,IF(20&lt;=5,U50*$C$42,IF(20=6,$C$43,IF(20-6&lt;=$C$44,U50,IF(AND(20&gt;12,$C$46=1),01_Inputs!$B$68*1000/12,$C$45)))))*$C$47</f>
        <v>3933.33333333333</v>
      </c>
      <c r="V54" s="22" t="n">
        <f aca="false">IF(21=1,V50,IF(21&lt;=5,V50*$C$42,IF(21=6,$C$43,IF(21-6&lt;=$C$44,V50,IF(AND(21&gt;12,$C$46=1),01_Inputs!$B$68*1000/12,$C$45)))))*$C$47</f>
        <v>3933.33333333333</v>
      </c>
      <c r="W54" s="22" t="n">
        <f aca="false">IF(22=1,W50,IF(22&lt;=5,W50*$C$42,IF(22=6,$C$43,IF(22-6&lt;=$C$44,W50,IF(AND(22&gt;12,$C$46=1),01_Inputs!$B$68*1000/12,$C$45)))))*$C$47</f>
        <v>3933.33333333333</v>
      </c>
      <c r="X54" s="22" t="n">
        <f aca="false">IF(23=1,X50,IF(23&lt;=5,X50*$C$42,IF(23=6,$C$43,IF(23-6&lt;=$C$44,X50,IF(AND(23&gt;12,$C$46=1),01_Inputs!$B$68*1000/12,$C$45)))))*$C$47</f>
        <v>3933.33333333333</v>
      </c>
      <c r="Y54" s="22" t="n">
        <f aca="false">IF(24=1,Y50,IF(24&lt;=5,Y50*$C$42,IF(24=6,$C$43,IF(24-6&lt;=$C$44,Y50,IF(AND(24&gt;12,$C$46=1),01_Inputs!$B$68*1000/12,$C$45)))))*$C$47</f>
        <v>3933.33333333333</v>
      </c>
      <c r="Z54" s="45" t="n">
        <f aca="false">SUM(B54:Y54)</f>
        <v>81005.1677852349</v>
      </c>
    </row>
    <row r="55" customFormat="false" ht="15" hidden="false" customHeight="false" outlineLevel="0" collapsed="false">
      <c r="A55" s="9" t="s">
        <v>860</v>
      </c>
      <c r="B55" s="22" t="n">
        <f aca="false">B54-B51</f>
        <v>-658.232662192394</v>
      </c>
      <c r="C55" s="22" t="n">
        <f aca="false">B55+C54-C51</f>
        <v>-1519.21700223714</v>
      </c>
      <c r="D55" s="22" t="n">
        <f aca="false">C55+D54-D51</f>
        <v>-2757.44966442953</v>
      </c>
      <c r="E55" s="22" t="n">
        <f aca="false">D55+E54-E51</f>
        <v>-4063.26621923937</v>
      </c>
      <c r="F55" s="22" t="n">
        <f aca="false">E55+F54-F51</f>
        <v>-5301.49888143177</v>
      </c>
      <c r="G55" s="22" t="n">
        <f aca="false">F55+G54-G51</f>
        <v>-8634.8322147651</v>
      </c>
      <c r="H55" s="22" t="n">
        <f aca="false">G55+H54-H51</f>
        <v>-8794.8322147651</v>
      </c>
      <c r="I55" s="22" t="n">
        <f aca="false">H55+I54-I51</f>
        <v>-8954.8322147651</v>
      </c>
      <c r="J55" s="22" t="n">
        <f aca="false">I55+J54-J51</f>
        <v>-9114.8322147651</v>
      </c>
      <c r="K55" s="22" t="n">
        <f aca="false">J55+K54-K51</f>
        <v>-9274.8322147651</v>
      </c>
      <c r="L55" s="22" t="n">
        <f aca="false">K55+L54-L51</f>
        <v>-9434.8322147651</v>
      </c>
      <c r="M55" s="22" t="n">
        <f aca="false">L55+M54-M51</f>
        <v>-9594.8322147651</v>
      </c>
      <c r="N55" s="22" t="n">
        <f aca="false">M55+N54-N51</f>
        <v>-9754.8322147651</v>
      </c>
      <c r="O55" s="22" t="n">
        <f aca="false">N55+O54-O51</f>
        <v>-9914.8322147651</v>
      </c>
      <c r="P55" s="22" t="n">
        <f aca="false">O55+P54-P51</f>
        <v>-10074.8322147651</v>
      </c>
      <c r="Q55" s="22" t="n">
        <f aca="false">P55+Q54-Q51</f>
        <v>-10234.8322147651</v>
      </c>
      <c r="R55" s="22" t="n">
        <f aca="false">Q55+R54-R51</f>
        <v>-10394.8322147651</v>
      </c>
      <c r="S55" s="22" t="n">
        <f aca="false">R55+S54-S51</f>
        <v>-10554.8322147651</v>
      </c>
      <c r="T55" s="22" t="n">
        <f aca="false">S55+T54-T51</f>
        <v>-10714.8322147651</v>
      </c>
      <c r="U55" s="22" t="n">
        <f aca="false">T55+U54-U51</f>
        <v>-10874.8322147651</v>
      </c>
      <c r="V55" s="22" t="n">
        <f aca="false">U55+V54-V51</f>
        <v>-11034.8322147651</v>
      </c>
      <c r="W55" s="22" t="n">
        <f aca="false">V55+W54-W51</f>
        <v>-11194.8322147651</v>
      </c>
      <c r="X55" s="22" t="n">
        <f aca="false">W55+X54-X51</f>
        <v>-11354.8322147651</v>
      </c>
      <c r="Y55" s="22" t="n">
        <f aca="false">X55+Y54-Y51</f>
        <v>-11514.8322147651</v>
      </c>
    </row>
    <row r="56" customFormat="false" ht="15" hidden="false" customHeight="false" outlineLevel="0" collapsed="false">
      <c r="A56" s="38" t="s">
        <v>861</v>
      </c>
      <c r="B56" s="22" t="n">
        <f aca="false">IF(1=1,B50,IF(1&lt;=5,B50*$D$42,IF(1=6,$D$43,IF(1-6&lt;=$D$44,B50,IF(AND(1&gt;12,$D$46=1),01_Inputs!$B$68*1000/12,$D$45)))))*$D$47</f>
        <v>2095.10067114094</v>
      </c>
      <c r="C56" s="22" t="n">
        <f aca="false">IF(2=1,C50,IF(2&lt;=5,C50*$D$42,IF(2=6,$D$43,IF(2-6&lt;=$D$44,C50,IF(AND(2&gt;12,$D$46=1),01_Inputs!$B$68*1000/12,$D$45)))))*$D$47</f>
        <v>946.174496644295</v>
      </c>
      <c r="D56" s="22" t="n">
        <f aca="false">IF(3=1,D50,IF(3&lt;=5,D50*$D$42,IF(3=6,$D$43,IF(3-6&lt;=$D$44,D50,IF(AND(3&gt;12,$D$46=1),01_Inputs!$B$68*1000/12,$D$45)))))*$D$47</f>
        <v>1047.55033557047</v>
      </c>
      <c r="E56" s="22" t="n">
        <f aca="false">IF(4=1,E50,IF(4&lt;=5,E50*$D$42,IF(4=6,$D$43,IF(4-6&lt;=$D$44,E50,IF(AND(4&gt;12,$D$46=1),01_Inputs!$B$68*1000/12,$D$45)))))*$D$47</f>
        <v>1013.75838926174</v>
      </c>
      <c r="F56" s="22" t="n">
        <f aca="false">IF(5=1,F50,IF(5&lt;=5,F50*$D$42,IF(5=6,$D$43,IF(5-6&lt;=$D$44,F50,IF(AND(5&gt;12,$D$46=1),01_Inputs!$B$68*1000/12,$D$45)))))*$D$47</f>
        <v>1047.55033557047</v>
      </c>
      <c r="G56" s="22" t="n">
        <f aca="false">IF(6=1,G50,IF(6&lt;=5,G50*$D$42,IF(6=6,$D$43,IF(6-6&lt;=$D$44,G50,IF(AND(6&gt;12,$D$46=1),01_Inputs!$B$68*1000/12,$D$45)))))*$D$47</f>
        <v>0</v>
      </c>
      <c r="H56" s="22" t="n">
        <f aca="false">IF(7=1,H50,IF(7&lt;=5,H50*$D$42,IF(7=6,$D$43,IF(7-6&lt;=$D$44,H50,IF(AND(7&gt;12,$D$46=1),01_Inputs!$B$68*1000/12,$D$45)))))*$D$47</f>
        <v>2095.10067114094</v>
      </c>
      <c r="I56" s="22" t="n">
        <f aca="false">IF(8=1,I50,IF(8&lt;=5,I50*$D$42,IF(8=6,$D$43,IF(8-6&lt;=$D$44,I50,IF(AND(8&gt;12,$D$46=1),01_Inputs!$B$68*1000/12,$D$45)))))*$D$47</f>
        <v>2095.10067114094</v>
      </c>
      <c r="J56" s="22" t="n">
        <f aca="false">IF(9=1,J50,IF(9&lt;=5,J50*$D$42,IF(9=6,$D$43,IF(9-6&lt;=$D$44,J50,IF(AND(9&gt;12,$D$46=1),01_Inputs!$B$68*1000/12,$D$45)))))*$D$47</f>
        <v>2027.51677852349</v>
      </c>
      <c r="K56" s="22" t="n">
        <f aca="false">IF(10=1,K50,IF(10&lt;=5,K50*$D$42,IF(10=6,$D$43,IF(10-6&lt;=$D$44,K50,IF(AND(10&gt;12,$D$46=1),01_Inputs!$B$68*1000/12,$D$45)))))*$D$47</f>
        <v>3933.33333333333</v>
      </c>
      <c r="L56" s="22" t="n">
        <f aca="false">IF(11=1,L50,IF(11&lt;=5,L50*$D$42,IF(11=6,$D$43,IF(11-6&lt;=$D$44,L50,IF(AND(11&gt;12,$D$46=1),01_Inputs!$B$68*1000/12,$D$45)))))*$D$47</f>
        <v>3933.33333333333</v>
      </c>
      <c r="M56" s="22" t="n">
        <f aca="false">IF(12=1,M50,IF(12&lt;=5,M50*$D$42,IF(12=6,$D$43,IF(12-6&lt;=$D$44,M50,IF(AND(12&gt;12,$D$46=1),01_Inputs!$B$68*1000/12,$D$45)))))*$D$47</f>
        <v>3933.33333333333</v>
      </c>
      <c r="N56" s="22" t="n">
        <f aca="false">IF(13=1,N50,IF(13&lt;=5,N50*$D$42,IF(13=6,$D$43,IF(13-6&lt;=$D$44,N50,IF(AND(13&gt;12,$D$46=1),01_Inputs!$B$68*1000/12,$D$45)))))*$D$47</f>
        <v>3933.33333333333</v>
      </c>
      <c r="O56" s="22" t="n">
        <f aca="false">IF(14=1,O50,IF(14&lt;=5,O50*$D$42,IF(14=6,$D$43,IF(14-6&lt;=$D$44,O50,IF(AND(14&gt;12,$D$46=1),01_Inputs!$B$68*1000/12,$D$45)))))*$D$47</f>
        <v>3933.33333333333</v>
      </c>
      <c r="P56" s="22" t="n">
        <f aca="false">IF(15=1,P50,IF(15&lt;=5,P50*$D$42,IF(15=6,$D$43,IF(15-6&lt;=$D$44,P50,IF(AND(15&gt;12,$D$46=1),01_Inputs!$B$68*1000/12,$D$45)))))*$D$47</f>
        <v>3933.33333333333</v>
      </c>
      <c r="Q56" s="22" t="n">
        <f aca="false">IF(16=1,Q50,IF(16&lt;=5,Q50*$D$42,IF(16=6,$D$43,IF(16-6&lt;=$D$44,Q50,IF(AND(16&gt;12,$D$46=1),01_Inputs!$B$68*1000/12,$D$45)))))*$D$47</f>
        <v>3933.33333333333</v>
      </c>
      <c r="R56" s="22" t="n">
        <f aca="false">IF(17=1,R50,IF(17&lt;=5,R50*$D$42,IF(17=6,$D$43,IF(17-6&lt;=$D$44,R50,IF(AND(17&gt;12,$D$46=1),01_Inputs!$B$68*1000/12,$D$45)))))*$D$47</f>
        <v>3933.33333333333</v>
      </c>
      <c r="S56" s="22" t="n">
        <f aca="false">IF(18=1,S50,IF(18&lt;=5,S50*$D$42,IF(18=6,$D$43,IF(18-6&lt;=$D$44,S50,IF(AND(18&gt;12,$D$46=1),01_Inputs!$B$68*1000/12,$D$45)))))*$D$47</f>
        <v>3933.33333333333</v>
      </c>
      <c r="T56" s="22" t="n">
        <f aca="false">IF(19=1,T50,IF(19&lt;=5,T50*$D$42,IF(19=6,$D$43,IF(19-6&lt;=$D$44,T50,IF(AND(19&gt;12,$D$46=1),01_Inputs!$B$68*1000/12,$D$45)))))*$D$47</f>
        <v>3933.33333333333</v>
      </c>
      <c r="U56" s="22" t="n">
        <f aca="false">IF(20=1,U50,IF(20&lt;=5,U50*$D$42,IF(20=6,$D$43,IF(20-6&lt;=$D$44,U50,IF(AND(20&gt;12,$D$46=1),01_Inputs!$B$68*1000/12,$D$45)))))*$D$47</f>
        <v>3933.33333333333</v>
      </c>
      <c r="V56" s="22" t="n">
        <f aca="false">IF(21=1,V50,IF(21&lt;=5,V50*$D$42,IF(21=6,$D$43,IF(21-6&lt;=$D$44,V50,IF(AND(21&gt;12,$D$46=1),01_Inputs!$B$68*1000/12,$D$45)))))*$D$47</f>
        <v>3933.33333333333</v>
      </c>
      <c r="W56" s="22" t="n">
        <f aca="false">IF(22=1,W50,IF(22&lt;=5,W50*$D$42,IF(22=6,$D$43,IF(22-6&lt;=$D$44,W50,IF(AND(22&gt;12,$D$46=1),01_Inputs!$B$68*1000/12,$D$45)))))*$D$47</f>
        <v>3933.33333333333</v>
      </c>
      <c r="X56" s="22" t="n">
        <f aca="false">IF(23=1,X50,IF(23&lt;=5,X50*$D$42,IF(23=6,$D$43,IF(23-6&lt;=$D$44,X50,IF(AND(23&gt;12,$D$46=1),01_Inputs!$B$68*1000/12,$D$45)))))*$D$47</f>
        <v>3933.33333333333</v>
      </c>
      <c r="Y56" s="22" t="n">
        <f aca="false">IF(24=1,Y50,IF(24&lt;=5,Y50*$D$42,IF(24=6,$D$43,IF(24-6&lt;=$D$44,Y50,IF(AND(24&gt;12,$D$46=1),01_Inputs!$B$68*1000/12,$D$45)))))*$D$47</f>
        <v>3933.33333333333</v>
      </c>
      <c r="Z56" s="45" t="n">
        <f aca="false">SUM(B56:Y56)</f>
        <v>71367.8523489933</v>
      </c>
    </row>
    <row r="57" customFormat="false" ht="15" hidden="false" customHeight="false" outlineLevel="0" collapsed="false">
      <c r="A57" s="9" t="s">
        <v>862</v>
      </c>
      <c r="B57" s="22" t="n">
        <f aca="false">B56-B51</f>
        <v>-658.232662192394</v>
      </c>
      <c r="C57" s="22" t="n">
        <f aca="false">B57+C56-C51</f>
        <v>-2465.39149888143</v>
      </c>
      <c r="D57" s="22" t="n">
        <f aca="false">C57+D56-D51</f>
        <v>-4751.1744966443</v>
      </c>
      <c r="E57" s="22" t="n">
        <f aca="false">D57+E56-E51</f>
        <v>-7070.74944071588</v>
      </c>
      <c r="F57" s="22" t="n">
        <f aca="false">E57+F56-F51</f>
        <v>-9356.53243847875</v>
      </c>
      <c r="G57" s="22" t="n">
        <f aca="false">F57+G56-G51</f>
        <v>-12689.8657718121</v>
      </c>
      <c r="H57" s="22" t="n">
        <f aca="false">G57+H56-H51</f>
        <v>-14688.0984340045</v>
      </c>
      <c r="I57" s="22" t="n">
        <f aca="false">H57+I56-I51</f>
        <v>-16686.3310961969</v>
      </c>
      <c r="J57" s="22" t="n">
        <f aca="false">I57+J56-J51</f>
        <v>-18752.1476510067</v>
      </c>
      <c r="K57" s="22" t="n">
        <f aca="false">J57+K56-K51</f>
        <v>-18912.1476510067</v>
      </c>
      <c r="L57" s="22" t="n">
        <f aca="false">K57+L56-L51</f>
        <v>-19072.1476510067</v>
      </c>
      <c r="M57" s="22" t="n">
        <f aca="false">L57+M56-M51</f>
        <v>-19232.1476510067</v>
      </c>
      <c r="N57" s="22" t="n">
        <f aca="false">M57+N56-N51</f>
        <v>-19392.1476510067</v>
      </c>
      <c r="O57" s="22" t="n">
        <f aca="false">N57+O56-O51</f>
        <v>-19552.1476510067</v>
      </c>
      <c r="P57" s="22" t="n">
        <f aca="false">O57+P56-P51</f>
        <v>-19712.1476510067</v>
      </c>
      <c r="Q57" s="22" t="n">
        <f aca="false">P57+Q56-Q51</f>
        <v>-19872.1476510067</v>
      </c>
      <c r="R57" s="22" t="n">
        <f aca="false">Q57+R56-R51</f>
        <v>-20032.1476510067</v>
      </c>
      <c r="S57" s="22" t="n">
        <f aca="false">R57+S56-S51</f>
        <v>-20192.1476510067</v>
      </c>
      <c r="T57" s="22" t="n">
        <f aca="false">S57+T56-T51</f>
        <v>-20352.1476510067</v>
      </c>
      <c r="U57" s="22" t="n">
        <f aca="false">T57+U56-U51</f>
        <v>-20512.1476510067</v>
      </c>
      <c r="V57" s="22" t="n">
        <f aca="false">U57+V56-V51</f>
        <v>-20672.1476510067</v>
      </c>
      <c r="W57" s="22" t="n">
        <f aca="false">V57+W56-W51</f>
        <v>-20832.1476510067</v>
      </c>
      <c r="X57" s="22" t="n">
        <f aca="false">W57+X56-X51</f>
        <v>-20992.1476510067</v>
      </c>
      <c r="Y57" s="22" t="n">
        <f aca="false">X57+Y56-Y51</f>
        <v>-21152.1476510067</v>
      </c>
    </row>
    <row r="59" customFormat="false" ht="30" hidden="false" customHeight="true" outlineLevel="0" collapsed="false">
      <c r="A59" s="11" t="s">
        <v>863</v>
      </c>
      <c r="B59" s="33" t="s">
        <v>864</v>
      </c>
      <c r="C59" s="33" t="s">
        <v>865</v>
      </c>
      <c r="D59" s="33" t="s">
        <v>866</v>
      </c>
      <c r="E59" s="11"/>
      <c r="F59" s="11"/>
      <c r="G59" s="11"/>
      <c r="H59" s="11" t="s">
        <v>867</v>
      </c>
    </row>
    <row r="60" customFormat="false" ht="15" hidden="false" customHeight="false" outlineLevel="0" collapsed="false">
      <c r="A60" s="38" t="s">
        <v>868</v>
      </c>
      <c r="B60" s="45" t="n">
        <f aca="false">SUM(B52:M52)</f>
        <v>25695.1006711409</v>
      </c>
      <c r="C60" s="45" t="n">
        <f aca="false">SUM(B54:M54)</f>
        <v>33805.1677852349</v>
      </c>
      <c r="D60" s="45" t="n">
        <f aca="false">SUM(B56:M56)</f>
        <v>24167.8523489933</v>
      </c>
      <c r="H60" s="51" t="s">
        <v>869</v>
      </c>
    </row>
    <row r="61" customFormat="false" ht="15" hidden="false" customHeight="false" outlineLevel="0" collapsed="false">
      <c r="A61" s="38" t="s">
        <v>870</v>
      </c>
      <c r="B61" s="45" t="n">
        <f aca="false">SUM(B52:M52)-SUM(B51:M51)</f>
        <v>-17704.8993288591</v>
      </c>
      <c r="C61" s="45" t="n">
        <f aca="false">SUM(B54:M54)-SUM(B51:M51)</f>
        <v>-9594.8322147651</v>
      </c>
      <c r="D61" s="45" t="n">
        <f aca="false">SUM(B56:M56)-SUM(B51:M51)</f>
        <v>-19232.1476510067</v>
      </c>
      <c r="H61" s="51"/>
    </row>
    <row r="62" customFormat="false" ht="26.85" hidden="false" customHeight="false" outlineLevel="0" collapsed="false">
      <c r="A62" s="38" t="s">
        <v>871</v>
      </c>
      <c r="B62" s="45" t="n">
        <f aca="false">SUM(N52:Y52)-SUM(N51:Y51)</f>
        <v>-1919.99999999999</v>
      </c>
      <c r="C62" s="45" t="n">
        <f aca="false">SUM(N54:Y54)-SUM(N51:Y51)</f>
        <v>-1919.99999999999</v>
      </c>
      <c r="D62" s="45" t="n">
        <f aca="false">SUM(N56:Y56)-SUM(N51:Y51)</f>
        <v>-1919.99999999999</v>
      </c>
      <c r="H62" s="54" t="s">
        <v>872</v>
      </c>
    </row>
    <row r="63" customFormat="false" ht="39.55" hidden="false" customHeight="false" outlineLevel="0" collapsed="false">
      <c r="A63" s="52" t="s">
        <v>873</v>
      </c>
      <c r="B63" s="45" t="n">
        <f aca="false">MAX(0,-MIN(B53:Y53))</f>
        <v>19624.8993288591</v>
      </c>
      <c r="C63" s="45" t="n">
        <f aca="false">MAX(0,-MIN(B55:Y55))</f>
        <v>11514.8322147651</v>
      </c>
      <c r="D63" s="45" t="n">
        <f aca="false">MAX(0,-MIN(B57:Y57))</f>
        <v>21152.1476510067</v>
      </c>
      <c r="H63" s="54" t="s">
        <v>874</v>
      </c>
    </row>
    <row r="64" customFormat="false" ht="15" hidden="false" customHeight="false" outlineLevel="0" collapsed="false">
      <c r="A64" s="52" t="s">
        <v>875</v>
      </c>
      <c r="B64" s="10" t="str">
        <f aca="false">IF(MIN(B53:Y53)&lt;0,INDEX($B$49:$Y$49,MATCH(MIN(B53:Y53),B53:Y53,0)),"-")</f>
        <v>28.12</v>
      </c>
      <c r="C64" s="10" t="str">
        <f aca="false">IF(MIN(B55:Y55)&lt;0,INDEX($B$49:$Y$49,MATCH(MIN(B55:Y55),B55:Y55,0)),"-")</f>
        <v>28.12</v>
      </c>
      <c r="D64" s="10" t="str">
        <f aca="false">IF(MIN(B57:Y57)&lt;0,INDEX($B$49:$Y$49,MATCH(MIN(B57:Y57),B57:Y57,0)),"-")</f>
        <v>28.12</v>
      </c>
      <c r="H64" s="51" t="s">
        <v>876</v>
      </c>
    </row>
    <row r="66" customFormat="false" ht="15" hidden="false" customHeight="false" outlineLevel="0" collapsed="false">
      <c r="A66" s="72" t="s">
        <v>877</v>
      </c>
    </row>
    <row r="67" customFormat="false" ht="15" hidden="false" customHeight="false" outlineLevel="0" collapsed="false">
      <c r="A67" s="9" t="s">
        <v>878</v>
      </c>
    </row>
    <row r="68" customFormat="false" ht="15" hidden="false" customHeight="false" outlineLevel="0" collapsed="false">
      <c r="A68" s="9" t="s">
        <v>879</v>
      </c>
    </row>
    <row r="69" customFormat="false" ht="15" hidden="false" customHeight="false" outlineLevel="0" collapsed="false">
      <c r="A69" s="9" t="s">
        <v>880</v>
      </c>
    </row>
    <row r="70" customFormat="false" ht="15" hidden="false" customHeight="false" outlineLevel="0" collapsed="false">
      <c r="A70" s="9" t="s">
        <v>881</v>
      </c>
    </row>
    <row r="71" customFormat="false" ht="15" hidden="false" customHeight="false" outlineLevel="0" collapsed="false">
      <c r="A71" s="9" t="s">
        <v>882</v>
      </c>
    </row>
    <row r="72" customFormat="false" ht="26.85" hidden="false" customHeight="false" outlineLevel="0" collapsed="false">
      <c r="A72" s="9" t="s">
        <v>883</v>
      </c>
    </row>
  </sheetData>
  <conditionalFormatting sqref="D25:D31">
    <cfRule type="cellIs" priority="2" operator="lessThan" aboveAverage="0" equalAverage="0" bottom="0" percent="0" rank="0" text="" dxfId="11">
      <formula>0</formula>
    </cfRule>
  </conditionalFormatting>
  <conditionalFormatting sqref="B53:Y57">
    <cfRule type="cellIs" priority="3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false"/>
  </sheetPr>
  <dimension ref="A1:N18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15" min="5" style="0" width="11"/>
  </cols>
  <sheetData>
    <row r="1" customFormat="false" ht="21.6" hidden="false" customHeight="false" outlineLevel="0" collapsed="false">
      <c r="A1" s="1" t="s">
        <v>884</v>
      </c>
    </row>
    <row r="2" customFormat="false" ht="15" hidden="false" customHeight="false" outlineLevel="0" collapsed="false">
      <c r="A2" s="40" t="s">
        <v>885</v>
      </c>
    </row>
    <row r="4" customFormat="false" ht="15" hidden="false" customHeight="false" outlineLevel="0" collapsed="false">
      <c r="A4" s="72" t="s">
        <v>886</v>
      </c>
    </row>
    <row r="5" customFormat="false" ht="30" hidden="false" customHeight="true" outlineLevel="0" collapsed="false">
      <c r="A5" s="11" t="s">
        <v>10</v>
      </c>
      <c r="B5" s="11" t="s">
        <v>11</v>
      </c>
      <c r="C5" s="11" t="s">
        <v>12</v>
      </c>
      <c r="D5" s="11" t="s">
        <v>887</v>
      </c>
    </row>
    <row r="6" customFormat="false" ht="15" hidden="false" customHeight="false" outlineLevel="0" collapsed="false">
      <c r="A6" s="9" t="s">
        <v>888</v>
      </c>
      <c r="B6" s="50" t="n">
        <f aca="false">01_Inputs!$B$20</f>
        <v>57</v>
      </c>
      <c r="C6" s="9" t="s">
        <v>42</v>
      </c>
      <c r="D6" s="9" t="s">
        <v>889</v>
      </c>
    </row>
    <row r="7" customFormat="false" ht="15" hidden="false" customHeight="false" outlineLevel="0" collapsed="false">
      <c r="A7" s="9" t="s">
        <v>890</v>
      </c>
      <c r="B7" s="50" t="n">
        <f aca="false">01_Inputs!$B$16</f>
        <v>45</v>
      </c>
      <c r="C7" s="9" t="s">
        <v>42</v>
      </c>
      <c r="D7" s="9" t="s">
        <v>889</v>
      </c>
    </row>
    <row r="8" customFormat="false" ht="15" hidden="false" customHeight="false" outlineLevel="0" collapsed="false">
      <c r="A8" s="9" t="s">
        <v>891</v>
      </c>
      <c r="B8" s="50" t="n">
        <f aca="false">03_Capacity_Model!$B$16</f>
        <v>77</v>
      </c>
      <c r="C8" s="9" t="s">
        <v>42</v>
      </c>
      <c r="D8" s="9" t="s">
        <v>892</v>
      </c>
    </row>
    <row r="9" customFormat="false" ht="15" hidden="false" customHeight="false" outlineLevel="0" collapsed="false">
      <c r="A9" s="9" t="s">
        <v>893</v>
      </c>
      <c r="B9" s="50" t="n">
        <f aca="false">03_Capacity_Model!$C$16</f>
        <v>67</v>
      </c>
      <c r="C9" s="9" t="s">
        <v>42</v>
      </c>
      <c r="D9" s="9" t="s">
        <v>892</v>
      </c>
    </row>
    <row r="10" customFormat="false" ht="15" hidden="false" customHeight="false" outlineLevel="0" collapsed="false">
      <c r="A10" s="9" t="s">
        <v>894</v>
      </c>
      <c r="B10" s="62" t="n">
        <f aca="false">03_Capacity_Model!$B$17</f>
        <v>2.25</v>
      </c>
      <c r="C10" s="13" t="s">
        <v>492</v>
      </c>
      <c r="D10" s="9" t="s">
        <v>892</v>
      </c>
    </row>
    <row r="11" customFormat="false" ht="15" hidden="false" customHeight="false" outlineLevel="0" collapsed="false">
      <c r="A11" s="9" t="s">
        <v>895</v>
      </c>
      <c r="B11" s="50" t="n">
        <f aca="false">03_Capacity_Model!$B$21</f>
        <v>47</v>
      </c>
      <c r="C11" s="9" t="s">
        <v>42</v>
      </c>
      <c r="D11" s="9" t="s">
        <v>892</v>
      </c>
    </row>
    <row r="12" customFormat="false" ht="15" hidden="false" customHeight="false" outlineLevel="0" collapsed="false">
      <c r="A12" s="9" t="s">
        <v>896</v>
      </c>
      <c r="B12" s="62" t="n">
        <f aca="false">03_Capacity_Model!$B$27</f>
        <v>16</v>
      </c>
      <c r="C12" s="9" t="s">
        <v>222</v>
      </c>
      <c r="D12" s="9" t="s">
        <v>892</v>
      </c>
    </row>
    <row r="13" customFormat="false" ht="15" hidden="false" customHeight="false" outlineLevel="0" collapsed="false">
      <c r="A13" s="9" t="s">
        <v>897</v>
      </c>
      <c r="B13" s="60" t="n">
        <f aca="false">03_Capacity_Model!$B$30</f>
        <v>3040</v>
      </c>
      <c r="C13" s="9" t="s">
        <v>151</v>
      </c>
      <c r="D13" s="9" t="s">
        <v>892</v>
      </c>
    </row>
    <row r="14" customFormat="false" ht="15" hidden="false" customHeight="false" outlineLevel="0" collapsed="false">
      <c r="A14" s="9" t="s">
        <v>898</v>
      </c>
      <c r="B14" s="50" t="n">
        <f aca="false">03_Capacity_Model!$B$37</f>
        <v>495</v>
      </c>
      <c r="C14" s="9" t="s">
        <v>42</v>
      </c>
      <c r="D14" s="9" t="s">
        <v>892</v>
      </c>
    </row>
    <row r="15" customFormat="false" ht="15" hidden="false" customHeight="false" outlineLevel="0" collapsed="false">
      <c r="A15" s="9" t="s">
        <v>899</v>
      </c>
      <c r="B15" s="50" t="n">
        <f aca="false">03_Capacity_Model!$B$38</f>
        <v>225</v>
      </c>
      <c r="C15" s="9" t="s">
        <v>42</v>
      </c>
      <c r="D15" s="9" t="s">
        <v>892</v>
      </c>
    </row>
    <row r="16" customFormat="false" ht="15" hidden="false" customHeight="false" outlineLevel="0" collapsed="false">
      <c r="A16" s="9" t="s">
        <v>900</v>
      </c>
      <c r="B16" s="60" t="n">
        <f aca="false">03_Capacity_Model!$B$41</f>
        <v>2090</v>
      </c>
      <c r="C16" s="9" t="s">
        <v>151</v>
      </c>
      <c r="D16" s="9" t="s">
        <v>892</v>
      </c>
    </row>
    <row r="17" customFormat="false" ht="15" hidden="false" customHeight="false" outlineLevel="0" collapsed="false">
      <c r="A17" s="9" t="s">
        <v>901</v>
      </c>
      <c r="B17" s="60" t="n">
        <f aca="false">03_Capacity_Model!$B$42</f>
        <v>25080</v>
      </c>
      <c r="C17" s="9" t="s">
        <v>151</v>
      </c>
      <c r="D17" s="9" t="s">
        <v>892</v>
      </c>
    </row>
    <row r="18" customFormat="false" ht="15" hidden="false" customHeight="false" outlineLevel="0" collapsed="false">
      <c r="A18" s="9" t="s">
        <v>902</v>
      </c>
      <c r="B18" s="62" t="n">
        <f aca="false">03_Capacity_Model!$B$40</f>
        <v>65.4545454545455</v>
      </c>
      <c r="C18" s="9" t="s">
        <v>42</v>
      </c>
      <c r="D18" s="9" t="s">
        <v>892</v>
      </c>
    </row>
    <row r="19" customFormat="false" ht="15" hidden="false" customHeight="false" outlineLevel="0" collapsed="false">
      <c r="A19" s="9" t="s">
        <v>903</v>
      </c>
      <c r="B19" s="62" t="n">
        <f aca="false">03_Capacity_Model!$B$51</f>
        <v>67.4716981132076</v>
      </c>
      <c r="C19" s="9" t="s">
        <v>42</v>
      </c>
      <c r="D19" s="9" t="s">
        <v>892</v>
      </c>
    </row>
    <row r="20" customFormat="false" ht="15" hidden="false" customHeight="false" outlineLevel="0" collapsed="false">
      <c r="A20" s="9" t="s">
        <v>904</v>
      </c>
      <c r="B20" s="62" t="n">
        <f aca="false">03_Capacity_Model!$B$52</f>
        <v>67.0188679245283</v>
      </c>
      <c r="C20" s="9" t="s">
        <v>42</v>
      </c>
      <c r="D20" s="9" t="s">
        <v>892</v>
      </c>
    </row>
    <row r="21" customFormat="false" ht="15" hidden="false" customHeight="false" outlineLevel="0" collapsed="false">
      <c r="A21" s="9" t="s">
        <v>905</v>
      </c>
      <c r="B21" s="62" t="n">
        <f aca="false">03_Capacity_Model!$B$53</f>
        <v>67.9245283018868</v>
      </c>
      <c r="C21" s="9" t="s">
        <v>42</v>
      </c>
      <c r="D21" s="9" t="s">
        <v>892</v>
      </c>
    </row>
    <row r="22" customFormat="false" ht="15" hidden="false" customHeight="false" outlineLevel="0" collapsed="false">
      <c r="A22" s="9" t="s">
        <v>906</v>
      </c>
      <c r="B22" s="50" t="n">
        <f aca="false">03_Capacity_Model!$B$54</f>
        <v>72</v>
      </c>
      <c r="C22" s="9" t="s">
        <v>42</v>
      </c>
      <c r="D22" s="9" t="s">
        <v>892</v>
      </c>
    </row>
    <row r="23" customFormat="false" ht="15" hidden="false" customHeight="false" outlineLevel="0" collapsed="false">
      <c r="A23" s="9" t="s">
        <v>907</v>
      </c>
      <c r="B23" s="57" t="n">
        <f aca="false">03_Capacity_Model!$B$50</f>
        <v>53</v>
      </c>
      <c r="C23" s="9"/>
      <c r="D23" s="9" t="s">
        <v>892</v>
      </c>
    </row>
    <row r="24" customFormat="false" ht="15" hidden="false" customHeight="false" outlineLevel="0" collapsed="false">
      <c r="A24" s="9" t="s">
        <v>908</v>
      </c>
      <c r="B24" s="57" t="n">
        <f aca="false">03_Capacity_Model!$B$49</f>
        <v>149</v>
      </c>
      <c r="C24" s="13" t="s">
        <v>120</v>
      </c>
      <c r="D24" s="9" t="s">
        <v>892</v>
      </c>
    </row>
    <row r="25" customFormat="false" ht="15" hidden="false" customHeight="false" outlineLevel="0" collapsed="false">
      <c r="A25" s="9" t="s">
        <v>909</v>
      </c>
      <c r="B25" s="57" t="n">
        <f aca="false">03_Capacity_Model!$B$48</f>
        <v>54</v>
      </c>
      <c r="C25" s="9"/>
      <c r="D25" s="9" t="s">
        <v>892</v>
      </c>
    </row>
    <row r="26" customFormat="false" ht="15" hidden="false" customHeight="false" outlineLevel="0" collapsed="false">
      <c r="A26" s="9" t="s">
        <v>910</v>
      </c>
      <c r="B26" s="62" t="n">
        <f aca="false">03_Capacity_Model!$B$57</f>
        <v>20.4716981132076</v>
      </c>
      <c r="C26" s="9" t="s">
        <v>42</v>
      </c>
      <c r="D26" s="9" t="s">
        <v>892</v>
      </c>
    </row>
    <row r="27" customFormat="false" ht="15" hidden="false" customHeight="false" outlineLevel="0" collapsed="false">
      <c r="A27" s="9" t="s">
        <v>911</v>
      </c>
      <c r="B27" s="62" t="n">
        <f aca="false">03_Capacity_Model!$B$56</f>
        <v>22.4716981132076</v>
      </c>
      <c r="C27" s="9" t="s">
        <v>42</v>
      </c>
      <c r="D27" s="9" t="s">
        <v>892</v>
      </c>
    </row>
    <row r="28" customFormat="false" ht="15" hidden="false" customHeight="false" outlineLevel="0" collapsed="false">
      <c r="A28" s="9" t="s">
        <v>912</v>
      </c>
      <c r="B28" s="62" t="n">
        <f aca="false">03_Capacity_Model!$B$58</f>
        <v>10.6711409395973</v>
      </c>
      <c r="C28" s="9" t="s">
        <v>222</v>
      </c>
      <c r="D28" s="9" t="s">
        <v>892</v>
      </c>
    </row>
    <row r="29" customFormat="false" ht="15" hidden="false" customHeight="false" outlineLevel="0" collapsed="false">
      <c r="A29" s="9" t="s">
        <v>913</v>
      </c>
      <c r="B29" s="62" t="n">
        <f aca="false">03_Capacity_Model!$B$59</f>
        <v>11.0268456375839</v>
      </c>
      <c r="C29" s="9" t="s">
        <v>222</v>
      </c>
      <c r="D29" s="9" t="s">
        <v>892</v>
      </c>
    </row>
    <row r="30" customFormat="false" ht="15" hidden="false" customHeight="false" outlineLevel="0" collapsed="false">
      <c r="A30" s="9" t="s">
        <v>914</v>
      </c>
      <c r="B30" s="60" t="n">
        <f aca="false">03_Capacity_Model!$B$60</f>
        <v>2027.51677852349</v>
      </c>
      <c r="C30" s="9" t="s">
        <v>151</v>
      </c>
      <c r="D30" s="9" t="s">
        <v>892</v>
      </c>
    </row>
    <row r="31" customFormat="false" ht="15" hidden="false" customHeight="false" outlineLevel="0" collapsed="false">
      <c r="A31" s="9" t="s">
        <v>915</v>
      </c>
      <c r="B31" s="60" t="n">
        <f aca="false">03_Capacity_Model!$B$62</f>
        <v>24510</v>
      </c>
      <c r="C31" s="9" t="s">
        <v>151</v>
      </c>
      <c r="D31" s="9" t="s">
        <v>892</v>
      </c>
    </row>
    <row r="32" customFormat="false" ht="15" hidden="false" customHeight="false" outlineLevel="0" collapsed="false">
      <c r="A32" s="9" t="s">
        <v>916</v>
      </c>
      <c r="B32" s="59" t="n">
        <f aca="false">03_Capacity_Model!$B$55</f>
        <v>0.735849056603774</v>
      </c>
      <c r="C32" s="9" t="s">
        <v>159</v>
      </c>
      <c r="D32" s="9" t="s">
        <v>892</v>
      </c>
    </row>
    <row r="33" customFormat="false" ht="15" hidden="false" customHeight="false" outlineLevel="0" collapsed="false">
      <c r="A33" s="9" t="s">
        <v>917</v>
      </c>
      <c r="B33" s="57" t="n">
        <f aca="false">03_Capacity_Model!$B$64</f>
        <v>0</v>
      </c>
      <c r="C33" s="9"/>
      <c r="D33" s="9" t="s">
        <v>918</v>
      </c>
    </row>
    <row r="34" customFormat="false" ht="15" hidden="false" customHeight="false" outlineLevel="0" collapsed="false">
      <c r="A34" s="9" t="s">
        <v>919</v>
      </c>
      <c r="B34" s="57" t="n">
        <f aca="false">02_Batch_Raw!$E$73</f>
        <v>0</v>
      </c>
      <c r="C34" s="13" t="s">
        <v>920</v>
      </c>
      <c r="D34" s="9" t="s">
        <v>918</v>
      </c>
    </row>
    <row r="35" customFormat="false" ht="15" hidden="false" customHeight="false" outlineLevel="0" collapsed="false">
      <c r="A35" s="9" t="s">
        <v>921</v>
      </c>
      <c r="B35" s="75" t="n">
        <f aca="false">03_Capacity_Model!$B$68</f>
        <v>137.894736842105</v>
      </c>
      <c r="C35" s="9" t="s">
        <v>222</v>
      </c>
      <c r="D35" s="9" t="s">
        <v>892</v>
      </c>
    </row>
    <row r="36" customFormat="false" ht="15" hidden="false" customHeight="false" outlineLevel="0" collapsed="false">
      <c r="A36" s="9" t="s">
        <v>922</v>
      </c>
      <c r="B36" s="60" t="n">
        <f aca="false">03_Capacity_Model!$B$70</f>
        <v>26220</v>
      </c>
      <c r="C36" s="9" t="s">
        <v>151</v>
      </c>
      <c r="D36" s="9" t="s">
        <v>892</v>
      </c>
    </row>
    <row r="37" customFormat="false" ht="15" hidden="false" customHeight="false" outlineLevel="0" collapsed="false">
      <c r="A37" s="9" t="s">
        <v>923</v>
      </c>
      <c r="B37" s="62" t="n">
        <f aca="false">03_Capacity_Model!$B$72</f>
        <v>63.5267175572519</v>
      </c>
      <c r="C37" s="9" t="s">
        <v>42</v>
      </c>
      <c r="D37" s="9" t="s">
        <v>892</v>
      </c>
    </row>
    <row r="38" customFormat="false" ht="15" hidden="false" customHeight="false" outlineLevel="0" collapsed="false">
      <c r="A38" s="9" t="s">
        <v>924</v>
      </c>
      <c r="B38" s="62" t="n">
        <f aca="false">03_Capacity_Model!$B$71</f>
        <v>11.4912280701754</v>
      </c>
      <c r="C38" s="9" t="s">
        <v>222</v>
      </c>
      <c r="D38" s="9" t="s">
        <v>892</v>
      </c>
    </row>
    <row r="39" customFormat="false" ht="15" hidden="false" customHeight="false" outlineLevel="0" collapsed="false">
      <c r="A39" s="9" t="s">
        <v>925</v>
      </c>
      <c r="B39" s="62" t="n">
        <f aca="false">03_Capacity_Model!$B$84</f>
        <v>5.2</v>
      </c>
      <c r="C39" s="9" t="s">
        <v>926</v>
      </c>
      <c r="D39" s="9" t="s">
        <v>892</v>
      </c>
    </row>
    <row r="40" customFormat="false" ht="15" hidden="false" customHeight="false" outlineLevel="0" collapsed="false">
      <c r="A40" s="9" t="s">
        <v>927</v>
      </c>
      <c r="B40" s="62" t="n">
        <f aca="false">03_Capacity_Model!$B$88</f>
        <v>70.5254237288136</v>
      </c>
      <c r="C40" s="9" t="s">
        <v>42</v>
      </c>
      <c r="D40" s="9" t="s">
        <v>892</v>
      </c>
    </row>
    <row r="41" customFormat="false" ht="15" hidden="false" customHeight="false" outlineLevel="0" collapsed="false">
      <c r="A41" s="9" t="s">
        <v>928</v>
      </c>
      <c r="B41" s="62" t="n">
        <f aca="false">03_Capacity_Model!$B$87</f>
        <v>35.2627118644068</v>
      </c>
      <c r="C41" s="9" t="s">
        <v>42</v>
      </c>
      <c r="D41" s="9" t="s">
        <v>892</v>
      </c>
    </row>
    <row r="42" customFormat="false" ht="15" hidden="false" customHeight="false" outlineLevel="0" collapsed="false">
      <c r="A42" s="9" t="s">
        <v>929</v>
      </c>
      <c r="B42" s="62" t="n">
        <f aca="false">03_Capacity_Model!$B$89</f>
        <v>6.99870617156164</v>
      </c>
      <c r="C42" s="9" t="s">
        <v>42</v>
      </c>
      <c r="D42" s="9" t="s">
        <v>892</v>
      </c>
    </row>
    <row r="43" customFormat="false" ht="15" hidden="false" customHeight="false" outlineLevel="0" collapsed="false">
      <c r="A43" s="9" t="s">
        <v>930</v>
      </c>
      <c r="B43" s="50" t="n">
        <f aca="false">03_Capacity_Model!$B$90</f>
        <v>30</v>
      </c>
      <c r="C43" s="9" t="s">
        <v>42</v>
      </c>
      <c r="D43" s="9" t="s">
        <v>892</v>
      </c>
    </row>
    <row r="44" customFormat="false" ht="15" hidden="false" customHeight="false" outlineLevel="0" collapsed="false">
      <c r="A44" s="9" t="s">
        <v>931</v>
      </c>
      <c r="B44" s="50" t="n">
        <f aca="false">03_Capacity_Model!$B$91</f>
        <v>70.5</v>
      </c>
      <c r="C44" s="9" t="s">
        <v>42</v>
      </c>
      <c r="D44" s="9" t="s">
        <v>892</v>
      </c>
    </row>
    <row r="45" customFormat="false" ht="15" hidden="false" customHeight="false" outlineLevel="0" collapsed="false">
      <c r="A45" s="9" t="s">
        <v>932</v>
      </c>
      <c r="B45" s="50" t="n">
        <f aca="false">03_Capacity_Model!$B$109</f>
        <v>30</v>
      </c>
      <c r="C45" s="9" t="s">
        <v>42</v>
      </c>
      <c r="D45" s="9" t="s">
        <v>892</v>
      </c>
    </row>
    <row r="46" customFormat="false" ht="15" hidden="false" customHeight="false" outlineLevel="0" collapsed="false">
      <c r="A46" s="9" t="s">
        <v>933</v>
      </c>
      <c r="B46" s="50" t="n">
        <f aca="false">03_Capacity_Model!$E$125</f>
        <v>11.4716981132076</v>
      </c>
      <c r="C46" s="9" t="s">
        <v>42</v>
      </c>
      <c r="D46" s="9" t="s">
        <v>892</v>
      </c>
    </row>
    <row r="47" customFormat="false" ht="15" hidden="false" customHeight="false" outlineLevel="0" collapsed="false">
      <c r="A47" s="9" t="s">
        <v>934</v>
      </c>
      <c r="B47" s="50" t="n">
        <f aca="false">03_Capacity_Model!$F$125</f>
        <v>-20.7372881355932</v>
      </c>
      <c r="C47" s="9" t="s">
        <v>42</v>
      </c>
      <c r="D47" s="9" t="s">
        <v>892</v>
      </c>
    </row>
    <row r="48" customFormat="false" ht="15" hidden="false" customHeight="false" outlineLevel="0" collapsed="false">
      <c r="A48" s="9" t="s">
        <v>935</v>
      </c>
      <c r="B48" s="50" t="n">
        <f aca="false">03_Capacity_Model!$F$126</f>
        <v>6.26271186440678</v>
      </c>
      <c r="C48" s="9" t="s">
        <v>42</v>
      </c>
      <c r="D48" s="9" t="s">
        <v>892</v>
      </c>
    </row>
    <row r="49" customFormat="false" ht="15" hidden="false" customHeight="false" outlineLevel="0" collapsed="false">
      <c r="A49" s="9" t="s">
        <v>936</v>
      </c>
      <c r="B49" s="50" t="n">
        <f aca="false">03_Capacity_Model!$D$125</f>
        <v>56</v>
      </c>
      <c r="C49" s="9" t="s">
        <v>42</v>
      </c>
      <c r="D49" s="9" t="s">
        <v>892</v>
      </c>
    </row>
    <row r="50" customFormat="false" ht="15" hidden="false" customHeight="false" outlineLevel="0" collapsed="false">
      <c r="A50" s="9" t="s">
        <v>937</v>
      </c>
      <c r="B50" s="50" t="n">
        <f aca="false">03_Capacity_Model!$B$112</f>
        <v>2972</v>
      </c>
      <c r="C50" s="9" t="s">
        <v>42</v>
      </c>
      <c r="D50" s="9" t="s">
        <v>892</v>
      </c>
    </row>
    <row r="51" customFormat="false" ht="15" hidden="false" customHeight="false" outlineLevel="0" collapsed="false">
      <c r="A51" s="9" t="s">
        <v>938</v>
      </c>
      <c r="B51" s="50" t="n">
        <f aca="false">03_Capacity_Model!$B$113</f>
        <v>3208</v>
      </c>
      <c r="C51" s="9" t="s">
        <v>42</v>
      </c>
      <c r="D51" s="9" t="s">
        <v>892</v>
      </c>
    </row>
    <row r="52" customFormat="false" ht="15" hidden="false" customHeight="false" outlineLevel="0" collapsed="false">
      <c r="A52" s="9" t="s">
        <v>939</v>
      </c>
      <c r="B52" s="50" t="n">
        <f aca="false">03_Capacity_Model!$B$114</f>
        <v>267.333333333333</v>
      </c>
      <c r="C52" s="9" t="s">
        <v>42</v>
      </c>
      <c r="D52" s="9" t="s">
        <v>892</v>
      </c>
    </row>
    <row r="53" customFormat="false" ht="15" hidden="false" customHeight="false" outlineLevel="0" collapsed="false">
      <c r="A53" s="9" t="s">
        <v>940</v>
      </c>
      <c r="B53" s="59" t="n">
        <f aca="false">03_Capacity_Model!$E$119</f>
        <v>1.51893939393939</v>
      </c>
      <c r="C53" s="9" t="s">
        <v>159</v>
      </c>
      <c r="D53" s="9" t="s">
        <v>892</v>
      </c>
    </row>
    <row r="54" customFormat="false" ht="15" hidden="false" customHeight="false" outlineLevel="0" collapsed="false">
      <c r="A54" s="9" t="s">
        <v>941</v>
      </c>
      <c r="B54" s="59" t="n">
        <f aca="false">03_Capacity_Model!$E$120</f>
        <v>0.759469696969697</v>
      </c>
      <c r="C54" s="9" t="s">
        <v>159</v>
      </c>
      <c r="D54" s="9" t="s">
        <v>892</v>
      </c>
    </row>
    <row r="55" customFormat="false" ht="15" hidden="false" customHeight="false" outlineLevel="0" collapsed="false">
      <c r="A55" s="9" t="s">
        <v>942</v>
      </c>
      <c r="B55" s="57" t="n">
        <f aca="false">03_Capacity_Model!$B$115</f>
        <v>96</v>
      </c>
      <c r="C55" s="13" t="s">
        <v>640</v>
      </c>
      <c r="D55" s="9" t="s">
        <v>892</v>
      </c>
    </row>
    <row r="56" customFormat="false" ht="15" hidden="false" customHeight="false" outlineLevel="0" collapsed="false">
      <c r="A56" s="9" t="s">
        <v>943</v>
      </c>
      <c r="B56" s="57" t="n">
        <f aca="false">03_Capacity_Model!$B$116</f>
        <v>120</v>
      </c>
      <c r="C56" s="13" t="s">
        <v>640</v>
      </c>
      <c r="D56" s="9" t="s">
        <v>892</v>
      </c>
    </row>
    <row r="57" customFormat="false" ht="15" hidden="false" customHeight="false" outlineLevel="0" collapsed="false">
      <c r="A57" s="9" t="s">
        <v>944</v>
      </c>
      <c r="B57" s="62" t="n">
        <f aca="false">01_Inputs!$O$138/1000</f>
        <v>19.22</v>
      </c>
      <c r="C57" s="9" t="s">
        <v>926</v>
      </c>
      <c r="D57" s="9" t="s">
        <v>889</v>
      </c>
    </row>
    <row r="58" customFormat="false" ht="15" hidden="false" customHeight="false" outlineLevel="0" collapsed="false">
      <c r="A58" s="9" t="s">
        <v>945</v>
      </c>
      <c r="B58" s="62" t="n">
        <f aca="false">01_Inputs!$O$139/1000</f>
        <v>43.4</v>
      </c>
      <c r="C58" s="9" t="s">
        <v>926</v>
      </c>
      <c r="D58" s="9" t="s">
        <v>889</v>
      </c>
    </row>
    <row r="59" customFormat="false" ht="15" hidden="false" customHeight="false" outlineLevel="0" collapsed="false">
      <c r="A59" s="9" t="s">
        <v>946</v>
      </c>
      <c r="B59" s="62" t="n">
        <f aca="false">01_Inputs!$O$140/1000</f>
        <v>49.12</v>
      </c>
      <c r="C59" s="9" t="s">
        <v>926</v>
      </c>
      <c r="D59" s="9" t="s">
        <v>889</v>
      </c>
    </row>
    <row r="60" customFormat="false" ht="15" hidden="false" customHeight="false" outlineLevel="0" collapsed="false">
      <c r="A60" s="9" t="s">
        <v>947</v>
      </c>
      <c r="B60" s="62" t="n">
        <f aca="false">SUM(01_Inputs!C139:H139)/1000</f>
        <v>18.84</v>
      </c>
      <c r="C60" s="9" t="s">
        <v>926</v>
      </c>
      <c r="D60" s="9" t="s">
        <v>889</v>
      </c>
    </row>
    <row r="61" customFormat="false" ht="15" hidden="false" customHeight="false" outlineLevel="0" collapsed="false">
      <c r="A61" s="9" t="s">
        <v>948</v>
      </c>
      <c r="B61" s="62" t="n">
        <f aca="false">SUM(01_Inputs!I139:N139)/1000</f>
        <v>24.56</v>
      </c>
      <c r="C61" s="9" t="s">
        <v>926</v>
      </c>
      <c r="D61" s="9" t="s">
        <v>889</v>
      </c>
    </row>
    <row r="62" customFormat="false" ht="15" hidden="false" customHeight="false" outlineLevel="0" collapsed="false">
      <c r="A62" s="9" t="s">
        <v>949</v>
      </c>
      <c r="B62" s="62" t="n">
        <f aca="false">05_Reflux_Scenarios!$D$25</f>
        <v>6.98</v>
      </c>
      <c r="C62" s="9" t="s">
        <v>926</v>
      </c>
      <c r="D62" s="9" t="s">
        <v>950</v>
      </c>
    </row>
    <row r="63" customFormat="false" ht="15" hidden="false" customHeight="false" outlineLevel="0" collapsed="false">
      <c r="A63" s="9" t="s">
        <v>951</v>
      </c>
      <c r="B63" s="62" t="n">
        <f aca="false">05_Reflux_Scenarios!$D$26</f>
        <v>-17.2</v>
      </c>
      <c r="C63" s="9" t="s">
        <v>926</v>
      </c>
      <c r="D63" s="9" t="s">
        <v>950</v>
      </c>
    </row>
    <row r="64" customFormat="false" ht="15" hidden="false" customHeight="false" outlineLevel="0" collapsed="false">
      <c r="A64" s="9" t="s">
        <v>952</v>
      </c>
      <c r="B64" s="62" t="n">
        <f aca="false">05_Reflux_Scenarios!$D$27</f>
        <v>3.8</v>
      </c>
      <c r="C64" s="9" t="s">
        <v>926</v>
      </c>
      <c r="D64" s="9" t="s">
        <v>950</v>
      </c>
    </row>
    <row r="65" customFormat="false" ht="15" hidden="false" customHeight="false" outlineLevel="0" collapsed="false">
      <c r="A65" s="9" t="s">
        <v>953</v>
      </c>
      <c r="B65" s="62" t="n">
        <f aca="false">05_Reflux_Scenarios!$D$28</f>
        <v>-5.74</v>
      </c>
      <c r="C65" s="9" t="s">
        <v>926</v>
      </c>
      <c r="D65" s="9" t="s">
        <v>950</v>
      </c>
    </row>
    <row r="66" customFormat="false" ht="15" hidden="false" customHeight="false" outlineLevel="0" collapsed="false">
      <c r="A66" s="9" t="s">
        <v>954</v>
      </c>
      <c r="B66" s="62" t="n">
        <f aca="false">05_Reflux_Scenarios!$D$29</f>
        <v>-0.95999999999999</v>
      </c>
      <c r="C66" s="9" t="s">
        <v>926</v>
      </c>
      <c r="D66" s="9" t="s">
        <v>950</v>
      </c>
    </row>
    <row r="67" customFormat="false" ht="15" hidden="false" customHeight="false" outlineLevel="0" collapsed="false">
      <c r="A67" s="9" t="s">
        <v>955</v>
      </c>
      <c r="B67" s="62" t="n">
        <f aca="false">05_Reflux_Scenarios!$D$30</f>
        <v>-1.91999999999999</v>
      </c>
      <c r="C67" s="9" t="s">
        <v>926</v>
      </c>
      <c r="D67" s="9" t="s">
        <v>950</v>
      </c>
    </row>
    <row r="68" customFormat="false" ht="15" hidden="false" customHeight="false" outlineLevel="0" collapsed="false">
      <c r="A68" s="9" t="s">
        <v>956</v>
      </c>
      <c r="B68" s="62" t="n">
        <f aca="false">05_Reflux_Scenarios!$D$31</f>
        <v>1.08000000000001</v>
      </c>
      <c r="C68" s="9" t="s">
        <v>926</v>
      </c>
      <c r="D68" s="9" t="s">
        <v>950</v>
      </c>
    </row>
    <row r="69" customFormat="false" ht="15" hidden="false" customHeight="false" outlineLevel="0" collapsed="false">
      <c r="A69" s="9" t="s">
        <v>957</v>
      </c>
      <c r="B69" s="62" t="n">
        <f aca="false">05_Reflux_Scenarios!$C$29</f>
        <v>23.6</v>
      </c>
      <c r="C69" s="9" t="s">
        <v>926</v>
      </c>
      <c r="D69" s="9" t="s">
        <v>950</v>
      </c>
    </row>
    <row r="70" customFormat="false" ht="15" hidden="false" customHeight="false" outlineLevel="0" collapsed="false">
      <c r="A70" s="9" t="s">
        <v>958</v>
      </c>
      <c r="B70" s="62" t="n">
        <f aca="false">05_Reflux_Scenarios!$C$28</f>
        <v>13.1</v>
      </c>
      <c r="C70" s="9" t="s">
        <v>926</v>
      </c>
      <c r="D70" s="9" t="s">
        <v>950</v>
      </c>
    </row>
    <row r="71" customFormat="false" ht="15" hidden="false" customHeight="false" outlineLevel="0" collapsed="false">
      <c r="A71" s="9" t="s">
        <v>959</v>
      </c>
      <c r="B71" s="60" t="n">
        <f aca="false">04_Monthly_2026_2028!$S$42</f>
        <v>24510</v>
      </c>
      <c r="C71" s="9" t="s">
        <v>151</v>
      </c>
      <c r="D71" s="9" t="s">
        <v>960</v>
      </c>
    </row>
    <row r="72" customFormat="false" ht="15" hidden="false" customHeight="false" outlineLevel="0" collapsed="false">
      <c r="A72" s="9" t="s">
        <v>961</v>
      </c>
      <c r="B72" s="57" t="n">
        <f aca="false">04_Monthly_2026_2028!$O$42</f>
        <v>129</v>
      </c>
      <c r="C72" s="9" t="s">
        <v>222</v>
      </c>
      <c r="D72" s="9" t="s">
        <v>960</v>
      </c>
    </row>
    <row r="73" customFormat="false" ht="26.85" hidden="false" customHeight="false" outlineLevel="0" collapsed="false">
      <c r="A73" s="9" t="s">
        <v>962</v>
      </c>
      <c r="B73" s="73" t="str">
        <f aca="false">04_Monthly_2026_2028!$S$43</f>
        <v>부분합계 2,090 (1/12개월)</v>
      </c>
      <c r="C73" s="9" t="s">
        <v>151</v>
      </c>
      <c r="D73" s="9" t="s">
        <v>960</v>
      </c>
    </row>
    <row r="74" customFormat="false" ht="15" hidden="false" customHeight="false" outlineLevel="0" collapsed="false">
      <c r="A74" s="9" t="s">
        <v>963</v>
      </c>
      <c r="B74" s="73" t="str">
        <f aca="false">04_Monthly_2026_2028!$S$44</f>
        <v>부분합계 0 (0/12개월)</v>
      </c>
      <c r="C74" s="9" t="s">
        <v>151</v>
      </c>
      <c r="D74" s="9" t="s">
        <v>960</v>
      </c>
    </row>
    <row r="75" customFormat="false" ht="15" hidden="false" customHeight="false" outlineLevel="0" collapsed="false">
      <c r="A75" s="9" t="s">
        <v>964</v>
      </c>
      <c r="B75" s="60" t="n">
        <f aca="false">04_Monthly_2026_2028!$S$18</f>
        <v>2090</v>
      </c>
      <c r="C75" s="9" t="s">
        <v>151</v>
      </c>
      <c r="D75" s="9" t="s">
        <v>960</v>
      </c>
    </row>
    <row r="76" customFormat="false" ht="15" hidden="false" customHeight="false" outlineLevel="0" collapsed="false">
      <c r="A76" s="9" t="s">
        <v>965</v>
      </c>
      <c r="B76" s="57" t="n">
        <f aca="false">04_Monthly_2026_2028!$O$18</f>
        <v>11</v>
      </c>
      <c r="C76" s="9" t="s">
        <v>222</v>
      </c>
      <c r="D76" s="9" t="s">
        <v>960</v>
      </c>
    </row>
    <row r="77" customFormat="false" ht="15" hidden="false" customHeight="false" outlineLevel="0" collapsed="false">
      <c r="A77" s="9" t="s">
        <v>966</v>
      </c>
      <c r="B77" s="62" t="n">
        <f aca="false">03_Capacity_Model!$B$80</f>
        <v>67.4716981132076</v>
      </c>
      <c r="C77" s="9" t="s">
        <v>42</v>
      </c>
      <c r="D77" s="9" t="s">
        <v>892</v>
      </c>
    </row>
    <row r="78" customFormat="false" ht="15" hidden="false" customHeight="false" outlineLevel="0" collapsed="false">
      <c r="A78" s="9" t="s">
        <v>967</v>
      </c>
      <c r="B78" s="76" t="n">
        <f aca="false">04_Monthly_2026_2028!$Z$43</f>
        <v>228.421052631579</v>
      </c>
      <c r="C78" s="9" t="s">
        <v>222</v>
      </c>
      <c r="D78" s="9" t="s">
        <v>960</v>
      </c>
    </row>
    <row r="79" customFormat="false" ht="15" hidden="false" customHeight="false" outlineLevel="0" collapsed="false">
      <c r="A79" s="9" t="s">
        <v>968</v>
      </c>
      <c r="B79" s="76" t="n">
        <f aca="false">04_Monthly_2026_2028!$Z$44</f>
        <v>258.526315789474</v>
      </c>
      <c r="C79" s="9" t="s">
        <v>222</v>
      </c>
      <c r="D79" s="9" t="s">
        <v>960</v>
      </c>
    </row>
    <row r="80" customFormat="false" ht="15" hidden="false" customHeight="false" outlineLevel="0" collapsed="false">
      <c r="A80" s="9" t="s">
        <v>969</v>
      </c>
      <c r="B80" s="60" t="n">
        <f aca="false">04_Monthly_2026_2028!$W$43</f>
        <v>10080</v>
      </c>
      <c r="C80" s="9" t="s">
        <v>151</v>
      </c>
      <c r="D80" s="9" t="s">
        <v>960</v>
      </c>
    </row>
    <row r="81" customFormat="false" ht="15" hidden="false" customHeight="false" outlineLevel="0" collapsed="false">
      <c r="A81" s="9" t="s">
        <v>970</v>
      </c>
      <c r="B81" s="60" t="n">
        <f aca="false">04_Monthly_2026_2028!$X$43</f>
        <v>3600</v>
      </c>
      <c r="C81" s="9" t="s">
        <v>151</v>
      </c>
      <c r="D81" s="9" t="s">
        <v>960</v>
      </c>
    </row>
    <row r="82" customFormat="false" ht="15" hidden="false" customHeight="false" outlineLevel="0" collapsed="false">
      <c r="A82" s="9" t="s">
        <v>971</v>
      </c>
      <c r="B82" s="60" t="n">
        <f aca="false">04_Monthly_2026_2028!$V$43</f>
        <v>7000</v>
      </c>
      <c r="C82" s="9" t="s">
        <v>151</v>
      </c>
      <c r="D82" s="9" t="s">
        <v>960</v>
      </c>
    </row>
    <row r="83" customFormat="false" ht="15" hidden="false" customHeight="false" outlineLevel="0" collapsed="false">
      <c r="A83" s="9" t="s">
        <v>972</v>
      </c>
      <c r="B83" s="60" t="n">
        <f aca="false">04_Monthly_2026_2028!$W$44</f>
        <v>13440</v>
      </c>
      <c r="C83" s="9" t="s">
        <v>151</v>
      </c>
      <c r="D83" s="9" t="s">
        <v>960</v>
      </c>
    </row>
    <row r="84" customFormat="false" ht="15" hidden="false" customHeight="false" outlineLevel="0" collapsed="false">
      <c r="A84" s="9" t="s">
        <v>973</v>
      </c>
      <c r="B84" s="60" t="n">
        <f aca="false">04_Monthly_2026_2028!$V$44</f>
        <v>9360</v>
      </c>
      <c r="C84" s="9" t="s">
        <v>151</v>
      </c>
      <c r="D84" s="9" t="s">
        <v>960</v>
      </c>
    </row>
    <row r="85" customFormat="false" ht="15" hidden="false" customHeight="false" outlineLevel="0" collapsed="false">
      <c r="A85" s="9" t="s">
        <v>974</v>
      </c>
      <c r="B85" s="60" t="n">
        <f aca="false">04_Monthly_2026_2028!$X$44</f>
        <v>3600</v>
      </c>
      <c r="C85" s="9" t="s">
        <v>151</v>
      </c>
      <c r="D85" s="9" t="s">
        <v>960</v>
      </c>
    </row>
    <row r="86" customFormat="false" ht="15" hidden="false" customHeight="false" outlineLevel="0" collapsed="false">
      <c r="A86" s="9" t="s">
        <v>975</v>
      </c>
      <c r="B86" s="50" t="n">
        <f aca="false">04_Monthly_2026_2028!$AK$43</f>
        <v>768</v>
      </c>
      <c r="C86" s="9" t="s">
        <v>42</v>
      </c>
      <c r="D86" s="9" t="s">
        <v>960</v>
      </c>
    </row>
    <row r="87" customFormat="false" ht="15" hidden="false" customHeight="false" outlineLevel="0" collapsed="false">
      <c r="A87" s="9" t="s">
        <v>976</v>
      </c>
      <c r="B87" s="50" t="n">
        <f aca="false">04_Monthly_2026_2028!$AK$44</f>
        <v>960</v>
      </c>
      <c r="C87" s="9" t="s">
        <v>42</v>
      </c>
      <c r="D87" s="9" t="s">
        <v>960</v>
      </c>
    </row>
    <row r="88" customFormat="false" ht="15" hidden="false" customHeight="false" outlineLevel="0" collapsed="false">
      <c r="A88" s="9" t="s">
        <v>977</v>
      </c>
      <c r="B88" s="50" t="str">
        <f aca="false">04_Monthly_2026_2028!$AH$43</f>
        <v>부분 0 h + 미확인</v>
      </c>
      <c r="C88" s="9" t="s">
        <v>42</v>
      </c>
      <c r="D88" s="9" t="s">
        <v>960</v>
      </c>
    </row>
    <row r="89" customFormat="false" ht="15" hidden="false" customHeight="false" outlineLevel="0" collapsed="false">
      <c r="A89" s="9" t="s">
        <v>978</v>
      </c>
      <c r="B89" s="50" t="n">
        <f aca="false">04_Monthly_2026_2028!$AL$43</f>
        <v>192</v>
      </c>
      <c r="C89" s="9" t="s">
        <v>42</v>
      </c>
      <c r="D89" s="9" t="s">
        <v>960</v>
      </c>
    </row>
    <row r="90" customFormat="false" ht="15" hidden="false" customHeight="false" outlineLevel="0" collapsed="false">
      <c r="A90" s="9" t="s">
        <v>979</v>
      </c>
      <c r="B90" s="50" t="n">
        <f aca="false">04_Monthly_2026_2028!$AC$43</f>
        <v>330.222222222222</v>
      </c>
      <c r="C90" s="9" t="s">
        <v>42</v>
      </c>
      <c r="D90" s="9" t="s">
        <v>960</v>
      </c>
    </row>
    <row r="91" customFormat="false" ht="15" hidden="false" customHeight="false" outlineLevel="0" collapsed="false">
      <c r="A91" s="9" t="s">
        <v>980</v>
      </c>
      <c r="B91" s="50" t="n">
        <f aca="false">04_Monthly_2026_2028!$AL$44</f>
        <v>240</v>
      </c>
      <c r="C91" s="9" t="s">
        <v>42</v>
      </c>
      <c r="D91" s="9" t="s">
        <v>960</v>
      </c>
    </row>
    <row r="92" customFormat="false" ht="15" hidden="false" customHeight="false" outlineLevel="0" collapsed="false">
      <c r="A92" s="9" t="s">
        <v>981</v>
      </c>
      <c r="B92" s="50" t="n">
        <f aca="false">04_Monthly_2026_2028!$AC$44</f>
        <v>356.444444444444</v>
      </c>
      <c r="C92" s="9" t="s">
        <v>42</v>
      </c>
      <c r="D92" s="9" t="s">
        <v>960</v>
      </c>
    </row>
    <row r="93" customFormat="false" ht="15" hidden="false" customHeight="false" outlineLevel="0" collapsed="false">
      <c r="A93" s="9" t="s">
        <v>982</v>
      </c>
      <c r="B93" s="60" t="n">
        <f aca="false">05_Reflux_Scenarios!$B$60</f>
        <v>25695.1006711409</v>
      </c>
      <c r="C93" s="9" t="s">
        <v>151</v>
      </c>
      <c r="D93" s="9" t="s">
        <v>950</v>
      </c>
    </row>
    <row r="94" customFormat="false" ht="15" hidden="false" customHeight="false" outlineLevel="0" collapsed="false">
      <c r="A94" s="9" t="s">
        <v>983</v>
      </c>
      <c r="B94" s="60" t="n">
        <f aca="false">05_Reflux_Scenarios!$B$61</f>
        <v>-17704.8993288591</v>
      </c>
      <c r="C94" s="9" t="s">
        <v>151</v>
      </c>
      <c r="D94" s="9" t="s">
        <v>950</v>
      </c>
    </row>
    <row r="95" customFormat="false" ht="15" hidden="false" customHeight="false" outlineLevel="0" collapsed="false">
      <c r="A95" s="9" t="s">
        <v>984</v>
      </c>
      <c r="B95" s="60" t="n">
        <f aca="false">05_Reflux_Scenarios!$B$62</f>
        <v>-1919.99999999999</v>
      </c>
      <c r="C95" s="9" t="s">
        <v>151</v>
      </c>
      <c r="D95" s="9" t="s">
        <v>950</v>
      </c>
    </row>
    <row r="96" customFormat="false" ht="15" hidden="false" customHeight="false" outlineLevel="0" collapsed="false">
      <c r="A96" s="9" t="s">
        <v>985</v>
      </c>
      <c r="B96" s="60" t="n">
        <f aca="false">05_Reflux_Scenarios!$B$63</f>
        <v>19624.8993288591</v>
      </c>
      <c r="C96" s="9" t="s">
        <v>151</v>
      </c>
      <c r="D96" s="9" t="s">
        <v>950</v>
      </c>
    </row>
    <row r="97" customFormat="false" ht="15" hidden="false" customHeight="false" outlineLevel="0" collapsed="false">
      <c r="A97" s="9" t="s">
        <v>986</v>
      </c>
      <c r="B97" s="73" t="str">
        <f aca="false">05_Reflux_Scenarios!$B$64</f>
        <v>28.12</v>
      </c>
      <c r="C97" s="9" t="s">
        <v>151</v>
      </c>
      <c r="D97" s="9" t="s">
        <v>950</v>
      </c>
    </row>
    <row r="98" customFormat="false" ht="15" hidden="false" customHeight="false" outlineLevel="0" collapsed="false">
      <c r="A98" s="9" t="s">
        <v>987</v>
      </c>
      <c r="B98" s="60" t="n">
        <f aca="false">05_Reflux_Scenarios!$C$60</f>
        <v>33805.1677852349</v>
      </c>
      <c r="C98" s="9" t="s">
        <v>151</v>
      </c>
      <c r="D98" s="9" t="s">
        <v>950</v>
      </c>
    </row>
    <row r="99" customFormat="false" ht="15" hidden="false" customHeight="false" outlineLevel="0" collapsed="false">
      <c r="A99" s="9" t="s">
        <v>988</v>
      </c>
      <c r="B99" s="60" t="n">
        <f aca="false">05_Reflux_Scenarios!$C$61</f>
        <v>-9594.8322147651</v>
      </c>
      <c r="C99" s="9" t="s">
        <v>151</v>
      </c>
      <c r="D99" s="9" t="s">
        <v>950</v>
      </c>
    </row>
    <row r="100" customFormat="false" ht="15" hidden="false" customHeight="false" outlineLevel="0" collapsed="false">
      <c r="A100" s="9" t="s">
        <v>989</v>
      </c>
      <c r="B100" s="60" t="n">
        <f aca="false">05_Reflux_Scenarios!$C$62</f>
        <v>-1919.99999999999</v>
      </c>
      <c r="C100" s="9" t="s">
        <v>151</v>
      </c>
      <c r="D100" s="9" t="s">
        <v>950</v>
      </c>
    </row>
    <row r="101" customFormat="false" ht="15" hidden="false" customHeight="false" outlineLevel="0" collapsed="false">
      <c r="A101" s="9" t="s">
        <v>990</v>
      </c>
      <c r="B101" s="60" t="n">
        <f aca="false">05_Reflux_Scenarios!$C$63</f>
        <v>11514.8322147651</v>
      </c>
      <c r="C101" s="9" t="s">
        <v>151</v>
      </c>
      <c r="D101" s="9" t="s">
        <v>950</v>
      </c>
    </row>
    <row r="102" customFormat="false" ht="15" hidden="false" customHeight="false" outlineLevel="0" collapsed="false">
      <c r="A102" s="9" t="s">
        <v>991</v>
      </c>
      <c r="B102" s="73" t="str">
        <f aca="false">05_Reflux_Scenarios!$C$64</f>
        <v>28.12</v>
      </c>
      <c r="C102" s="9" t="s">
        <v>151</v>
      </c>
      <c r="D102" s="9" t="s">
        <v>950</v>
      </c>
    </row>
    <row r="103" customFormat="false" ht="15" hidden="false" customHeight="false" outlineLevel="0" collapsed="false">
      <c r="A103" s="9" t="s">
        <v>992</v>
      </c>
      <c r="B103" s="60" t="n">
        <f aca="false">05_Reflux_Scenarios!$D$60</f>
        <v>24167.8523489933</v>
      </c>
      <c r="C103" s="9" t="s">
        <v>151</v>
      </c>
      <c r="D103" s="9" t="s">
        <v>950</v>
      </c>
    </row>
    <row r="104" customFormat="false" ht="15" hidden="false" customHeight="false" outlineLevel="0" collapsed="false">
      <c r="A104" s="9" t="s">
        <v>993</v>
      </c>
      <c r="B104" s="60" t="n">
        <f aca="false">05_Reflux_Scenarios!$D$61</f>
        <v>-19232.1476510067</v>
      </c>
      <c r="C104" s="9" t="s">
        <v>151</v>
      </c>
      <c r="D104" s="9" t="s">
        <v>950</v>
      </c>
    </row>
    <row r="105" customFormat="false" ht="15" hidden="false" customHeight="false" outlineLevel="0" collapsed="false">
      <c r="A105" s="9" t="s">
        <v>994</v>
      </c>
      <c r="B105" s="60" t="n">
        <f aca="false">05_Reflux_Scenarios!$D$62</f>
        <v>-1919.99999999999</v>
      </c>
      <c r="C105" s="9" t="s">
        <v>151</v>
      </c>
      <c r="D105" s="9" t="s">
        <v>950</v>
      </c>
    </row>
    <row r="106" customFormat="false" ht="15" hidden="false" customHeight="false" outlineLevel="0" collapsed="false">
      <c r="A106" s="9" t="s">
        <v>995</v>
      </c>
      <c r="B106" s="60" t="n">
        <f aca="false">05_Reflux_Scenarios!$D$63</f>
        <v>21152.1476510067</v>
      </c>
      <c r="C106" s="9" t="s">
        <v>151</v>
      </c>
      <c r="D106" s="9" t="s">
        <v>950</v>
      </c>
    </row>
    <row r="107" customFormat="false" ht="15" hidden="false" customHeight="false" outlineLevel="0" collapsed="false">
      <c r="A107" s="9" t="s">
        <v>996</v>
      </c>
      <c r="B107" s="73" t="str">
        <f aca="false">05_Reflux_Scenarios!$D$64</f>
        <v>28.12</v>
      </c>
      <c r="C107" s="9" t="s">
        <v>151</v>
      </c>
      <c r="D107" s="9" t="s">
        <v>950</v>
      </c>
    </row>
    <row r="109" customFormat="false" ht="15" hidden="false" customHeight="false" outlineLevel="0" collapsed="false">
      <c r="A109" s="72" t="s">
        <v>997</v>
      </c>
    </row>
    <row r="110" customFormat="false" ht="30" hidden="false" customHeight="true" outlineLevel="0" collapsed="false">
      <c r="A110" s="11" t="s">
        <v>14</v>
      </c>
      <c r="B110" s="11" t="s">
        <v>998</v>
      </c>
      <c r="C110" s="11" t="s">
        <v>999</v>
      </c>
      <c r="D110" s="11" t="s">
        <v>1000</v>
      </c>
      <c r="E110" s="11" t="s">
        <v>1001</v>
      </c>
      <c r="F110" s="33" t="s">
        <v>1002</v>
      </c>
    </row>
    <row r="111" customFormat="false" ht="15" hidden="false" customHeight="false" outlineLevel="0" collapsed="false">
      <c r="A111" s="73" t="str">
        <f aca="false">03_Capacity_Model!A76</f>
        <v>① 이론 (정제 45 h만)</v>
      </c>
      <c r="B111" s="62" t="n">
        <f aca="false">03_Capacity_Model!B76</f>
        <v>45</v>
      </c>
      <c r="C111" s="62" t="n">
        <f aca="false">03_Capacity_Model!C76</f>
        <v>16</v>
      </c>
      <c r="D111" s="60" t="n">
        <f aca="false">03_Capacity_Model!D76</f>
        <v>3040</v>
      </c>
      <c r="E111" s="62" t="n">
        <f aca="false">03_Capacity_Model!E76</f>
        <v>36.48</v>
      </c>
      <c r="F111" s="62" t="n">
        <f aca="false">03_Capacity_Model!F76</f>
        <v>10.28</v>
      </c>
    </row>
    <row r="112" customFormat="false" ht="15" hidden="false" customHeight="false" outlineLevel="0" collapsed="false">
      <c r="A112" s="73" t="str">
        <f aca="false">03_Capacity_Model!A77</f>
        <v>② 과거 월 최대 11 Batch</v>
      </c>
      <c r="B112" s="62" t="n">
        <f aca="false">03_Capacity_Model!B77</f>
        <v>65.4545454545455</v>
      </c>
      <c r="C112" s="62" t="n">
        <f aca="false">03_Capacity_Model!C77</f>
        <v>11</v>
      </c>
      <c r="D112" s="60" t="n">
        <f aca="false">03_Capacity_Model!D77</f>
        <v>2090</v>
      </c>
      <c r="E112" s="62" t="n">
        <f aca="false">03_Capacity_Model!E77</f>
        <v>25.08</v>
      </c>
      <c r="F112" s="62" t="n">
        <f aca="false">03_Capacity_Model!F77</f>
        <v>-1.12</v>
      </c>
    </row>
    <row r="113" customFormat="false" ht="15" hidden="false" customHeight="false" outlineLevel="0" collapsed="false">
      <c r="A113" s="73" t="str">
        <f aca="false">03_Capacity_Model!A78</f>
        <v>③ 과거 일정 관측 추정</v>
      </c>
      <c r="B113" s="62" t="n">
        <f aca="false">03_Capacity_Model!B78</f>
        <v>67.4716981132076</v>
      </c>
      <c r="C113" s="62" t="n">
        <f aca="false">03_Capacity_Model!C78</f>
        <v>10.6711409395973</v>
      </c>
      <c r="D113" s="60" t="n">
        <f aca="false">03_Capacity_Model!D78</f>
        <v>2027.51677852349</v>
      </c>
      <c r="E113" s="62" t="n">
        <f aca="false">03_Capacity_Model!E78</f>
        <v>24.51</v>
      </c>
      <c r="F113" s="62" t="n">
        <f aca="false">03_Capacity_Model!F78</f>
        <v>-1.69</v>
      </c>
    </row>
    <row r="114" customFormat="false" ht="15" hidden="false" customHeight="false" outlineLevel="0" collapsed="false">
      <c r="A114" s="73" t="str">
        <f aca="false">03_Capacity_Model!A79</f>
        <v>현재 Capa. 26.2톤 환산</v>
      </c>
      <c r="B114" s="62" t="n">
        <f aca="false">03_Capacity_Model!B79</f>
        <v>63.5267175572519</v>
      </c>
      <c r="C114" s="62" t="n">
        <f aca="false">03_Capacity_Model!C79</f>
        <v>11.3338139870224</v>
      </c>
      <c r="D114" s="60" t="n">
        <f aca="false">03_Capacity_Model!D79</f>
        <v>2153.42465753425</v>
      </c>
      <c r="E114" s="62" t="n">
        <f aca="false">03_Capacity_Model!E79</f>
        <v>26.2</v>
      </c>
      <c r="F114" s="62" t="n">
        <f aca="false">03_Capacity_Model!F79</f>
        <v>0</v>
      </c>
    </row>
    <row r="121" customFormat="false" ht="15" hidden="false" customHeight="false" outlineLevel="0" collapsed="false">
      <c r="A121" s="72" t="s">
        <v>1003</v>
      </c>
    </row>
    <row r="122" customFormat="false" ht="30" hidden="false" customHeight="true" outlineLevel="0" collapsed="false">
      <c r="A122" s="11" t="s">
        <v>676</v>
      </c>
      <c r="B122" s="11" t="s">
        <v>678</v>
      </c>
      <c r="C122" s="11" t="s">
        <v>326</v>
      </c>
      <c r="D122" s="33" t="s">
        <v>328</v>
      </c>
      <c r="E122" s="11" t="s">
        <v>142</v>
      </c>
      <c r="F122" s="11" t="s">
        <v>139</v>
      </c>
      <c r="G122" s="11" t="s">
        <v>1004</v>
      </c>
      <c r="H122" s="11" t="s">
        <v>1005</v>
      </c>
      <c r="I122" s="11" t="s">
        <v>1006</v>
      </c>
      <c r="J122" s="11" t="s">
        <v>1007</v>
      </c>
      <c r="K122" s="11" t="s">
        <v>1008</v>
      </c>
      <c r="L122" s="33" t="s">
        <v>1009</v>
      </c>
      <c r="M122" s="33" t="s">
        <v>1010</v>
      </c>
      <c r="N122" s="11" t="s">
        <v>730</v>
      </c>
    </row>
    <row r="123" customFormat="false" ht="26.85" hidden="false" customHeight="false" outlineLevel="0" collapsed="false">
      <c r="A123" s="77" t="n">
        <f aca="false">04_Monthly_2026_2028!A6</f>
        <v>46023</v>
      </c>
      <c r="B123" s="73" t="str">
        <f aca="false">04_Monthly_2026_2028!D6</f>
        <v>현재 (1대)</v>
      </c>
      <c r="C123" s="70" t="n">
        <f aca="false">04_Monthly_2026_2028!U6</f>
        <v>1600</v>
      </c>
      <c r="D123" s="70" t="str">
        <f aca="false">04_Monthly_2026_2028!V6</f>
        <v>미제시</v>
      </c>
      <c r="E123" s="70" t="n">
        <f aca="false">04_Monthly_2026_2028!W6</f>
        <v>0</v>
      </c>
      <c r="F123" s="70" t="str">
        <f aca="false">04_Monthly_2026_2028!X6</f>
        <v>미제시</v>
      </c>
      <c r="G123" s="70" t="n">
        <f aca="false">04_Monthly_2026_2028!Y6</f>
        <v>1600</v>
      </c>
      <c r="H123" s="70" t="n">
        <f aca="false">04_Monthly_2026_2028!T6</f>
        <v>2183.33333333333</v>
      </c>
      <c r="I123" s="70" t="n">
        <f aca="false">04_Monthly_2026_2028!AO6</f>
        <v>583.333333333334</v>
      </c>
      <c r="J123" s="57" t="n">
        <f aca="false">04_Monthly_2026_2028!O6</f>
        <v>11</v>
      </c>
      <c r="K123" s="60" t="n">
        <f aca="false">04_Monthly_2026_2028!S6</f>
        <v>2090</v>
      </c>
      <c r="L123" s="50" t="n">
        <f aca="false">04_Monthly_2026_2028!AB6</f>
        <v>160</v>
      </c>
      <c r="M123" s="76" t="n">
        <f aca="false">04_Monthly_2026_2028!AD6+04_Monthly_2026_2028!AE6</f>
        <v>0</v>
      </c>
      <c r="N123" s="73" t="str">
        <f aca="false">04_Monthly_2026_2028!BD6</f>
        <v>부분 (재고 입력 필요)</v>
      </c>
    </row>
    <row r="124" customFormat="false" ht="26.85" hidden="false" customHeight="false" outlineLevel="0" collapsed="false">
      <c r="A124" s="77" t="n">
        <f aca="false">04_Monthly_2026_2028!A7</f>
        <v>46054</v>
      </c>
      <c r="B124" s="73" t="str">
        <f aca="false">04_Monthly_2026_2028!D7</f>
        <v>현재 (1대)</v>
      </c>
      <c r="C124" s="70" t="n">
        <f aca="false">04_Monthly_2026_2028!U7</f>
        <v>1420</v>
      </c>
      <c r="D124" s="70" t="str">
        <f aca="false">04_Monthly_2026_2028!V7</f>
        <v>미제시</v>
      </c>
      <c r="E124" s="70" t="n">
        <f aca="false">04_Monthly_2026_2028!W7</f>
        <v>0</v>
      </c>
      <c r="F124" s="70" t="str">
        <f aca="false">04_Monthly_2026_2028!X7</f>
        <v>미제시</v>
      </c>
      <c r="G124" s="70" t="n">
        <f aca="false">04_Monthly_2026_2028!Y7</f>
        <v>1420</v>
      </c>
      <c r="H124" s="70" t="n">
        <f aca="false">04_Monthly_2026_2028!T7</f>
        <v>2183.33333333333</v>
      </c>
      <c r="I124" s="70" t="n">
        <f aca="false">04_Monthly_2026_2028!AO7</f>
        <v>763.333333333334</v>
      </c>
      <c r="J124" s="57" t="n">
        <f aca="false">04_Monthly_2026_2028!O7</f>
        <v>9</v>
      </c>
      <c r="K124" s="60" t="n">
        <f aca="false">04_Monthly_2026_2028!S7</f>
        <v>1710</v>
      </c>
      <c r="L124" s="50" t="n">
        <f aca="false">04_Monthly_2026_2028!AB7</f>
        <v>142</v>
      </c>
      <c r="M124" s="76" t="n">
        <f aca="false">04_Monthly_2026_2028!AD7+04_Monthly_2026_2028!AE7</f>
        <v>0</v>
      </c>
      <c r="N124" s="73" t="str">
        <f aca="false">04_Monthly_2026_2028!BD7</f>
        <v>부분 (재고 입력 필요)</v>
      </c>
    </row>
    <row r="125" customFormat="false" ht="26.85" hidden="false" customHeight="false" outlineLevel="0" collapsed="false">
      <c r="A125" s="77" t="n">
        <f aca="false">04_Monthly_2026_2028!A8</f>
        <v>46082</v>
      </c>
      <c r="B125" s="73" t="str">
        <f aca="false">04_Monthly_2026_2028!D8</f>
        <v>현재 (1대)</v>
      </c>
      <c r="C125" s="70" t="n">
        <f aca="false">04_Monthly_2026_2028!U8</f>
        <v>1440</v>
      </c>
      <c r="D125" s="70" t="str">
        <f aca="false">04_Monthly_2026_2028!V8</f>
        <v>미제시</v>
      </c>
      <c r="E125" s="70" t="n">
        <f aca="false">04_Monthly_2026_2028!W8</f>
        <v>0</v>
      </c>
      <c r="F125" s="70" t="str">
        <f aca="false">04_Monthly_2026_2028!X8</f>
        <v>미제시</v>
      </c>
      <c r="G125" s="70" t="n">
        <f aca="false">04_Monthly_2026_2028!Y8</f>
        <v>1440</v>
      </c>
      <c r="H125" s="70" t="n">
        <f aca="false">04_Monthly_2026_2028!T8</f>
        <v>2183.33333333333</v>
      </c>
      <c r="I125" s="70" t="n">
        <f aca="false">04_Monthly_2026_2028!AO8</f>
        <v>743.333333333334</v>
      </c>
      <c r="J125" s="57" t="n">
        <f aca="false">04_Monthly_2026_2028!O8</f>
        <v>12</v>
      </c>
      <c r="K125" s="60" t="n">
        <f aca="false">04_Monthly_2026_2028!S8</f>
        <v>2280</v>
      </c>
      <c r="L125" s="50" t="n">
        <f aca="false">04_Monthly_2026_2028!AB8</f>
        <v>144</v>
      </c>
      <c r="M125" s="76" t="n">
        <f aca="false">04_Monthly_2026_2028!AD8+04_Monthly_2026_2028!AE8</f>
        <v>0</v>
      </c>
      <c r="N125" s="73" t="str">
        <f aca="false">04_Monthly_2026_2028!BD8</f>
        <v>부분 (재고 입력 필요)</v>
      </c>
    </row>
    <row r="126" customFormat="false" ht="26.85" hidden="false" customHeight="false" outlineLevel="0" collapsed="false">
      <c r="A126" s="77" t="n">
        <f aca="false">04_Monthly_2026_2028!A9</f>
        <v>46113</v>
      </c>
      <c r="B126" s="73" t="str">
        <f aca="false">04_Monthly_2026_2028!D9</f>
        <v>현재 (1대)</v>
      </c>
      <c r="C126" s="70" t="n">
        <f aca="false">04_Monthly_2026_2028!U9</f>
        <v>1580</v>
      </c>
      <c r="D126" s="70" t="str">
        <f aca="false">04_Monthly_2026_2028!V9</f>
        <v>미제시</v>
      </c>
      <c r="E126" s="70" t="n">
        <f aca="false">04_Monthly_2026_2028!W9</f>
        <v>0</v>
      </c>
      <c r="F126" s="70" t="str">
        <f aca="false">04_Monthly_2026_2028!X9</f>
        <v>미제시</v>
      </c>
      <c r="G126" s="70" t="n">
        <f aca="false">04_Monthly_2026_2028!Y9</f>
        <v>1580</v>
      </c>
      <c r="H126" s="70" t="n">
        <f aca="false">04_Monthly_2026_2028!T9</f>
        <v>2183.33333333333</v>
      </c>
      <c r="I126" s="70" t="n">
        <f aca="false">04_Monthly_2026_2028!AO9</f>
        <v>603.333333333334</v>
      </c>
      <c r="J126" s="57" t="n">
        <f aca="false">04_Monthly_2026_2028!O9</f>
        <v>10</v>
      </c>
      <c r="K126" s="60" t="n">
        <f aca="false">04_Monthly_2026_2028!S9</f>
        <v>1900</v>
      </c>
      <c r="L126" s="50" t="n">
        <f aca="false">04_Monthly_2026_2028!AB9</f>
        <v>158</v>
      </c>
      <c r="M126" s="76" t="n">
        <f aca="false">04_Monthly_2026_2028!AD9+04_Monthly_2026_2028!AE9</f>
        <v>0</v>
      </c>
      <c r="N126" s="73" t="str">
        <f aca="false">04_Monthly_2026_2028!BD9</f>
        <v>부분 (재고 입력 필요)</v>
      </c>
    </row>
    <row r="127" customFormat="false" ht="26.85" hidden="false" customHeight="false" outlineLevel="0" collapsed="false">
      <c r="A127" s="77" t="n">
        <f aca="false">04_Monthly_2026_2028!A10</f>
        <v>46143</v>
      </c>
      <c r="B127" s="73" t="str">
        <f aca="false">04_Monthly_2026_2028!D10</f>
        <v>현재 (1대)</v>
      </c>
      <c r="C127" s="70" t="n">
        <f aca="false">04_Monthly_2026_2028!U10</f>
        <v>1200</v>
      </c>
      <c r="D127" s="70" t="str">
        <f aca="false">04_Monthly_2026_2028!V10</f>
        <v>미제시</v>
      </c>
      <c r="E127" s="70" t="n">
        <f aca="false">04_Monthly_2026_2028!W10</f>
        <v>0</v>
      </c>
      <c r="F127" s="70" t="str">
        <f aca="false">04_Monthly_2026_2028!X10</f>
        <v>미제시</v>
      </c>
      <c r="G127" s="70" t="n">
        <f aca="false">04_Monthly_2026_2028!Y10</f>
        <v>1200</v>
      </c>
      <c r="H127" s="70" t="n">
        <f aca="false">04_Monthly_2026_2028!T10</f>
        <v>2183.33333333333</v>
      </c>
      <c r="I127" s="70" t="n">
        <f aca="false">04_Monthly_2026_2028!AO10</f>
        <v>983.333333333334</v>
      </c>
      <c r="J127" s="57" t="n">
        <f aca="false">04_Monthly_2026_2028!O10</f>
        <v>11</v>
      </c>
      <c r="K127" s="60" t="n">
        <f aca="false">04_Monthly_2026_2028!S10</f>
        <v>2090</v>
      </c>
      <c r="L127" s="50" t="n">
        <f aca="false">04_Monthly_2026_2028!AB10</f>
        <v>120</v>
      </c>
      <c r="M127" s="76" t="n">
        <f aca="false">04_Monthly_2026_2028!AD10+04_Monthly_2026_2028!AE10</f>
        <v>0</v>
      </c>
      <c r="N127" s="73" t="str">
        <f aca="false">04_Monthly_2026_2028!BD10</f>
        <v>부분 (재고 입력 필요)</v>
      </c>
    </row>
    <row r="128" customFormat="false" ht="26.85" hidden="false" customHeight="false" outlineLevel="0" collapsed="false">
      <c r="A128" s="77" t="n">
        <f aca="false">04_Monthly_2026_2028!A11</f>
        <v>46174</v>
      </c>
      <c r="B128" s="73" t="str">
        <f aca="false">04_Monthly_2026_2028!D11</f>
        <v>현재 (1대)</v>
      </c>
      <c r="C128" s="70" t="n">
        <f aca="false">04_Monthly_2026_2028!U11</f>
        <v>1200</v>
      </c>
      <c r="D128" s="70" t="str">
        <f aca="false">04_Monthly_2026_2028!V11</f>
        <v>미제시</v>
      </c>
      <c r="E128" s="70" t="n">
        <f aca="false">04_Monthly_2026_2028!W11</f>
        <v>0</v>
      </c>
      <c r="F128" s="70" t="str">
        <f aca="false">04_Monthly_2026_2028!X11</f>
        <v>미제시</v>
      </c>
      <c r="G128" s="70" t="n">
        <f aca="false">04_Monthly_2026_2028!Y11</f>
        <v>1200</v>
      </c>
      <c r="H128" s="70" t="n">
        <f aca="false">04_Monthly_2026_2028!T11</f>
        <v>2183.33333333333</v>
      </c>
      <c r="I128" s="70" t="n">
        <f aca="false">04_Monthly_2026_2028!AO11</f>
        <v>983.333333333334</v>
      </c>
      <c r="J128" s="57" t="n">
        <f aca="false">04_Monthly_2026_2028!O11</f>
        <v>11</v>
      </c>
      <c r="K128" s="60" t="n">
        <f aca="false">04_Monthly_2026_2028!S11</f>
        <v>2090</v>
      </c>
      <c r="L128" s="50" t="n">
        <f aca="false">04_Monthly_2026_2028!AB11</f>
        <v>120</v>
      </c>
      <c r="M128" s="76" t="n">
        <f aca="false">04_Monthly_2026_2028!AD11+04_Monthly_2026_2028!AE11</f>
        <v>0</v>
      </c>
      <c r="N128" s="73" t="str">
        <f aca="false">04_Monthly_2026_2028!BD11</f>
        <v>부분 (재고 입력 필요)</v>
      </c>
    </row>
    <row r="129" customFormat="false" ht="26.85" hidden="false" customHeight="false" outlineLevel="0" collapsed="false">
      <c r="A129" s="77" t="n">
        <f aca="false">04_Monthly_2026_2028!A12</f>
        <v>46204</v>
      </c>
      <c r="B129" s="73" t="str">
        <f aca="false">04_Monthly_2026_2028!D12</f>
        <v>현재 (1대)</v>
      </c>
      <c r="C129" s="70" t="n">
        <f aca="false">04_Monthly_2026_2028!U12</f>
        <v>1360</v>
      </c>
      <c r="D129" s="70" t="str">
        <f aca="false">04_Monthly_2026_2028!V12</f>
        <v>미제시</v>
      </c>
      <c r="E129" s="70" t="n">
        <f aca="false">04_Monthly_2026_2028!W12</f>
        <v>0</v>
      </c>
      <c r="F129" s="70" t="str">
        <f aca="false">04_Monthly_2026_2028!X12</f>
        <v>미제시</v>
      </c>
      <c r="G129" s="70" t="n">
        <f aca="false">04_Monthly_2026_2028!Y12</f>
        <v>1360</v>
      </c>
      <c r="H129" s="70" t="n">
        <f aca="false">04_Monthly_2026_2028!T12</f>
        <v>2183.33333333333</v>
      </c>
      <c r="I129" s="70" t="n">
        <f aca="false">04_Monthly_2026_2028!AO12</f>
        <v>823.333333333334</v>
      </c>
      <c r="J129" s="57" t="n">
        <f aca="false">04_Monthly_2026_2028!O12</f>
        <v>11</v>
      </c>
      <c r="K129" s="60" t="n">
        <f aca="false">04_Monthly_2026_2028!S12</f>
        <v>2090</v>
      </c>
      <c r="L129" s="50" t="n">
        <f aca="false">04_Monthly_2026_2028!AB12</f>
        <v>136</v>
      </c>
      <c r="M129" s="76" t="n">
        <f aca="false">04_Monthly_2026_2028!AD12+04_Monthly_2026_2028!AE12</f>
        <v>0</v>
      </c>
      <c r="N129" s="73" t="str">
        <f aca="false">04_Monthly_2026_2028!BD12</f>
        <v>부분 (재고 입력 필요)</v>
      </c>
    </row>
    <row r="130" customFormat="false" ht="26.85" hidden="false" customHeight="false" outlineLevel="0" collapsed="false">
      <c r="A130" s="77" t="n">
        <f aca="false">04_Monthly_2026_2028!A13</f>
        <v>46235</v>
      </c>
      <c r="B130" s="73" t="str">
        <f aca="false">04_Monthly_2026_2028!D13</f>
        <v>현재 (1대)</v>
      </c>
      <c r="C130" s="70" t="n">
        <f aca="false">04_Monthly_2026_2028!U13</f>
        <v>1420</v>
      </c>
      <c r="D130" s="70" t="str">
        <f aca="false">04_Monthly_2026_2028!V13</f>
        <v>미제시</v>
      </c>
      <c r="E130" s="70" t="n">
        <f aca="false">04_Monthly_2026_2028!W13</f>
        <v>0</v>
      </c>
      <c r="F130" s="70" t="str">
        <f aca="false">04_Monthly_2026_2028!X13</f>
        <v>미제시</v>
      </c>
      <c r="G130" s="70" t="n">
        <f aca="false">04_Monthly_2026_2028!Y13</f>
        <v>1420</v>
      </c>
      <c r="H130" s="70" t="n">
        <f aca="false">04_Monthly_2026_2028!T13</f>
        <v>2183.33333333333</v>
      </c>
      <c r="I130" s="70" t="n">
        <f aca="false">04_Monthly_2026_2028!AO13</f>
        <v>763.333333333334</v>
      </c>
      <c r="J130" s="57" t="n">
        <f aca="false">04_Monthly_2026_2028!O13</f>
        <v>11</v>
      </c>
      <c r="K130" s="60" t="n">
        <f aca="false">04_Monthly_2026_2028!S13</f>
        <v>2090</v>
      </c>
      <c r="L130" s="50" t="n">
        <f aca="false">04_Monthly_2026_2028!AB13</f>
        <v>142</v>
      </c>
      <c r="M130" s="76" t="n">
        <f aca="false">04_Monthly_2026_2028!AD13+04_Monthly_2026_2028!AE13</f>
        <v>0</v>
      </c>
      <c r="N130" s="73" t="str">
        <f aca="false">04_Monthly_2026_2028!BD13</f>
        <v>부분 (재고 입력 필요)</v>
      </c>
    </row>
    <row r="131" customFormat="false" ht="26.85" hidden="false" customHeight="false" outlineLevel="0" collapsed="false">
      <c r="A131" s="77" t="n">
        <f aca="false">04_Monthly_2026_2028!A14</f>
        <v>46266</v>
      </c>
      <c r="B131" s="73" t="str">
        <f aca="false">04_Monthly_2026_2028!D14</f>
        <v>현재 (1대)</v>
      </c>
      <c r="C131" s="70" t="n">
        <f aca="false">04_Monthly_2026_2028!U14</f>
        <v>1380</v>
      </c>
      <c r="D131" s="70" t="str">
        <f aca="false">04_Monthly_2026_2028!V14</f>
        <v>미제시</v>
      </c>
      <c r="E131" s="70" t="n">
        <f aca="false">04_Monthly_2026_2028!W14</f>
        <v>560</v>
      </c>
      <c r="F131" s="70" t="str">
        <f aca="false">04_Monthly_2026_2028!X14</f>
        <v>미제시</v>
      </c>
      <c r="G131" s="70" t="n">
        <f aca="false">04_Monthly_2026_2028!Y14</f>
        <v>1940</v>
      </c>
      <c r="H131" s="70" t="n">
        <f aca="false">04_Monthly_2026_2028!T14</f>
        <v>2183.33333333333</v>
      </c>
      <c r="I131" s="70" t="n">
        <f aca="false">04_Monthly_2026_2028!AO14</f>
        <v>243.333333333333</v>
      </c>
      <c r="J131" s="57" t="n">
        <f aca="false">04_Monthly_2026_2028!O14</f>
        <v>11</v>
      </c>
      <c r="K131" s="60" t="n">
        <f aca="false">04_Monthly_2026_2028!S14</f>
        <v>2090</v>
      </c>
      <c r="L131" s="50" t="n">
        <f aca="false">04_Monthly_2026_2028!AB14</f>
        <v>138</v>
      </c>
      <c r="M131" s="76" t="n">
        <f aca="false">04_Monthly_2026_2028!AD14+04_Monthly_2026_2028!AE14</f>
        <v>4</v>
      </c>
      <c r="N131" s="73" t="str">
        <f aca="false">04_Monthly_2026_2028!BD14</f>
        <v>부분 (재고 입력 필요)</v>
      </c>
    </row>
    <row r="132" customFormat="false" ht="26.85" hidden="false" customHeight="false" outlineLevel="0" collapsed="false">
      <c r="A132" s="77" t="n">
        <f aca="false">04_Monthly_2026_2028!A15</f>
        <v>46296</v>
      </c>
      <c r="B132" s="73" t="str">
        <f aca="false">04_Monthly_2026_2028!D15</f>
        <v>현재 (1대)</v>
      </c>
      <c r="C132" s="70" t="n">
        <f aca="false">04_Monthly_2026_2028!U15</f>
        <v>1480</v>
      </c>
      <c r="D132" s="70" t="str">
        <f aca="false">04_Monthly_2026_2028!V15</f>
        <v>미제시</v>
      </c>
      <c r="E132" s="70" t="n">
        <f aca="false">04_Monthly_2026_2028!W15</f>
        <v>560</v>
      </c>
      <c r="F132" s="70" t="str">
        <f aca="false">04_Monthly_2026_2028!X15</f>
        <v>미제시</v>
      </c>
      <c r="G132" s="70" t="n">
        <f aca="false">04_Monthly_2026_2028!Y15</f>
        <v>2040</v>
      </c>
      <c r="H132" s="70" t="n">
        <f aca="false">04_Monthly_2026_2028!T15</f>
        <v>2183.33333333333</v>
      </c>
      <c r="I132" s="70" t="n">
        <f aca="false">04_Monthly_2026_2028!AO15</f>
        <v>143.333333333333</v>
      </c>
      <c r="J132" s="57" t="n">
        <f aca="false">04_Monthly_2026_2028!O15</f>
        <v>11</v>
      </c>
      <c r="K132" s="60" t="n">
        <f aca="false">04_Monthly_2026_2028!S15</f>
        <v>2090</v>
      </c>
      <c r="L132" s="50" t="n">
        <f aca="false">04_Monthly_2026_2028!AB15</f>
        <v>148</v>
      </c>
      <c r="M132" s="76" t="n">
        <f aca="false">04_Monthly_2026_2028!AD15+04_Monthly_2026_2028!AE15</f>
        <v>4</v>
      </c>
      <c r="N132" s="73" t="str">
        <f aca="false">04_Monthly_2026_2028!BD15</f>
        <v>부분 (재고 입력 필요)</v>
      </c>
    </row>
    <row r="133" customFormat="false" ht="26.85" hidden="false" customHeight="false" outlineLevel="0" collapsed="false">
      <c r="A133" s="77" t="n">
        <f aca="false">04_Monthly_2026_2028!A16</f>
        <v>46327</v>
      </c>
      <c r="B133" s="73" t="str">
        <f aca="false">04_Monthly_2026_2028!D16</f>
        <v>현재 (1대)</v>
      </c>
      <c r="C133" s="70" t="n">
        <f aca="false">04_Monthly_2026_2028!U16</f>
        <v>1480</v>
      </c>
      <c r="D133" s="70" t="str">
        <f aca="false">04_Monthly_2026_2028!V16</f>
        <v>미제시</v>
      </c>
      <c r="E133" s="70" t="n">
        <f aca="false">04_Monthly_2026_2028!W16</f>
        <v>560</v>
      </c>
      <c r="F133" s="70" t="str">
        <f aca="false">04_Monthly_2026_2028!X16</f>
        <v>미제시</v>
      </c>
      <c r="G133" s="70" t="n">
        <f aca="false">04_Monthly_2026_2028!Y16</f>
        <v>2040</v>
      </c>
      <c r="H133" s="70" t="n">
        <f aca="false">04_Monthly_2026_2028!T16</f>
        <v>2183.33333333333</v>
      </c>
      <c r="I133" s="70" t="n">
        <f aca="false">04_Monthly_2026_2028!AO16</f>
        <v>143.333333333333</v>
      </c>
      <c r="J133" s="57" t="n">
        <f aca="false">04_Monthly_2026_2028!O16</f>
        <v>10</v>
      </c>
      <c r="K133" s="60" t="n">
        <f aca="false">04_Monthly_2026_2028!S16</f>
        <v>1900</v>
      </c>
      <c r="L133" s="50" t="n">
        <f aca="false">04_Monthly_2026_2028!AB16</f>
        <v>148</v>
      </c>
      <c r="M133" s="76" t="n">
        <f aca="false">04_Monthly_2026_2028!AD16+04_Monthly_2026_2028!AE16</f>
        <v>4</v>
      </c>
      <c r="N133" s="73" t="str">
        <f aca="false">04_Monthly_2026_2028!BD16</f>
        <v>부분 (재고 입력 필요)</v>
      </c>
    </row>
    <row r="134" customFormat="false" ht="26.85" hidden="false" customHeight="false" outlineLevel="0" collapsed="false">
      <c r="A134" s="77" t="n">
        <f aca="false">04_Monthly_2026_2028!A17</f>
        <v>46357</v>
      </c>
      <c r="B134" s="73" t="str">
        <f aca="false">04_Monthly_2026_2028!D17</f>
        <v>현재 (1대)</v>
      </c>
      <c r="C134" s="70" t="n">
        <f aca="false">04_Monthly_2026_2028!U17</f>
        <v>1420</v>
      </c>
      <c r="D134" s="70" t="str">
        <f aca="false">04_Monthly_2026_2028!V17</f>
        <v>미제시</v>
      </c>
      <c r="E134" s="70" t="n">
        <f aca="false">04_Monthly_2026_2028!W17</f>
        <v>560</v>
      </c>
      <c r="F134" s="70" t="str">
        <f aca="false">04_Monthly_2026_2028!X17</f>
        <v>미제시</v>
      </c>
      <c r="G134" s="70" t="n">
        <f aca="false">04_Monthly_2026_2028!Y17</f>
        <v>1980</v>
      </c>
      <c r="H134" s="70" t="n">
        <f aca="false">04_Monthly_2026_2028!T17</f>
        <v>2183.33333333333</v>
      </c>
      <c r="I134" s="70" t="n">
        <f aca="false">04_Monthly_2026_2028!AO17</f>
        <v>203.333333333333</v>
      </c>
      <c r="J134" s="57" t="n">
        <f aca="false">04_Monthly_2026_2028!O17</f>
        <v>11</v>
      </c>
      <c r="K134" s="60" t="n">
        <f aca="false">04_Monthly_2026_2028!S17</f>
        <v>2090</v>
      </c>
      <c r="L134" s="50" t="n">
        <f aca="false">04_Monthly_2026_2028!AB17</f>
        <v>142</v>
      </c>
      <c r="M134" s="76" t="n">
        <f aca="false">04_Monthly_2026_2028!AD17+04_Monthly_2026_2028!AE17</f>
        <v>4</v>
      </c>
      <c r="N134" s="73" t="str">
        <f aca="false">04_Monthly_2026_2028!BD17</f>
        <v>부분 (재고 입력 필요)</v>
      </c>
    </row>
    <row r="135" customFormat="false" ht="26.85" hidden="false" customHeight="false" outlineLevel="0" collapsed="false">
      <c r="A135" s="77" t="n">
        <f aca="false">04_Monthly_2026_2028!A18</f>
        <v>46388</v>
      </c>
      <c r="B135" s="73" t="str">
        <f aca="false">04_Monthly_2026_2028!D18</f>
        <v>현재 (1대)</v>
      </c>
      <c r="C135" s="70" t="n">
        <f aca="false">04_Monthly_2026_2028!U18</f>
        <v>1893.33333333333</v>
      </c>
      <c r="D135" s="70" t="n">
        <f aca="false">04_Monthly_2026_2028!V18</f>
        <v>0</v>
      </c>
      <c r="E135" s="70" t="n">
        <f aca="false">04_Monthly_2026_2028!W18</f>
        <v>560</v>
      </c>
      <c r="F135" s="70" t="n">
        <f aca="false">04_Monthly_2026_2028!X18</f>
        <v>300</v>
      </c>
      <c r="G135" s="70" t="n">
        <f aca="false">04_Monthly_2026_2028!Y18</f>
        <v>2753.33333333333</v>
      </c>
      <c r="H135" s="70" t="n">
        <f aca="false">04_Monthly_2026_2028!T18</f>
        <v>2183.33333333333</v>
      </c>
      <c r="I135" s="70" t="n">
        <f aca="false">04_Monthly_2026_2028!AO18</f>
        <v>-570</v>
      </c>
      <c r="J135" s="57" t="n">
        <f aca="false">04_Monthly_2026_2028!O18</f>
        <v>11</v>
      </c>
      <c r="K135" s="60" t="n">
        <f aca="false">04_Monthly_2026_2028!S18</f>
        <v>2090</v>
      </c>
      <c r="L135" s="50" t="n">
        <f aca="false">04_Monthly_2026_2028!AB18</f>
        <v>189.333333333333</v>
      </c>
      <c r="M135" s="76" t="n">
        <f aca="false">04_Monthly_2026_2028!AD18+04_Monthly_2026_2028!AE18</f>
        <v>6</v>
      </c>
      <c r="N135" s="73" t="str">
        <f aca="false">04_Monthly_2026_2028!BD18</f>
        <v>부분 (재고 입력 필요)</v>
      </c>
    </row>
    <row r="136" customFormat="false" ht="26.85" hidden="false" customHeight="false" outlineLevel="0" collapsed="false">
      <c r="A136" s="77" t="n">
        <f aca="false">04_Monthly_2026_2028!A19</f>
        <v>46419</v>
      </c>
      <c r="B136" s="73" t="str">
        <f aca="false">04_Monthly_2026_2028!D19</f>
        <v>공사</v>
      </c>
      <c r="C136" s="70" t="n">
        <f aca="false">04_Monthly_2026_2028!U19</f>
        <v>1893.33333333333</v>
      </c>
      <c r="D136" s="70" t="n">
        <f aca="false">04_Monthly_2026_2028!V19</f>
        <v>0</v>
      </c>
      <c r="E136" s="70" t="n">
        <f aca="false">04_Monthly_2026_2028!W19</f>
        <v>560</v>
      </c>
      <c r="F136" s="70" t="n">
        <f aca="false">04_Monthly_2026_2028!X19</f>
        <v>300</v>
      </c>
      <c r="G136" s="70" t="n">
        <f aca="false">04_Monthly_2026_2028!Y19</f>
        <v>2753.33333333333</v>
      </c>
      <c r="H136" s="70" t="n">
        <f aca="false">04_Monthly_2026_2028!T19</f>
        <v>2183.33333333333</v>
      </c>
      <c r="I136" s="70" t="n">
        <f aca="false">04_Monthly_2026_2028!AO19</f>
        <v>-570</v>
      </c>
      <c r="J136" s="57" t="str">
        <f aca="false">04_Monthly_2026_2028!O19</f>
        <v>미확인</v>
      </c>
      <c r="K136" s="60" t="str">
        <f aca="false">04_Monthly_2026_2028!S19</f>
        <v>미확인</v>
      </c>
      <c r="L136" s="50" t="n">
        <f aca="false">04_Monthly_2026_2028!AB19</f>
        <v>189.333333333333</v>
      </c>
      <c r="M136" s="76" t="n">
        <f aca="false">04_Monthly_2026_2028!AD19+04_Monthly_2026_2028!AE19</f>
        <v>6</v>
      </c>
      <c r="N136" s="73" t="str">
        <f aca="false">04_Monthly_2026_2028!BD19</f>
        <v>보류 (생산 조건 미확인)</v>
      </c>
    </row>
    <row r="137" customFormat="false" ht="26.85" hidden="false" customHeight="false" outlineLevel="0" collapsed="false">
      <c r="A137" s="77" t="n">
        <f aca="false">04_Monthly_2026_2028!A20</f>
        <v>46447</v>
      </c>
      <c r="B137" s="73" t="str">
        <f aca="false">04_Monthly_2026_2028!D20</f>
        <v>공사</v>
      </c>
      <c r="C137" s="70" t="n">
        <f aca="false">04_Monthly_2026_2028!U20</f>
        <v>1893.33333333333</v>
      </c>
      <c r="D137" s="70" t="n">
        <f aca="false">04_Monthly_2026_2028!V20</f>
        <v>580</v>
      </c>
      <c r="E137" s="70" t="n">
        <f aca="false">04_Monthly_2026_2028!W20</f>
        <v>560</v>
      </c>
      <c r="F137" s="70" t="n">
        <f aca="false">04_Monthly_2026_2028!X20</f>
        <v>300</v>
      </c>
      <c r="G137" s="70" t="n">
        <f aca="false">04_Monthly_2026_2028!Y20</f>
        <v>3333.33333333333</v>
      </c>
      <c r="H137" s="70" t="n">
        <f aca="false">04_Monthly_2026_2028!T20</f>
        <v>2183.33333333333</v>
      </c>
      <c r="I137" s="70" t="n">
        <f aca="false">04_Monthly_2026_2028!AO20</f>
        <v>-1150</v>
      </c>
      <c r="J137" s="57" t="str">
        <f aca="false">04_Monthly_2026_2028!O20</f>
        <v>미확인</v>
      </c>
      <c r="K137" s="60" t="str">
        <f aca="false">04_Monthly_2026_2028!S20</f>
        <v>미확인</v>
      </c>
      <c r="L137" s="50" t="n">
        <f aca="false">04_Monthly_2026_2028!AB20</f>
        <v>247.333333333333</v>
      </c>
      <c r="M137" s="76" t="n">
        <f aca="false">04_Monthly_2026_2028!AD20+04_Monthly_2026_2028!AE20</f>
        <v>6</v>
      </c>
      <c r="N137" s="73" t="str">
        <f aca="false">04_Monthly_2026_2028!BD20</f>
        <v>보류 (생산 조건 미확인)</v>
      </c>
    </row>
    <row r="138" customFormat="false" ht="26.85" hidden="false" customHeight="false" outlineLevel="0" collapsed="false">
      <c r="A138" s="77" t="n">
        <f aca="false">04_Monthly_2026_2028!A21</f>
        <v>46478</v>
      </c>
      <c r="B138" s="73" t="str">
        <f aca="false">04_Monthly_2026_2028!D21</f>
        <v>공사</v>
      </c>
      <c r="C138" s="70" t="n">
        <f aca="false">04_Monthly_2026_2028!U21</f>
        <v>1893.33333333333</v>
      </c>
      <c r="D138" s="70" t="n">
        <f aca="false">04_Monthly_2026_2028!V21</f>
        <v>580</v>
      </c>
      <c r="E138" s="70" t="n">
        <f aca="false">04_Monthly_2026_2028!W21</f>
        <v>560</v>
      </c>
      <c r="F138" s="70" t="n">
        <f aca="false">04_Monthly_2026_2028!X21</f>
        <v>300</v>
      </c>
      <c r="G138" s="70" t="n">
        <f aca="false">04_Monthly_2026_2028!Y21</f>
        <v>3333.33333333333</v>
      </c>
      <c r="H138" s="70" t="n">
        <f aca="false">04_Monthly_2026_2028!T21</f>
        <v>2183.33333333333</v>
      </c>
      <c r="I138" s="70" t="n">
        <f aca="false">04_Monthly_2026_2028!AO21</f>
        <v>-1150</v>
      </c>
      <c r="J138" s="57" t="str">
        <f aca="false">04_Monthly_2026_2028!O21</f>
        <v>미확인</v>
      </c>
      <c r="K138" s="60" t="str">
        <f aca="false">04_Monthly_2026_2028!S21</f>
        <v>미확인</v>
      </c>
      <c r="L138" s="50" t="n">
        <f aca="false">04_Monthly_2026_2028!AB21</f>
        <v>247.333333333333</v>
      </c>
      <c r="M138" s="76" t="n">
        <f aca="false">04_Monthly_2026_2028!AD21+04_Monthly_2026_2028!AE21</f>
        <v>6</v>
      </c>
      <c r="N138" s="73" t="str">
        <f aca="false">04_Monthly_2026_2028!BD21</f>
        <v>보류 (생산 조건 미확인)</v>
      </c>
    </row>
    <row r="139" customFormat="false" ht="26.85" hidden="false" customHeight="false" outlineLevel="0" collapsed="false">
      <c r="A139" s="77" t="n">
        <f aca="false">04_Monthly_2026_2028!A22</f>
        <v>46508</v>
      </c>
      <c r="B139" s="73" t="str">
        <f aca="false">04_Monthly_2026_2028!D22</f>
        <v>공사</v>
      </c>
      <c r="C139" s="70" t="n">
        <f aca="false">04_Monthly_2026_2028!U22</f>
        <v>1893.33333333333</v>
      </c>
      <c r="D139" s="70" t="n">
        <f aca="false">04_Monthly_2026_2028!V22</f>
        <v>580</v>
      </c>
      <c r="E139" s="70" t="n">
        <f aca="false">04_Monthly_2026_2028!W22</f>
        <v>560</v>
      </c>
      <c r="F139" s="70" t="n">
        <f aca="false">04_Monthly_2026_2028!X22</f>
        <v>300</v>
      </c>
      <c r="G139" s="70" t="n">
        <f aca="false">04_Monthly_2026_2028!Y22</f>
        <v>3333.33333333333</v>
      </c>
      <c r="H139" s="70" t="n">
        <f aca="false">04_Monthly_2026_2028!T22</f>
        <v>2183.33333333333</v>
      </c>
      <c r="I139" s="70" t="n">
        <f aca="false">04_Monthly_2026_2028!AO22</f>
        <v>-1150</v>
      </c>
      <c r="J139" s="57" t="str">
        <f aca="false">04_Monthly_2026_2028!O22</f>
        <v>미확인</v>
      </c>
      <c r="K139" s="60" t="str">
        <f aca="false">04_Monthly_2026_2028!S22</f>
        <v>미확인</v>
      </c>
      <c r="L139" s="50" t="n">
        <f aca="false">04_Monthly_2026_2028!AB22</f>
        <v>247.333333333333</v>
      </c>
      <c r="M139" s="76" t="n">
        <f aca="false">04_Monthly_2026_2028!AD22+04_Monthly_2026_2028!AE22</f>
        <v>6</v>
      </c>
      <c r="N139" s="73" t="str">
        <f aca="false">04_Monthly_2026_2028!BD22</f>
        <v>보류 (생산 조건 미확인)</v>
      </c>
    </row>
    <row r="140" customFormat="false" ht="26.85" hidden="false" customHeight="false" outlineLevel="0" collapsed="false">
      <c r="A140" s="77" t="n">
        <f aca="false">04_Monthly_2026_2028!A23</f>
        <v>46539</v>
      </c>
      <c r="B140" s="73" t="str">
        <f aca="false">04_Monthly_2026_2028!D23</f>
        <v>시운전</v>
      </c>
      <c r="C140" s="70" t="n">
        <f aca="false">04_Monthly_2026_2028!U23</f>
        <v>1893.33333333333</v>
      </c>
      <c r="D140" s="70" t="n">
        <f aca="false">04_Monthly_2026_2028!V23</f>
        <v>580</v>
      </c>
      <c r="E140" s="70" t="n">
        <f aca="false">04_Monthly_2026_2028!W23</f>
        <v>560</v>
      </c>
      <c r="F140" s="70" t="n">
        <f aca="false">04_Monthly_2026_2028!X23</f>
        <v>300</v>
      </c>
      <c r="G140" s="70" t="n">
        <f aca="false">04_Monthly_2026_2028!Y23</f>
        <v>3333.33333333333</v>
      </c>
      <c r="H140" s="70" t="n">
        <f aca="false">04_Monthly_2026_2028!T23</f>
        <v>2183.33333333333</v>
      </c>
      <c r="I140" s="70" t="n">
        <f aca="false">04_Monthly_2026_2028!AO23</f>
        <v>-1150</v>
      </c>
      <c r="J140" s="57" t="str">
        <f aca="false">04_Monthly_2026_2028!O23</f>
        <v>미확인</v>
      </c>
      <c r="K140" s="60" t="str">
        <f aca="false">04_Monthly_2026_2028!S23</f>
        <v>미확인</v>
      </c>
      <c r="L140" s="50" t="n">
        <f aca="false">04_Monthly_2026_2028!AB23</f>
        <v>247.333333333333</v>
      </c>
      <c r="M140" s="76" t="n">
        <f aca="false">04_Monthly_2026_2028!AD23+04_Monthly_2026_2028!AE23</f>
        <v>6</v>
      </c>
      <c r="N140" s="73" t="str">
        <f aca="false">04_Monthly_2026_2028!BD23</f>
        <v>보류 (생산 조건 미확인)</v>
      </c>
    </row>
    <row r="141" customFormat="false" ht="26.85" hidden="false" customHeight="false" outlineLevel="0" collapsed="false">
      <c r="A141" s="77" t="n">
        <f aca="false">04_Monthly_2026_2028!A24</f>
        <v>46569</v>
      </c>
      <c r="B141" s="73" t="str">
        <f aca="false">04_Monthly_2026_2028!D24</f>
        <v>개선 (2대)</v>
      </c>
      <c r="C141" s="70" t="n">
        <f aca="false">04_Monthly_2026_2028!U24</f>
        <v>1893.33333333333</v>
      </c>
      <c r="D141" s="70" t="n">
        <f aca="false">04_Monthly_2026_2028!V24</f>
        <v>780</v>
      </c>
      <c r="E141" s="70" t="n">
        <f aca="false">04_Monthly_2026_2028!W24</f>
        <v>1120</v>
      </c>
      <c r="F141" s="70" t="n">
        <f aca="false">04_Monthly_2026_2028!X24</f>
        <v>300</v>
      </c>
      <c r="G141" s="70" t="n">
        <f aca="false">04_Monthly_2026_2028!Y24</f>
        <v>4093.33333333333</v>
      </c>
      <c r="H141" s="70" t="n">
        <f aca="false">04_Monthly_2026_2028!T24</f>
        <v>3933.33333333333</v>
      </c>
      <c r="I141" s="70" t="n">
        <f aca="false">04_Monthly_2026_2028!AO24</f>
        <v>-160</v>
      </c>
      <c r="J141" s="57" t="str">
        <f aca="false">04_Monthly_2026_2028!O24</f>
        <v>미확인</v>
      </c>
      <c r="K141" s="60" t="str">
        <f aca="false">04_Monthly_2026_2028!S24</f>
        <v>미확인</v>
      </c>
      <c r="L141" s="50" t="n">
        <f aca="false">04_Monthly_2026_2028!AB24</f>
        <v>267.333333333333</v>
      </c>
      <c r="M141" s="76" t="n">
        <f aca="false">04_Monthly_2026_2028!AD24+04_Monthly_2026_2028!AE24</f>
        <v>10</v>
      </c>
      <c r="N141" s="73" t="str">
        <f aca="false">04_Monthly_2026_2028!BD24</f>
        <v>보류 (생산 조건 미확인)</v>
      </c>
    </row>
    <row r="142" customFormat="false" ht="26.85" hidden="false" customHeight="false" outlineLevel="0" collapsed="false">
      <c r="A142" s="77" t="n">
        <f aca="false">04_Monthly_2026_2028!A25</f>
        <v>46600</v>
      </c>
      <c r="B142" s="73" t="str">
        <f aca="false">04_Monthly_2026_2028!D25</f>
        <v>개선 (2대)</v>
      </c>
      <c r="C142" s="70" t="n">
        <f aca="false">04_Monthly_2026_2028!U25</f>
        <v>1893.33333333333</v>
      </c>
      <c r="D142" s="70" t="n">
        <f aca="false">04_Monthly_2026_2028!V25</f>
        <v>780</v>
      </c>
      <c r="E142" s="70" t="n">
        <f aca="false">04_Monthly_2026_2028!W25</f>
        <v>1120</v>
      </c>
      <c r="F142" s="70" t="n">
        <f aca="false">04_Monthly_2026_2028!X25</f>
        <v>300</v>
      </c>
      <c r="G142" s="70" t="n">
        <f aca="false">04_Monthly_2026_2028!Y25</f>
        <v>4093.33333333333</v>
      </c>
      <c r="H142" s="70" t="n">
        <f aca="false">04_Monthly_2026_2028!T25</f>
        <v>3933.33333333333</v>
      </c>
      <c r="I142" s="70" t="n">
        <f aca="false">04_Monthly_2026_2028!AO25</f>
        <v>-160</v>
      </c>
      <c r="J142" s="57" t="str">
        <f aca="false">04_Monthly_2026_2028!O25</f>
        <v>미확인</v>
      </c>
      <c r="K142" s="60" t="str">
        <f aca="false">04_Monthly_2026_2028!S25</f>
        <v>미확인</v>
      </c>
      <c r="L142" s="50" t="n">
        <f aca="false">04_Monthly_2026_2028!AB25</f>
        <v>267.333333333333</v>
      </c>
      <c r="M142" s="76" t="n">
        <f aca="false">04_Monthly_2026_2028!AD25+04_Monthly_2026_2028!AE25</f>
        <v>10</v>
      </c>
      <c r="N142" s="73" t="str">
        <f aca="false">04_Monthly_2026_2028!BD25</f>
        <v>보류 (생산 조건 미확인)</v>
      </c>
    </row>
    <row r="143" customFormat="false" ht="26.85" hidden="false" customHeight="false" outlineLevel="0" collapsed="false">
      <c r="A143" s="77" t="n">
        <f aca="false">04_Monthly_2026_2028!A26</f>
        <v>46631</v>
      </c>
      <c r="B143" s="73" t="str">
        <f aca="false">04_Monthly_2026_2028!D26</f>
        <v>개선 (2대)</v>
      </c>
      <c r="C143" s="70" t="n">
        <f aca="false">04_Monthly_2026_2028!U26</f>
        <v>1893.33333333333</v>
      </c>
      <c r="D143" s="70" t="n">
        <f aca="false">04_Monthly_2026_2028!V26</f>
        <v>780</v>
      </c>
      <c r="E143" s="70" t="n">
        <f aca="false">04_Monthly_2026_2028!W26</f>
        <v>1120</v>
      </c>
      <c r="F143" s="70" t="n">
        <f aca="false">04_Monthly_2026_2028!X26</f>
        <v>300</v>
      </c>
      <c r="G143" s="70" t="n">
        <f aca="false">04_Monthly_2026_2028!Y26</f>
        <v>4093.33333333333</v>
      </c>
      <c r="H143" s="70" t="n">
        <f aca="false">04_Monthly_2026_2028!T26</f>
        <v>3933.33333333333</v>
      </c>
      <c r="I143" s="70" t="n">
        <f aca="false">04_Monthly_2026_2028!AO26</f>
        <v>-160</v>
      </c>
      <c r="J143" s="57" t="str">
        <f aca="false">04_Monthly_2026_2028!O26</f>
        <v>미확인</v>
      </c>
      <c r="K143" s="60" t="str">
        <f aca="false">04_Monthly_2026_2028!S26</f>
        <v>미확인</v>
      </c>
      <c r="L143" s="50" t="n">
        <f aca="false">04_Monthly_2026_2028!AB26</f>
        <v>267.333333333333</v>
      </c>
      <c r="M143" s="76" t="n">
        <f aca="false">04_Monthly_2026_2028!AD26+04_Monthly_2026_2028!AE26</f>
        <v>10</v>
      </c>
      <c r="N143" s="73" t="str">
        <f aca="false">04_Monthly_2026_2028!BD26</f>
        <v>보류 (생산 조건 미확인)</v>
      </c>
    </row>
    <row r="144" customFormat="false" ht="26.85" hidden="false" customHeight="false" outlineLevel="0" collapsed="false">
      <c r="A144" s="77" t="n">
        <f aca="false">04_Monthly_2026_2028!A27</f>
        <v>46661</v>
      </c>
      <c r="B144" s="73" t="str">
        <f aca="false">04_Monthly_2026_2028!D27</f>
        <v>개선 (2대)</v>
      </c>
      <c r="C144" s="70" t="n">
        <f aca="false">04_Monthly_2026_2028!U27</f>
        <v>1893.33333333333</v>
      </c>
      <c r="D144" s="70" t="n">
        <f aca="false">04_Monthly_2026_2028!V27</f>
        <v>780</v>
      </c>
      <c r="E144" s="70" t="n">
        <f aca="false">04_Monthly_2026_2028!W27</f>
        <v>1120</v>
      </c>
      <c r="F144" s="70" t="n">
        <f aca="false">04_Monthly_2026_2028!X27</f>
        <v>300</v>
      </c>
      <c r="G144" s="70" t="n">
        <f aca="false">04_Monthly_2026_2028!Y27</f>
        <v>4093.33333333333</v>
      </c>
      <c r="H144" s="70" t="n">
        <f aca="false">04_Monthly_2026_2028!T27</f>
        <v>3933.33333333333</v>
      </c>
      <c r="I144" s="70" t="n">
        <f aca="false">04_Monthly_2026_2028!AO27</f>
        <v>-160</v>
      </c>
      <c r="J144" s="57" t="str">
        <f aca="false">04_Monthly_2026_2028!O27</f>
        <v>미확인</v>
      </c>
      <c r="K144" s="60" t="str">
        <f aca="false">04_Monthly_2026_2028!S27</f>
        <v>미확인</v>
      </c>
      <c r="L144" s="50" t="n">
        <f aca="false">04_Monthly_2026_2028!AB27</f>
        <v>267.333333333333</v>
      </c>
      <c r="M144" s="76" t="n">
        <f aca="false">04_Monthly_2026_2028!AD27+04_Monthly_2026_2028!AE27</f>
        <v>10</v>
      </c>
      <c r="N144" s="73" t="str">
        <f aca="false">04_Monthly_2026_2028!BD27</f>
        <v>보류 (생산 조건 미확인)</v>
      </c>
    </row>
    <row r="145" customFormat="false" ht="26.85" hidden="false" customHeight="false" outlineLevel="0" collapsed="false">
      <c r="A145" s="77" t="n">
        <f aca="false">04_Monthly_2026_2028!A28</f>
        <v>46692</v>
      </c>
      <c r="B145" s="73" t="str">
        <f aca="false">04_Monthly_2026_2028!D28</f>
        <v>개선 (2대)</v>
      </c>
      <c r="C145" s="70" t="n">
        <f aca="false">04_Monthly_2026_2028!U28</f>
        <v>1893.33333333333</v>
      </c>
      <c r="D145" s="70" t="n">
        <f aca="false">04_Monthly_2026_2028!V28</f>
        <v>780</v>
      </c>
      <c r="E145" s="70" t="n">
        <f aca="false">04_Monthly_2026_2028!W28</f>
        <v>1120</v>
      </c>
      <c r="F145" s="70" t="n">
        <f aca="false">04_Monthly_2026_2028!X28</f>
        <v>300</v>
      </c>
      <c r="G145" s="70" t="n">
        <f aca="false">04_Monthly_2026_2028!Y28</f>
        <v>4093.33333333333</v>
      </c>
      <c r="H145" s="70" t="n">
        <f aca="false">04_Monthly_2026_2028!T28</f>
        <v>3933.33333333333</v>
      </c>
      <c r="I145" s="70" t="n">
        <f aca="false">04_Monthly_2026_2028!AO28</f>
        <v>-160</v>
      </c>
      <c r="J145" s="57" t="str">
        <f aca="false">04_Monthly_2026_2028!O28</f>
        <v>미확인</v>
      </c>
      <c r="K145" s="60" t="str">
        <f aca="false">04_Monthly_2026_2028!S28</f>
        <v>미확인</v>
      </c>
      <c r="L145" s="50" t="n">
        <f aca="false">04_Monthly_2026_2028!AB28</f>
        <v>267.333333333333</v>
      </c>
      <c r="M145" s="76" t="n">
        <f aca="false">04_Monthly_2026_2028!AD28+04_Monthly_2026_2028!AE28</f>
        <v>10</v>
      </c>
      <c r="N145" s="73" t="str">
        <f aca="false">04_Monthly_2026_2028!BD28</f>
        <v>보류 (생산 조건 미확인)</v>
      </c>
    </row>
    <row r="146" customFormat="false" ht="26.85" hidden="false" customHeight="false" outlineLevel="0" collapsed="false">
      <c r="A146" s="77" t="n">
        <f aca="false">04_Monthly_2026_2028!A29</f>
        <v>46722</v>
      </c>
      <c r="B146" s="73" t="str">
        <f aca="false">04_Monthly_2026_2028!D29</f>
        <v>개선 (2대)</v>
      </c>
      <c r="C146" s="70" t="n">
        <f aca="false">04_Monthly_2026_2028!U29</f>
        <v>1893.33333333333</v>
      </c>
      <c r="D146" s="70" t="n">
        <f aca="false">04_Monthly_2026_2028!V29</f>
        <v>780</v>
      </c>
      <c r="E146" s="70" t="n">
        <f aca="false">04_Monthly_2026_2028!W29</f>
        <v>1120</v>
      </c>
      <c r="F146" s="70" t="n">
        <f aca="false">04_Monthly_2026_2028!X29</f>
        <v>300</v>
      </c>
      <c r="G146" s="70" t="n">
        <f aca="false">04_Monthly_2026_2028!Y29</f>
        <v>4093.33333333333</v>
      </c>
      <c r="H146" s="70" t="n">
        <f aca="false">04_Monthly_2026_2028!T29</f>
        <v>3933.33333333333</v>
      </c>
      <c r="I146" s="70" t="n">
        <f aca="false">04_Monthly_2026_2028!AO29</f>
        <v>-160</v>
      </c>
      <c r="J146" s="57" t="str">
        <f aca="false">04_Monthly_2026_2028!O29</f>
        <v>미확인</v>
      </c>
      <c r="K146" s="60" t="str">
        <f aca="false">04_Monthly_2026_2028!S29</f>
        <v>미확인</v>
      </c>
      <c r="L146" s="50" t="n">
        <f aca="false">04_Monthly_2026_2028!AB29</f>
        <v>267.333333333333</v>
      </c>
      <c r="M146" s="76" t="n">
        <f aca="false">04_Monthly_2026_2028!AD29+04_Monthly_2026_2028!AE29</f>
        <v>10</v>
      </c>
      <c r="N146" s="73" t="str">
        <f aca="false">04_Monthly_2026_2028!BD29</f>
        <v>보류 (생산 조건 미확인)</v>
      </c>
    </row>
    <row r="147" customFormat="false" ht="26.85" hidden="false" customHeight="false" outlineLevel="0" collapsed="false">
      <c r="A147" s="77" t="n">
        <f aca="false">04_Monthly_2026_2028!A30</f>
        <v>46753</v>
      </c>
      <c r="B147" s="73" t="str">
        <f aca="false">04_Monthly_2026_2028!D30</f>
        <v>개선 (2대)</v>
      </c>
      <c r="C147" s="70" t="n">
        <f aca="false">04_Monthly_2026_2028!U30</f>
        <v>1893.33333333333</v>
      </c>
      <c r="D147" s="70" t="n">
        <f aca="false">04_Monthly_2026_2028!V30</f>
        <v>780</v>
      </c>
      <c r="E147" s="70" t="n">
        <f aca="false">04_Monthly_2026_2028!W30</f>
        <v>1120</v>
      </c>
      <c r="F147" s="70" t="n">
        <f aca="false">04_Monthly_2026_2028!X30</f>
        <v>300</v>
      </c>
      <c r="G147" s="70" t="n">
        <f aca="false">04_Monthly_2026_2028!Y30</f>
        <v>4093.33333333333</v>
      </c>
      <c r="H147" s="70" t="n">
        <f aca="false">04_Monthly_2026_2028!T30</f>
        <v>3933.33333333333</v>
      </c>
      <c r="I147" s="70" t="n">
        <f aca="false">04_Monthly_2026_2028!AO30</f>
        <v>-160</v>
      </c>
      <c r="J147" s="57" t="str">
        <f aca="false">04_Monthly_2026_2028!O30</f>
        <v>미확인</v>
      </c>
      <c r="K147" s="60" t="str">
        <f aca="false">04_Monthly_2026_2028!S30</f>
        <v>미확인</v>
      </c>
      <c r="L147" s="50" t="n">
        <f aca="false">04_Monthly_2026_2028!AB30</f>
        <v>267.333333333333</v>
      </c>
      <c r="M147" s="76" t="n">
        <f aca="false">04_Monthly_2026_2028!AD30+04_Monthly_2026_2028!AE30</f>
        <v>10</v>
      </c>
      <c r="N147" s="73" t="str">
        <f aca="false">04_Monthly_2026_2028!BD30</f>
        <v>보류 (생산 조건 미확인)</v>
      </c>
    </row>
    <row r="148" customFormat="false" ht="26.85" hidden="false" customHeight="false" outlineLevel="0" collapsed="false">
      <c r="A148" s="77" t="n">
        <f aca="false">04_Monthly_2026_2028!A31</f>
        <v>46784</v>
      </c>
      <c r="B148" s="73" t="str">
        <f aca="false">04_Monthly_2026_2028!D31</f>
        <v>개선 (2대)</v>
      </c>
      <c r="C148" s="70" t="n">
        <f aca="false">04_Monthly_2026_2028!U31</f>
        <v>1893.33333333333</v>
      </c>
      <c r="D148" s="70" t="n">
        <f aca="false">04_Monthly_2026_2028!V31</f>
        <v>780</v>
      </c>
      <c r="E148" s="70" t="n">
        <f aca="false">04_Monthly_2026_2028!W31</f>
        <v>1120</v>
      </c>
      <c r="F148" s="70" t="n">
        <f aca="false">04_Monthly_2026_2028!X31</f>
        <v>300</v>
      </c>
      <c r="G148" s="70" t="n">
        <f aca="false">04_Monthly_2026_2028!Y31</f>
        <v>4093.33333333333</v>
      </c>
      <c r="H148" s="70" t="n">
        <f aca="false">04_Monthly_2026_2028!T31</f>
        <v>3933.33333333333</v>
      </c>
      <c r="I148" s="70" t="n">
        <f aca="false">04_Monthly_2026_2028!AO31</f>
        <v>-160</v>
      </c>
      <c r="J148" s="57" t="str">
        <f aca="false">04_Monthly_2026_2028!O31</f>
        <v>미확인</v>
      </c>
      <c r="K148" s="60" t="str">
        <f aca="false">04_Monthly_2026_2028!S31</f>
        <v>미확인</v>
      </c>
      <c r="L148" s="50" t="n">
        <f aca="false">04_Monthly_2026_2028!AB31</f>
        <v>267.333333333333</v>
      </c>
      <c r="M148" s="76" t="n">
        <f aca="false">04_Monthly_2026_2028!AD31+04_Monthly_2026_2028!AE31</f>
        <v>10</v>
      </c>
      <c r="N148" s="73" t="str">
        <f aca="false">04_Monthly_2026_2028!BD31</f>
        <v>보류 (생산 조건 미확인)</v>
      </c>
    </row>
    <row r="149" customFormat="false" ht="26.85" hidden="false" customHeight="false" outlineLevel="0" collapsed="false">
      <c r="A149" s="77" t="n">
        <f aca="false">04_Monthly_2026_2028!A32</f>
        <v>46813</v>
      </c>
      <c r="B149" s="73" t="str">
        <f aca="false">04_Monthly_2026_2028!D32</f>
        <v>개선 (2대)</v>
      </c>
      <c r="C149" s="70" t="n">
        <f aca="false">04_Monthly_2026_2028!U32</f>
        <v>1893.33333333333</v>
      </c>
      <c r="D149" s="70" t="n">
        <f aca="false">04_Monthly_2026_2028!V32</f>
        <v>780</v>
      </c>
      <c r="E149" s="70" t="n">
        <f aca="false">04_Monthly_2026_2028!W32</f>
        <v>1120</v>
      </c>
      <c r="F149" s="70" t="n">
        <f aca="false">04_Monthly_2026_2028!X32</f>
        <v>300</v>
      </c>
      <c r="G149" s="70" t="n">
        <f aca="false">04_Monthly_2026_2028!Y32</f>
        <v>4093.33333333333</v>
      </c>
      <c r="H149" s="70" t="n">
        <f aca="false">04_Monthly_2026_2028!T32</f>
        <v>3933.33333333333</v>
      </c>
      <c r="I149" s="70" t="n">
        <f aca="false">04_Monthly_2026_2028!AO32</f>
        <v>-160</v>
      </c>
      <c r="J149" s="57" t="str">
        <f aca="false">04_Monthly_2026_2028!O32</f>
        <v>미확인</v>
      </c>
      <c r="K149" s="60" t="str">
        <f aca="false">04_Monthly_2026_2028!S32</f>
        <v>미확인</v>
      </c>
      <c r="L149" s="50" t="n">
        <f aca="false">04_Monthly_2026_2028!AB32</f>
        <v>267.333333333333</v>
      </c>
      <c r="M149" s="76" t="n">
        <f aca="false">04_Monthly_2026_2028!AD32+04_Monthly_2026_2028!AE32</f>
        <v>10</v>
      </c>
      <c r="N149" s="73" t="str">
        <f aca="false">04_Monthly_2026_2028!BD32</f>
        <v>보류 (생산 조건 미확인)</v>
      </c>
    </row>
    <row r="150" customFormat="false" ht="26.85" hidden="false" customHeight="false" outlineLevel="0" collapsed="false">
      <c r="A150" s="77" t="n">
        <f aca="false">04_Monthly_2026_2028!A33</f>
        <v>46844</v>
      </c>
      <c r="B150" s="73" t="str">
        <f aca="false">04_Monthly_2026_2028!D33</f>
        <v>개선 (2대)</v>
      </c>
      <c r="C150" s="70" t="n">
        <f aca="false">04_Monthly_2026_2028!U33</f>
        <v>1893.33333333333</v>
      </c>
      <c r="D150" s="70" t="n">
        <f aca="false">04_Monthly_2026_2028!V33</f>
        <v>780</v>
      </c>
      <c r="E150" s="70" t="n">
        <f aca="false">04_Monthly_2026_2028!W33</f>
        <v>1120</v>
      </c>
      <c r="F150" s="70" t="n">
        <f aca="false">04_Monthly_2026_2028!X33</f>
        <v>300</v>
      </c>
      <c r="G150" s="70" t="n">
        <f aca="false">04_Monthly_2026_2028!Y33</f>
        <v>4093.33333333333</v>
      </c>
      <c r="H150" s="70" t="n">
        <f aca="false">04_Monthly_2026_2028!T33</f>
        <v>3933.33333333333</v>
      </c>
      <c r="I150" s="70" t="n">
        <f aca="false">04_Monthly_2026_2028!AO33</f>
        <v>-160</v>
      </c>
      <c r="J150" s="57" t="str">
        <f aca="false">04_Monthly_2026_2028!O33</f>
        <v>미확인</v>
      </c>
      <c r="K150" s="60" t="str">
        <f aca="false">04_Monthly_2026_2028!S33</f>
        <v>미확인</v>
      </c>
      <c r="L150" s="50" t="n">
        <f aca="false">04_Monthly_2026_2028!AB33</f>
        <v>267.333333333333</v>
      </c>
      <c r="M150" s="76" t="n">
        <f aca="false">04_Monthly_2026_2028!AD33+04_Monthly_2026_2028!AE33</f>
        <v>10</v>
      </c>
      <c r="N150" s="73" t="str">
        <f aca="false">04_Monthly_2026_2028!BD33</f>
        <v>보류 (생산 조건 미확인)</v>
      </c>
    </row>
    <row r="151" customFormat="false" ht="26.85" hidden="false" customHeight="false" outlineLevel="0" collapsed="false">
      <c r="A151" s="77" t="n">
        <f aca="false">04_Monthly_2026_2028!A34</f>
        <v>46874</v>
      </c>
      <c r="B151" s="73" t="str">
        <f aca="false">04_Monthly_2026_2028!D34</f>
        <v>개선 (2대)</v>
      </c>
      <c r="C151" s="70" t="n">
        <f aca="false">04_Monthly_2026_2028!U34</f>
        <v>1893.33333333333</v>
      </c>
      <c r="D151" s="70" t="n">
        <f aca="false">04_Monthly_2026_2028!V34</f>
        <v>780</v>
      </c>
      <c r="E151" s="70" t="n">
        <f aca="false">04_Monthly_2026_2028!W34</f>
        <v>1120</v>
      </c>
      <c r="F151" s="70" t="n">
        <f aca="false">04_Monthly_2026_2028!X34</f>
        <v>300</v>
      </c>
      <c r="G151" s="70" t="n">
        <f aca="false">04_Monthly_2026_2028!Y34</f>
        <v>4093.33333333333</v>
      </c>
      <c r="H151" s="70" t="n">
        <f aca="false">04_Monthly_2026_2028!T34</f>
        <v>3933.33333333333</v>
      </c>
      <c r="I151" s="70" t="n">
        <f aca="false">04_Monthly_2026_2028!AO34</f>
        <v>-160</v>
      </c>
      <c r="J151" s="57" t="str">
        <f aca="false">04_Monthly_2026_2028!O34</f>
        <v>미확인</v>
      </c>
      <c r="K151" s="60" t="str">
        <f aca="false">04_Monthly_2026_2028!S34</f>
        <v>미확인</v>
      </c>
      <c r="L151" s="50" t="n">
        <f aca="false">04_Monthly_2026_2028!AB34</f>
        <v>267.333333333333</v>
      </c>
      <c r="M151" s="76" t="n">
        <f aca="false">04_Monthly_2026_2028!AD34+04_Monthly_2026_2028!AE34</f>
        <v>10</v>
      </c>
      <c r="N151" s="73" t="str">
        <f aca="false">04_Monthly_2026_2028!BD34</f>
        <v>보류 (생산 조건 미확인)</v>
      </c>
    </row>
    <row r="152" customFormat="false" ht="26.85" hidden="false" customHeight="false" outlineLevel="0" collapsed="false">
      <c r="A152" s="77" t="n">
        <f aca="false">04_Monthly_2026_2028!A35</f>
        <v>46905</v>
      </c>
      <c r="B152" s="73" t="str">
        <f aca="false">04_Monthly_2026_2028!D35</f>
        <v>개선 (2대)</v>
      </c>
      <c r="C152" s="70" t="n">
        <f aca="false">04_Monthly_2026_2028!U35</f>
        <v>1893.33333333333</v>
      </c>
      <c r="D152" s="70" t="n">
        <f aca="false">04_Monthly_2026_2028!V35</f>
        <v>780</v>
      </c>
      <c r="E152" s="70" t="n">
        <f aca="false">04_Monthly_2026_2028!W35</f>
        <v>1120</v>
      </c>
      <c r="F152" s="70" t="n">
        <f aca="false">04_Monthly_2026_2028!X35</f>
        <v>300</v>
      </c>
      <c r="G152" s="70" t="n">
        <f aca="false">04_Monthly_2026_2028!Y35</f>
        <v>4093.33333333333</v>
      </c>
      <c r="H152" s="70" t="n">
        <f aca="false">04_Monthly_2026_2028!T35</f>
        <v>3933.33333333333</v>
      </c>
      <c r="I152" s="70" t="n">
        <f aca="false">04_Monthly_2026_2028!AO35</f>
        <v>-160</v>
      </c>
      <c r="J152" s="57" t="str">
        <f aca="false">04_Monthly_2026_2028!O35</f>
        <v>미확인</v>
      </c>
      <c r="K152" s="60" t="str">
        <f aca="false">04_Monthly_2026_2028!S35</f>
        <v>미확인</v>
      </c>
      <c r="L152" s="50" t="n">
        <f aca="false">04_Monthly_2026_2028!AB35</f>
        <v>267.333333333333</v>
      </c>
      <c r="M152" s="76" t="n">
        <f aca="false">04_Monthly_2026_2028!AD35+04_Monthly_2026_2028!AE35</f>
        <v>10</v>
      </c>
      <c r="N152" s="73" t="str">
        <f aca="false">04_Monthly_2026_2028!BD35</f>
        <v>보류 (생산 조건 미확인)</v>
      </c>
    </row>
    <row r="153" customFormat="false" ht="26.85" hidden="false" customHeight="false" outlineLevel="0" collapsed="false">
      <c r="A153" s="77" t="n">
        <f aca="false">04_Monthly_2026_2028!A36</f>
        <v>46935</v>
      </c>
      <c r="B153" s="73" t="str">
        <f aca="false">04_Monthly_2026_2028!D36</f>
        <v>개선 (2대)</v>
      </c>
      <c r="C153" s="70" t="n">
        <f aca="false">04_Monthly_2026_2028!U36</f>
        <v>1893.33333333333</v>
      </c>
      <c r="D153" s="70" t="n">
        <f aca="false">04_Monthly_2026_2028!V36</f>
        <v>780</v>
      </c>
      <c r="E153" s="70" t="n">
        <f aca="false">04_Monthly_2026_2028!W36</f>
        <v>1120</v>
      </c>
      <c r="F153" s="70" t="n">
        <f aca="false">04_Monthly_2026_2028!X36</f>
        <v>300</v>
      </c>
      <c r="G153" s="70" t="n">
        <f aca="false">04_Monthly_2026_2028!Y36</f>
        <v>4093.33333333333</v>
      </c>
      <c r="H153" s="70" t="n">
        <f aca="false">04_Monthly_2026_2028!T36</f>
        <v>3933.33333333333</v>
      </c>
      <c r="I153" s="70" t="n">
        <f aca="false">04_Monthly_2026_2028!AO36</f>
        <v>-160</v>
      </c>
      <c r="J153" s="57" t="str">
        <f aca="false">04_Monthly_2026_2028!O36</f>
        <v>미확인</v>
      </c>
      <c r="K153" s="60" t="str">
        <f aca="false">04_Monthly_2026_2028!S36</f>
        <v>미확인</v>
      </c>
      <c r="L153" s="50" t="n">
        <f aca="false">04_Monthly_2026_2028!AB36</f>
        <v>267.333333333333</v>
      </c>
      <c r="M153" s="76" t="n">
        <f aca="false">04_Monthly_2026_2028!AD36+04_Monthly_2026_2028!AE36</f>
        <v>10</v>
      </c>
      <c r="N153" s="73" t="str">
        <f aca="false">04_Monthly_2026_2028!BD36</f>
        <v>보류 (생산 조건 미확인)</v>
      </c>
    </row>
    <row r="154" customFormat="false" ht="26.85" hidden="false" customHeight="false" outlineLevel="0" collapsed="false">
      <c r="A154" s="77" t="n">
        <f aca="false">04_Monthly_2026_2028!A37</f>
        <v>46966</v>
      </c>
      <c r="B154" s="73" t="str">
        <f aca="false">04_Monthly_2026_2028!D37</f>
        <v>개선 (2대)</v>
      </c>
      <c r="C154" s="70" t="n">
        <f aca="false">04_Monthly_2026_2028!U37</f>
        <v>1893.33333333333</v>
      </c>
      <c r="D154" s="70" t="n">
        <f aca="false">04_Monthly_2026_2028!V37</f>
        <v>780</v>
      </c>
      <c r="E154" s="70" t="n">
        <f aca="false">04_Monthly_2026_2028!W37</f>
        <v>1120</v>
      </c>
      <c r="F154" s="70" t="n">
        <f aca="false">04_Monthly_2026_2028!X37</f>
        <v>300</v>
      </c>
      <c r="G154" s="70" t="n">
        <f aca="false">04_Monthly_2026_2028!Y37</f>
        <v>4093.33333333333</v>
      </c>
      <c r="H154" s="70" t="n">
        <f aca="false">04_Monthly_2026_2028!T37</f>
        <v>3933.33333333333</v>
      </c>
      <c r="I154" s="70" t="n">
        <f aca="false">04_Monthly_2026_2028!AO37</f>
        <v>-160</v>
      </c>
      <c r="J154" s="57" t="str">
        <f aca="false">04_Monthly_2026_2028!O37</f>
        <v>미확인</v>
      </c>
      <c r="K154" s="60" t="str">
        <f aca="false">04_Monthly_2026_2028!S37</f>
        <v>미확인</v>
      </c>
      <c r="L154" s="50" t="n">
        <f aca="false">04_Monthly_2026_2028!AB37</f>
        <v>267.333333333333</v>
      </c>
      <c r="M154" s="76" t="n">
        <f aca="false">04_Monthly_2026_2028!AD37+04_Monthly_2026_2028!AE37</f>
        <v>10</v>
      </c>
      <c r="N154" s="73" t="str">
        <f aca="false">04_Monthly_2026_2028!BD37</f>
        <v>보류 (생산 조건 미확인)</v>
      </c>
    </row>
    <row r="155" customFormat="false" ht="26.85" hidden="false" customHeight="false" outlineLevel="0" collapsed="false">
      <c r="A155" s="77" t="n">
        <f aca="false">04_Monthly_2026_2028!A38</f>
        <v>46997</v>
      </c>
      <c r="B155" s="73" t="str">
        <f aca="false">04_Monthly_2026_2028!D38</f>
        <v>개선 (2대)</v>
      </c>
      <c r="C155" s="70" t="n">
        <f aca="false">04_Monthly_2026_2028!U38</f>
        <v>1893.33333333333</v>
      </c>
      <c r="D155" s="70" t="n">
        <f aca="false">04_Monthly_2026_2028!V38</f>
        <v>780</v>
      </c>
      <c r="E155" s="70" t="n">
        <f aca="false">04_Monthly_2026_2028!W38</f>
        <v>1120</v>
      </c>
      <c r="F155" s="70" t="n">
        <f aca="false">04_Monthly_2026_2028!X38</f>
        <v>300</v>
      </c>
      <c r="G155" s="70" t="n">
        <f aca="false">04_Monthly_2026_2028!Y38</f>
        <v>4093.33333333333</v>
      </c>
      <c r="H155" s="70" t="n">
        <f aca="false">04_Monthly_2026_2028!T38</f>
        <v>3933.33333333333</v>
      </c>
      <c r="I155" s="70" t="n">
        <f aca="false">04_Monthly_2026_2028!AO38</f>
        <v>-160</v>
      </c>
      <c r="J155" s="57" t="str">
        <f aca="false">04_Monthly_2026_2028!O38</f>
        <v>미확인</v>
      </c>
      <c r="K155" s="60" t="str">
        <f aca="false">04_Monthly_2026_2028!S38</f>
        <v>미확인</v>
      </c>
      <c r="L155" s="50" t="n">
        <f aca="false">04_Monthly_2026_2028!AB38</f>
        <v>267.333333333333</v>
      </c>
      <c r="M155" s="76" t="n">
        <f aca="false">04_Monthly_2026_2028!AD38+04_Monthly_2026_2028!AE38</f>
        <v>10</v>
      </c>
      <c r="N155" s="73" t="str">
        <f aca="false">04_Monthly_2026_2028!BD38</f>
        <v>보류 (생산 조건 미확인)</v>
      </c>
    </row>
    <row r="156" customFormat="false" ht="26.85" hidden="false" customHeight="false" outlineLevel="0" collapsed="false">
      <c r="A156" s="77" t="n">
        <f aca="false">04_Monthly_2026_2028!A39</f>
        <v>47027</v>
      </c>
      <c r="B156" s="73" t="str">
        <f aca="false">04_Monthly_2026_2028!D39</f>
        <v>개선 (2대)</v>
      </c>
      <c r="C156" s="70" t="n">
        <f aca="false">04_Monthly_2026_2028!U39</f>
        <v>1893.33333333333</v>
      </c>
      <c r="D156" s="70" t="n">
        <f aca="false">04_Monthly_2026_2028!V39</f>
        <v>780</v>
      </c>
      <c r="E156" s="70" t="n">
        <f aca="false">04_Monthly_2026_2028!W39</f>
        <v>1120</v>
      </c>
      <c r="F156" s="70" t="n">
        <f aca="false">04_Monthly_2026_2028!X39</f>
        <v>300</v>
      </c>
      <c r="G156" s="70" t="n">
        <f aca="false">04_Monthly_2026_2028!Y39</f>
        <v>4093.33333333333</v>
      </c>
      <c r="H156" s="70" t="n">
        <f aca="false">04_Monthly_2026_2028!T39</f>
        <v>3933.33333333333</v>
      </c>
      <c r="I156" s="70" t="n">
        <f aca="false">04_Monthly_2026_2028!AO39</f>
        <v>-160</v>
      </c>
      <c r="J156" s="57" t="str">
        <f aca="false">04_Monthly_2026_2028!O39</f>
        <v>미확인</v>
      </c>
      <c r="K156" s="60" t="str">
        <f aca="false">04_Monthly_2026_2028!S39</f>
        <v>미확인</v>
      </c>
      <c r="L156" s="50" t="n">
        <f aca="false">04_Monthly_2026_2028!AB39</f>
        <v>267.333333333333</v>
      </c>
      <c r="M156" s="76" t="n">
        <f aca="false">04_Monthly_2026_2028!AD39+04_Monthly_2026_2028!AE39</f>
        <v>10</v>
      </c>
      <c r="N156" s="73" t="str">
        <f aca="false">04_Monthly_2026_2028!BD39</f>
        <v>보류 (생산 조건 미확인)</v>
      </c>
    </row>
    <row r="157" customFormat="false" ht="26.85" hidden="false" customHeight="false" outlineLevel="0" collapsed="false">
      <c r="A157" s="77" t="n">
        <f aca="false">04_Monthly_2026_2028!A40</f>
        <v>47058</v>
      </c>
      <c r="B157" s="73" t="str">
        <f aca="false">04_Monthly_2026_2028!D40</f>
        <v>개선 (2대)</v>
      </c>
      <c r="C157" s="70" t="n">
        <f aca="false">04_Monthly_2026_2028!U40</f>
        <v>1893.33333333333</v>
      </c>
      <c r="D157" s="70" t="n">
        <f aca="false">04_Monthly_2026_2028!V40</f>
        <v>780</v>
      </c>
      <c r="E157" s="70" t="n">
        <f aca="false">04_Monthly_2026_2028!W40</f>
        <v>1120</v>
      </c>
      <c r="F157" s="70" t="n">
        <f aca="false">04_Monthly_2026_2028!X40</f>
        <v>300</v>
      </c>
      <c r="G157" s="70" t="n">
        <f aca="false">04_Monthly_2026_2028!Y40</f>
        <v>4093.33333333333</v>
      </c>
      <c r="H157" s="70" t="n">
        <f aca="false">04_Monthly_2026_2028!T40</f>
        <v>3933.33333333333</v>
      </c>
      <c r="I157" s="70" t="n">
        <f aca="false">04_Monthly_2026_2028!AO40</f>
        <v>-160</v>
      </c>
      <c r="J157" s="57" t="str">
        <f aca="false">04_Monthly_2026_2028!O40</f>
        <v>미확인</v>
      </c>
      <c r="K157" s="60" t="str">
        <f aca="false">04_Monthly_2026_2028!S40</f>
        <v>미확인</v>
      </c>
      <c r="L157" s="50" t="n">
        <f aca="false">04_Monthly_2026_2028!AB40</f>
        <v>267.333333333333</v>
      </c>
      <c r="M157" s="76" t="n">
        <f aca="false">04_Monthly_2026_2028!AD40+04_Monthly_2026_2028!AE40</f>
        <v>10</v>
      </c>
      <c r="N157" s="73" t="str">
        <f aca="false">04_Monthly_2026_2028!BD40</f>
        <v>보류 (생산 조건 미확인)</v>
      </c>
    </row>
    <row r="158" customFormat="false" ht="26.85" hidden="false" customHeight="false" outlineLevel="0" collapsed="false">
      <c r="A158" s="77" t="n">
        <f aca="false">04_Monthly_2026_2028!A41</f>
        <v>47088</v>
      </c>
      <c r="B158" s="73" t="str">
        <f aca="false">04_Monthly_2026_2028!D41</f>
        <v>개선 (2대)</v>
      </c>
      <c r="C158" s="70" t="n">
        <f aca="false">04_Monthly_2026_2028!U41</f>
        <v>1893.33333333333</v>
      </c>
      <c r="D158" s="70" t="n">
        <f aca="false">04_Monthly_2026_2028!V41</f>
        <v>780</v>
      </c>
      <c r="E158" s="70" t="n">
        <f aca="false">04_Monthly_2026_2028!W41</f>
        <v>1120</v>
      </c>
      <c r="F158" s="70" t="n">
        <f aca="false">04_Monthly_2026_2028!X41</f>
        <v>300</v>
      </c>
      <c r="G158" s="70" t="n">
        <f aca="false">04_Monthly_2026_2028!Y41</f>
        <v>4093.33333333333</v>
      </c>
      <c r="H158" s="70" t="n">
        <f aca="false">04_Monthly_2026_2028!T41</f>
        <v>3933.33333333333</v>
      </c>
      <c r="I158" s="70" t="n">
        <f aca="false">04_Monthly_2026_2028!AO41</f>
        <v>-160</v>
      </c>
      <c r="J158" s="57" t="str">
        <f aca="false">04_Monthly_2026_2028!O41</f>
        <v>미확인</v>
      </c>
      <c r="K158" s="60" t="str">
        <f aca="false">04_Monthly_2026_2028!S41</f>
        <v>미확인</v>
      </c>
      <c r="L158" s="50" t="n">
        <f aca="false">04_Monthly_2026_2028!AB41</f>
        <v>267.333333333333</v>
      </c>
      <c r="M158" s="76" t="n">
        <f aca="false">04_Monthly_2026_2028!AD41+04_Monthly_2026_2028!AE41</f>
        <v>10</v>
      </c>
      <c r="N158" s="73" t="str">
        <f aca="false">04_Monthly_2026_2028!BD41</f>
        <v>보류 (생산 조건 미확인)</v>
      </c>
    </row>
    <row r="160" customFormat="false" ht="15" hidden="false" customHeight="false" outlineLevel="0" collapsed="false">
      <c r="A160" s="72" t="s">
        <v>1011</v>
      </c>
    </row>
    <row r="161" customFormat="false" ht="30" hidden="false" customHeight="true" outlineLevel="0" collapsed="false">
      <c r="A161" s="11" t="s">
        <v>260</v>
      </c>
      <c r="B161" s="11" t="s">
        <v>1012</v>
      </c>
    </row>
    <row r="162" customFormat="false" ht="15" hidden="false" customHeight="false" outlineLevel="0" collapsed="false">
      <c r="A162" s="9" t="s">
        <v>1013</v>
      </c>
      <c r="B162" s="57" t="n">
        <f aca="false">02_Batch_Raw!O71</f>
        <v>1</v>
      </c>
    </row>
    <row r="163" customFormat="false" ht="15" hidden="false" customHeight="false" outlineLevel="0" collapsed="false">
      <c r="A163" s="9" t="s">
        <v>1014</v>
      </c>
      <c r="B163" s="57" t="n">
        <f aca="false">02_Batch_Raw!P71</f>
        <v>11</v>
      </c>
    </row>
    <row r="164" customFormat="false" ht="15" hidden="false" customHeight="false" outlineLevel="0" collapsed="false">
      <c r="A164" s="9" t="s">
        <v>1015</v>
      </c>
      <c r="B164" s="57" t="n">
        <f aca="false">02_Batch_Raw!Q71</f>
        <v>39</v>
      </c>
    </row>
    <row r="165" customFormat="false" ht="15" hidden="false" customHeight="false" outlineLevel="0" collapsed="false">
      <c r="A165" s="9" t="s">
        <v>1016</v>
      </c>
      <c r="B165" s="57" t="n">
        <f aca="false">02_Batch_Raw!R71</f>
        <v>1</v>
      </c>
    </row>
    <row r="166" customFormat="false" ht="15" hidden="false" customHeight="false" outlineLevel="0" collapsed="false">
      <c r="A166" s="9" t="s">
        <v>1017</v>
      </c>
      <c r="B166" s="57" t="n">
        <f aca="false">02_Batch_Raw!S71</f>
        <v>1</v>
      </c>
    </row>
    <row r="168" customFormat="false" ht="15" hidden="false" customHeight="false" outlineLevel="0" collapsed="false">
      <c r="A168" s="72" t="s">
        <v>1018</v>
      </c>
    </row>
    <row r="169" customFormat="false" ht="30" hidden="false" customHeight="true" outlineLevel="0" collapsed="false">
      <c r="A169" s="11" t="s">
        <v>1019</v>
      </c>
      <c r="B169" s="11" t="s">
        <v>1020</v>
      </c>
      <c r="C169" s="11" t="s">
        <v>1021</v>
      </c>
    </row>
    <row r="170" customFormat="false" ht="26.85" hidden="false" customHeight="false" outlineLevel="0" collapsed="false">
      <c r="A170" s="13" t="s">
        <v>1022</v>
      </c>
      <c r="B170" s="13" t="s">
        <v>1023</v>
      </c>
      <c r="C170" s="13" t="s">
        <v>1024</v>
      </c>
    </row>
    <row r="171" customFormat="false" ht="26.85" hidden="false" customHeight="false" outlineLevel="0" collapsed="false">
      <c r="A171" s="13" t="s">
        <v>1025</v>
      </c>
      <c r="B171" s="13" t="s">
        <v>1023</v>
      </c>
      <c r="C171" s="13" t="s">
        <v>1026</v>
      </c>
    </row>
    <row r="172" customFormat="false" ht="26.85" hidden="false" customHeight="false" outlineLevel="0" collapsed="false">
      <c r="A172" s="13" t="s">
        <v>1027</v>
      </c>
      <c r="B172" s="13" t="s">
        <v>1028</v>
      </c>
      <c r="C172" s="9" t="s">
        <v>1029</v>
      </c>
    </row>
    <row r="173" customFormat="false" ht="15" hidden="false" customHeight="false" outlineLevel="0" collapsed="false">
      <c r="A173" s="13" t="s">
        <v>1030</v>
      </c>
      <c r="B173" s="13" t="s">
        <v>1031</v>
      </c>
      <c r="C173" s="9" t="s">
        <v>1032</v>
      </c>
    </row>
    <row r="174" customFormat="false" ht="15" hidden="false" customHeight="false" outlineLevel="0" collapsed="false">
      <c r="A174" s="9" t="s">
        <v>1033</v>
      </c>
      <c r="B174" s="13" t="s">
        <v>1034</v>
      </c>
      <c r="C174" s="13" t="s">
        <v>1035</v>
      </c>
    </row>
    <row r="175" customFormat="false" ht="15" hidden="false" customHeight="false" outlineLevel="0" collapsed="false">
      <c r="A175" s="13" t="s">
        <v>1036</v>
      </c>
      <c r="B175" s="13" t="s">
        <v>1023</v>
      </c>
      <c r="C175" s="9" t="s">
        <v>1037</v>
      </c>
    </row>
    <row r="176" customFormat="false" ht="15" hidden="false" customHeight="false" outlineLevel="0" collapsed="false">
      <c r="A176" s="13" t="s">
        <v>1038</v>
      </c>
      <c r="B176" s="13" t="s">
        <v>1039</v>
      </c>
      <c r="C176" s="13" t="s">
        <v>1040</v>
      </c>
    </row>
    <row r="177" customFormat="false" ht="15" hidden="false" customHeight="false" outlineLevel="0" collapsed="false">
      <c r="A177" s="13" t="s">
        <v>1041</v>
      </c>
      <c r="B177" s="13" t="s">
        <v>1028</v>
      </c>
      <c r="C177" s="9" t="s">
        <v>1042</v>
      </c>
    </row>
    <row r="178" customFormat="false" ht="26.85" hidden="false" customHeight="false" outlineLevel="0" collapsed="false">
      <c r="A178" s="13" t="s">
        <v>1043</v>
      </c>
      <c r="B178" s="13" t="s">
        <v>1023</v>
      </c>
      <c r="C178" s="9" t="s">
        <v>1044</v>
      </c>
    </row>
    <row r="179" customFormat="false" ht="15" hidden="false" customHeight="false" outlineLevel="0" collapsed="false">
      <c r="A179" s="13" t="s">
        <v>1045</v>
      </c>
      <c r="B179" s="13" t="s">
        <v>1046</v>
      </c>
      <c r="C179" s="13" t="s">
        <v>1047</v>
      </c>
    </row>
    <row r="180" customFormat="false" ht="15" hidden="false" customHeight="false" outlineLevel="0" collapsed="false">
      <c r="A180" s="9" t="s">
        <v>1048</v>
      </c>
      <c r="B180" s="13" t="s">
        <v>1049</v>
      </c>
      <c r="C180" s="13" t="s">
        <v>1004</v>
      </c>
    </row>
    <row r="181" customFormat="false" ht="15" hidden="false" customHeight="false" outlineLevel="0" collapsed="false">
      <c r="A181" s="9" t="s">
        <v>1050</v>
      </c>
      <c r="B181" s="13" t="s">
        <v>1051</v>
      </c>
      <c r="C181" s="9" t="s">
        <v>1052</v>
      </c>
    </row>
  </sheetData>
  <conditionalFormatting sqref="I123:I158">
    <cfRule type="cellIs" priority="2" operator="lessThan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2026-10-01T03:53:07Z</dcterms:created>
  <dc:creator>openpyxl</dc:creator>
  <dc:description/>
  <dc:language>en-US</dc:language>
  <cp:lastModifiedBy/>
  <dcterms:modified xsi:type="dcterms:W3CDTF">2026-10-01T03:53:10Z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