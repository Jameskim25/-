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Inputs" sheetId="1" state="visible" r:id="rId3"/>
    <sheet name="02_Batch_Raw" sheetId="2" state="visible" r:id="rId4"/>
    <sheet name="03_Capacity_Model" sheetId="3" state="visible" r:id="rId5"/>
    <sheet name="04_Monthly_2026_2027" sheetId="4" state="visible" r:id="rId6"/>
    <sheet name="05_Reflux_Scenarios" sheetId="5" state="visible" r:id="rId7"/>
    <sheet name="06_Report_Summary" sheetId="6" state="visible" r:id="rId8"/>
  </sheets>
  <definedNames>
    <definedName function="false" hidden="true" localSheetId="0" name="_xlnm._FilterDatabase" vbProcedure="false">01_Inputs!$A$5:$G$89</definedName>
    <definedName function="false" hidden="true" localSheetId="1" name="_xlnm._FilterDatabase" vbProcedure="false">02_Batch_Raw!$A$5:$Z$61</definedName>
    <definedName function="false" hidden="true" localSheetId="3" name="_xlnm._FilterDatabase" vbProcedure="false">04_Monthly_2026_2027!$A$5:$AV$29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<sst xmlns="http://schemas.openxmlformats.org/spreadsheetml/2006/main" count="1763" uniqueCount="944">
  <si>
    <r>
      <rPr>
        <b val="true"/>
        <sz val="14"/>
        <color rgb="FFEB002C"/>
        <rFont val="Arial"/>
        <family val="0"/>
        <charset val="1"/>
      </rPr>
      <t xml:space="preserve">01_Inputs | CpZr </t>
    </r>
    <r>
      <rPr>
        <b val="true"/>
        <sz val="14"/>
        <color rgb="FFEB002C"/>
        <rFont val="Noto Sans CJK SC"/>
        <family val="2"/>
      </rPr>
      <t xml:space="preserve">생산능력 계산 입력값</t>
    </r>
  </si>
  <si>
    <r>
      <rPr>
        <i val="true"/>
        <sz val="9"/>
        <color rgb="FF7F7F7F"/>
        <rFont val="Noto Sans CJK SC"/>
        <family val="2"/>
      </rPr>
      <t xml:space="preserve">입력값을 바꾸면 </t>
    </r>
    <r>
      <rPr>
        <i val="true"/>
        <sz val="9"/>
        <color rgb="FF7F7F7F"/>
        <rFont val="Arial"/>
        <family val="0"/>
        <charset val="1"/>
      </rPr>
      <t xml:space="preserve">03~06 </t>
    </r>
    <r>
      <rPr>
        <i val="true"/>
        <sz val="9"/>
        <color rgb="FF7F7F7F"/>
        <rFont val="Noto Sans CJK SC"/>
        <family val="2"/>
      </rPr>
      <t xml:space="preserve">시트가 자동 갱신됩니다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미확인 항목은 공란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노란 칸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으로 두고 확인 후 입력하세요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</si>
  <si>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  </t>
  </si>
  <si>
    <r>
      <rPr>
        <sz val="8"/>
        <color rgb="FF7F7F7F"/>
        <rFont val="Noto Sans CJK SC"/>
        <family val="2"/>
      </rPr>
      <t xml:space="preserve">입력값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제공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확정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계획</t>
    </r>
    <r>
      <rPr>
        <sz val="8"/>
        <color rgb="FF7F7F7F"/>
        <rFont val="Arial"/>
        <family val="0"/>
        <charset val="1"/>
      </rPr>
      <t xml:space="preserve">) — </t>
    </r>
    <r>
      <rPr>
        <sz val="8"/>
        <color rgb="FF7F7F7F"/>
        <rFont val="Noto Sans CJK SC"/>
        <family val="2"/>
      </rPr>
      <t xml:space="preserve">파란 글자</t>
    </r>
  </si>
  <si>
    <r>
      <rPr>
        <sz val="8"/>
        <color rgb="FF7F7F7F"/>
        <rFont val="Noto Sans CJK SC"/>
        <family val="2"/>
      </rPr>
      <t xml:space="preserve">미확인 입력란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공란 유지</t>
    </r>
    <r>
      <rPr>
        <sz val="8"/>
        <color rgb="FF7F7F7F"/>
        <rFont val="Arial"/>
        <family val="0"/>
        <charset val="1"/>
      </rPr>
      <t xml:space="preserve">, 0 </t>
    </r>
    <r>
      <rPr>
        <sz val="8"/>
        <color rgb="FF7F7F7F"/>
        <rFont val="Noto Sans CJK SC"/>
        <family val="2"/>
      </rPr>
      <t xml:space="preserve">치환 금지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</si>
  <si>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추정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시나리오 가정 입력</t>
    </r>
  </si>
  <si>
    <r>
      <rPr>
        <sz val="8"/>
        <color rgb="FF7F7F7F"/>
        <rFont val="Noto Sans CJK SC"/>
        <family val="2"/>
      </rPr>
      <t xml:space="preserve">검토안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미확정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</si>
  <si>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수식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검정</t>
    </r>
    <r>
      <rPr>
        <sz val="8"/>
        <color rgb="FF7F7F7F"/>
        <rFont val="Arial"/>
        <family val="0"/>
        <charset val="1"/>
      </rPr>
      <t xml:space="preserve">) / </t>
    </r>
    <r>
      <rPr>
        <sz val="8"/>
        <color rgb="FF7F7F7F"/>
        <rFont val="Noto Sans CJK SC"/>
        <family val="2"/>
      </rPr>
      <t xml:space="preserve">다른 시트 참조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초록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</si>
  <si>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핵심 결과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수식</t>
    </r>
    <r>
      <rPr>
        <sz val="8"/>
        <color rgb="FF7F7F7F"/>
        <rFont val="Arial"/>
        <family val="0"/>
        <charset val="1"/>
      </rPr>
      <t xml:space="preserve">)</t>
    </r>
  </si>
  <si>
    <t xml:space="preserve">항목</t>
  </si>
  <si>
    <t xml:space="preserve">값</t>
  </si>
  <si>
    <t xml:space="preserve">단위</t>
  </si>
  <si>
    <t xml:space="preserve">적용 범위</t>
  </si>
  <si>
    <t xml:space="preserve">구분</t>
  </si>
  <si>
    <t xml:space="preserve">출처</t>
  </si>
  <si>
    <t xml:space="preserve">비고</t>
  </si>
  <si>
    <r>
      <rPr>
        <b val="true"/>
        <sz val="9"/>
        <color rgb="FF000000"/>
        <rFont val="Arial"/>
        <family val="0"/>
        <charset val="1"/>
      </rPr>
      <t xml:space="preserve">A. </t>
    </r>
    <r>
      <rPr>
        <b val="true"/>
        <sz val="9"/>
        <color rgb="FF000000"/>
        <rFont val="Noto Sans CJK SC"/>
        <family val="2"/>
      </rPr>
      <t xml:space="preserve">설비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가동시간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정제기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</si>
  <si>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CpZr </t>
    </r>
    <r>
      <rPr>
        <sz val="9"/>
        <color rgb="FF000000"/>
        <rFont val="Noto Sans CJK SC"/>
        <family val="2"/>
      </rPr>
      <t xml:space="preserve">정제기 수</t>
    </r>
  </si>
  <si>
    <t xml:space="preserve">대</t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</si>
  <si>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·CXMT·</t>
    </r>
    <r>
      <rPr>
        <sz val="9"/>
        <color rgb="FF000000"/>
        <rFont val="Noto Sans CJK SC"/>
        <family val="2"/>
      </rPr>
      <t xml:space="preserve">이지켐 공동 사용</t>
    </r>
  </si>
  <si>
    <t xml:space="preserve">제공</t>
  </si>
  <si>
    <r>
      <rPr>
        <sz val="9"/>
        <color rgb="FF000000"/>
        <rFont val="Noto Sans CJK SC"/>
        <family val="2"/>
      </rPr>
      <t xml:space="preserve">사용자 제공 조건 </t>
    </r>
    <r>
      <rPr>
        <sz val="9"/>
        <color rgb="FF000000"/>
        <rFont val="Arial"/>
        <family val="0"/>
        <charset val="1"/>
      </rPr>
      <t xml:space="preserve">(2026-09-30 </t>
    </r>
    <r>
      <rPr>
        <sz val="9"/>
        <color rgb="FF000000"/>
        <rFont val="Noto Sans CJK SC"/>
        <family val="2"/>
      </rPr>
      <t xml:space="preserve">지시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</si>
  <si>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리플럭스 적용 후에도 동일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증설 아님</t>
    </r>
    <r>
      <rPr>
        <sz val="9"/>
        <color rgb="FF000000"/>
        <rFont val="Arial"/>
        <family val="0"/>
        <charset val="1"/>
      </rPr>
      <t xml:space="preserve">)</t>
    </r>
  </si>
  <si>
    <t xml:space="preserve">현재 정제온도</t>
  </si>
  <si>
    <t xml:space="preserve">℃</t>
  </si>
  <si>
    <t xml:space="preserve">현재 조건</t>
  </si>
  <si>
    <t xml:space="preserve">월 비교 기준 일수</t>
  </si>
  <si>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</si>
  <si>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t xml:space="preserve">정제기 월 비교 기준</t>
  </si>
  <si>
    <r>
      <rPr>
        <sz val="9"/>
        <color rgb="FF000000"/>
        <rFont val="Arial"/>
        <family val="0"/>
        <charset val="1"/>
      </rPr>
      <t xml:space="preserve">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×24</t>
    </r>
    <r>
      <rPr>
        <sz val="9"/>
        <color rgb="FF000000"/>
        <rFont val="Noto Sans CJK SC"/>
        <family val="2"/>
      </rPr>
      <t xml:space="preserve">시간</t>
    </r>
  </si>
  <si>
    <r>
      <rPr>
        <sz val="9"/>
        <color rgb="FF000000"/>
        <rFont val="Noto Sans CJK SC"/>
        <family val="2"/>
      </rPr>
      <t xml:space="preserve">월 비교 기준 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</si>
  <si>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월</t>
    </r>
  </si>
  <si>
    <t xml:space="preserve">정제기 전용 — 후공정 근무시간에 자동 적용하지 않음</t>
  </si>
  <si>
    <t xml:space="preserve">수식</t>
  </si>
  <si>
    <r>
      <rPr>
        <sz val="9"/>
        <color rgb="FF000000"/>
        <rFont val="Noto Sans CJK SC"/>
        <family val="2"/>
      </rPr>
      <t xml:space="preserve">연간 달력시간 </t>
    </r>
    <r>
      <rPr>
        <sz val="9"/>
        <color rgb="FF000000"/>
        <rFont val="Arial"/>
        <family val="0"/>
        <charset val="1"/>
      </rPr>
      <t xml:space="preserve">(365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</si>
  <si>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년</t>
    </r>
  </si>
  <si>
    <t xml:space="preserve">연간 연속 운전 환산</t>
  </si>
  <si>
    <r>
      <rPr>
        <sz val="9"/>
        <color rgb="FF000000"/>
        <rFont val="Noto Sans CJK SC"/>
        <family val="2"/>
      </rPr>
      <t xml:space="preserve">정지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보수 미반영 상한</t>
    </r>
  </si>
  <si>
    <r>
      <rPr>
        <sz val="9"/>
        <color rgb="FF000000"/>
        <rFont val="Noto Sans CJK SC"/>
        <family val="2"/>
      </rPr>
      <t xml:space="preserve">정제기 계획 정지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보수시간</t>
    </r>
  </si>
  <si>
    <r>
      <rPr>
        <sz val="9"/>
        <color rgb="FF000000"/>
        <rFont val="Noto Sans CJK SC"/>
        <family val="2"/>
      </rPr>
      <t xml:space="preserve">월별 입력은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</t>
    </r>
    <r>
      <rPr>
        <sz val="9"/>
        <color rgb="FF000000"/>
        <rFont val="Arial"/>
        <family val="0"/>
        <charset val="1"/>
      </rPr>
      <t xml:space="preserve">F</t>
    </r>
    <r>
      <rPr>
        <sz val="9"/>
        <color rgb="FF000000"/>
        <rFont val="Noto Sans CJK SC"/>
        <family val="2"/>
      </rPr>
      <t xml:space="preserve">열</t>
    </r>
  </si>
  <si>
    <t xml:space="preserve">미확인</t>
  </si>
  <si>
    <t xml:space="preserve">-</t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</si>
  <si>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시트에서 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정지 미반영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으로 표시</t>
    </r>
  </si>
  <si>
    <r>
      <rPr>
        <b val="true"/>
        <sz val="9"/>
        <color rgb="FF000000"/>
        <rFont val="Arial"/>
        <family val="0"/>
        <charset val="1"/>
      </rPr>
      <t xml:space="preserve">B. </t>
    </r>
    <r>
      <rPr>
        <b val="true"/>
        <sz val="9"/>
        <color rgb="FF000000"/>
        <rFont val="Noto Sans CJK SC"/>
        <family val="2"/>
      </rPr>
      <t xml:space="preserve">공정시간</t>
    </r>
  </si>
  <si>
    <r>
      <rPr>
        <sz val="9"/>
        <color rgb="FF000000"/>
        <rFont val="Arial"/>
        <family val="0"/>
        <charset val="1"/>
      </rPr>
      <t xml:space="preserve">IQC (</t>
    </r>
    <r>
      <rPr>
        <sz val="9"/>
        <color rgb="FF000000"/>
        <rFont val="Noto Sans CJK SC"/>
        <family val="2"/>
      </rPr>
      <t xml:space="preserve">수입검사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</si>
  <si>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회</t>
    </r>
  </si>
  <si>
    <r>
      <rPr>
        <sz val="9"/>
        <color rgb="FF000000"/>
        <rFont val="Noto Sans CJK SC"/>
        <family val="2"/>
      </rPr>
      <t xml:space="preserve">원료 </t>
    </r>
    <r>
      <rPr>
        <sz val="9"/>
        <color rgb="FF000000"/>
        <rFont val="Arial"/>
        <family val="0"/>
        <charset val="1"/>
      </rPr>
      <t xml:space="preserve">Lot</t>
    </r>
    <r>
      <rPr>
        <sz val="9"/>
        <color rgb="FF000000"/>
        <rFont val="Noto Sans CJK SC"/>
        <family val="2"/>
      </rPr>
      <t xml:space="preserve">당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여러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공통 적용 여부 미확인</t>
    </r>
    <r>
      <rPr>
        <sz val="9"/>
        <color rgb="FF000000"/>
        <rFont val="Arial"/>
        <family val="0"/>
        <charset val="1"/>
      </rPr>
      <t xml:space="preserve">)</t>
    </r>
  </si>
  <si>
    <t xml:space="preserve">NMR·ICP·IC</t>
  </si>
  <si>
    <r>
      <rPr>
        <sz val="9"/>
        <color rgb="FF000000"/>
        <rFont val="Arial"/>
        <family val="0"/>
        <charset val="1"/>
      </rPr>
      <t xml:space="preserve">IQC 1</t>
    </r>
    <r>
      <rPr>
        <sz val="9"/>
        <color rgb="FF000000"/>
        <rFont val="Noto Sans CJK SC"/>
        <family val="2"/>
      </rPr>
      <t xml:space="preserve">회당 적용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수</t>
    </r>
  </si>
  <si>
    <t xml:space="preserve">Batch/Lot</t>
  </si>
  <si>
    <r>
      <rPr>
        <sz val="9"/>
        <color rgb="FF000000"/>
        <rFont val="Noto Sans CJK SC"/>
        <family val="2"/>
      </rPr>
      <t xml:space="preserve">원료 </t>
    </r>
    <r>
      <rPr>
        <sz val="9"/>
        <color rgb="FF000000"/>
        <rFont val="Arial"/>
        <family val="0"/>
        <charset val="1"/>
      </rPr>
      <t xml:space="preserve">Lot ↔ Batch </t>
    </r>
    <r>
      <rPr>
        <sz val="9"/>
        <color rgb="FF000000"/>
        <rFont val="Noto Sans CJK SC"/>
        <family val="2"/>
      </rPr>
      <t xml:space="preserve">관계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</si>
  <si>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마다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상한</t>
    </r>
    <r>
      <rPr>
        <sz val="9"/>
        <color rgb="FF000000"/>
        <rFont val="Arial"/>
        <family val="0"/>
        <charset val="1"/>
      </rPr>
      <t xml:space="preserve">)</t>
    </r>
    <r>
      <rPr>
        <sz val="9"/>
        <color rgb="FF000000"/>
        <rFont val="Noto Sans CJK SC"/>
        <family val="2"/>
      </rPr>
      <t xml:space="preserve">로 작업량 계산</t>
    </r>
  </si>
  <si>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 </t>
    </r>
    <r>
      <rPr>
        <sz val="9"/>
        <color rgb="FF000000"/>
        <rFont val="Arial"/>
        <family val="0"/>
        <charset val="1"/>
      </rPr>
      <t xml:space="preserve">(Canister→</t>
    </r>
    <r>
      <rPr>
        <sz val="9"/>
        <color rgb="FF000000"/>
        <rFont val="Noto Sans CJK SC"/>
        <family val="2"/>
      </rPr>
      <t xml:space="preserve">정제기</t>
    </r>
    <r>
      <rPr>
        <sz val="9"/>
        <color rgb="FF000000"/>
        <rFont val="Arial"/>
        <family val="0"/>
        <charset val="1"/>
      </rPr>
      <t xml:space="preserve">)</t>
    </r>
  </si>
  <si>
    <t xml:space="preserve">h/Batch</t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</si>
  <si>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57 h </t>
    </r>
    <r>
      <rPr>
        <sz val="9"/>
        <color rgb="FF000000"/>
        <rFont val="Noto Sans CJK SC"/>
        <family val="2"/>
      </rPr>
      <t xml:space="preserve">포함 여부 확인</t>
    </r>
  </si>
  <si>
    <r>
      <rPr>
        <sz val="9"/>
        <color rgb="FF000000"/>
        <rFont val="Noto Sans CJK SC"/>
        <family val="2"/>
      </rPr>
      <t xml:space="preserve">정제시간에 포함되면 공란 유지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중복 가산 금지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</si>
  <si>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정제시간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103℃)</t>
    </r>
  </si>
  <si>
    <r>
      <rPr>
        <sz val="9"/>
        <color rgb="FF000000"/>
        <rFont val="Noto Sans CJK SC"/>
        <family val="2"/>
      </rPr>
      <t xml:space="preserve">정제기 점유 — 가열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냉각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배출 포함 범위 확인</t>
    </r>
  </si>
  <si>
    <t xml:space="preserve">포함된 시간은 다시 가산하지 않음</t>
  </si>
  <si>
    <r>
      <rPr>
        <sz val="9"/>
        <color rgb="FF000000"/>
        <rFont val="Arial"/>
        <family val="0"/>
        <charset val="1"/>
      </rPr>
      <t xml:space="preserve">PQC (</t>
    </r>
    <r>
      <rPr>
        <sz val="9"/>
        <color rgb="FF000000"/>
        <rFont val="Noto Sans CJK SC"/>
        <family val="2"/>
      </rPr>
      <t xml:space="preserve">공정검사</t>
    </r>
    <r>
      <rPr>
        <sz val="9"/>
        <color rgb="FF000000"/>
        <rFont val="Arial"/>
        <family val="0"/>
        <charset val="1"/>
      </rPr>
      <t xml:space="preserve">, NMR)</t>
    </r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</si>
  <si>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이송</t>
    </r>
  </si>
  <si>
    <r>
      <rPr>
        <sz val="9"/>
        <color rgb="FF000000"/>
        <rFont val="Arial"/>
        <family val="0"/>
        <charset val="1"/>
      </rPr>
      <t xml:space="preserve">FQC (</t>
    </r>
    <r>
      <rPr>
        <sz val="9"/>
        <color rgb="FF000000"/>
        <rFont val="Noto Sans CJK SC"/>
        <family val="2"/>
      </rPr>
      <t xml:space="preserve">제품검사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</si>
  <si>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검사시간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대기시간 제외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</si>
  <si>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NMR·ICP-MS·IC·</t>
    </r>
    <r>
      <rPr>
        <sz val="9"/>
        <color rgb="FF000000"/>
        <rFont val="Noto Sans CJK SC"/>
        <family val="2"/>
      </rPr>
      <t xml:space="preserve">점도</t>
    </r>
  </si>
  <si>
    <r>
      <rPr>
        <sz val="9"/>
        <color rgb="FF000000"/>
        <rFont val="Arial"/>
        <family val="0"/>
        <charset val="1"/>
      </rPr>
      <t xml:space="preserve">FQC </t>
    </r>
    <r>
      <rPr>
        <sz val="9"/>
        <color rgb="FF000000"/>
        <rFont val="Noto Sans CJK SC"/>
        <family val="2"/>
      </rPr>
      <t xml:space="preserve">검사 대기시간</t>
    </r>
  </si>
  <si>
    <t xml:space="preserve">검사시간과 구분</t>
  </si>
  <si>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고객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제품 전환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</si>
  <si>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글로브 박스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</si>
  <si>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</si>
  <si>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·CXMT, </t>
    </r>
    <r>
      <rPr>
        <sz val="9"/>
        <color rgb="FF000000"/>
        <rFont val="Noto Sans CJK SC"/>
        <family val="2"/>
      </rPr>
      <t xml:space="preserve">필터 포함</t>
    </r>
  </si>
  <si>
    <t xml:space="preserve">필터는 충진에 포함 — 별도 시간 가산 없음</t>
  </si>
  <si>
    <r>
      <rPr>
        <sz val="9"/>
        <color rgb="FF000000"/>
        <rFont val="Arial"/>
        <family val="0"/>
        <charset val="1"/>
      </rPr>
      <t xml:space="preserve">5 Gal Batch </t>
    </r>
    <r>
      <rPr>
        <sz val="9"/>
        <color rgb="FF000000"/>
        <rFont val="Noto Sans CJK SC"/>
        <family val="2"/>
      </rPr>
      <t xml:space="preserve">충진 병수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작업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</si>
  <si>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/Batch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</si>
  <si>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병 — 평균 충진 수량 여부 확인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</si>
  <si>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×20 kg = 160 kg (190 kg</t>
    </r>
    <r>
      <rPr>
        <sz val="9"/>
        <color rgb="FF000000"/>
        <rFont val="Noto Sans CJK SC"/>
        <family val="2"/>
      </rPr>
      <t xml:space="preserve">과 </t>
    </r>
    <r>
      <rPr>
        <sz val="9"/>
        <color rgb="FF000000"/>
        <rFont val="Arial"/>
        <family val="0"/>
        <charset val="1"/>
      </rPr>
      <t xml:space="preserve">30 kg </t>
    </r>
    <r>
      <rPr>
        <sz val="9"/>
        <color rgb="FF000000"/>
        <rFont val="Noto Sans CJK SC"/>
        <family val="2"/>
      </rPr>
      <t xml:space="preserve">차이 확인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</si>
  <si>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Batch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작업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</si>
  <si>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병 기준 — </t>
    </r>
    <r>
      <rPr>
        <sz val="9"/>
        <color rgb="FF000000"/>
        <rFont val="Arial"/>
        <family val="0"/>
        <charset val="1"/>
      </rPr>
      <t xml:space="preserve">190 kg </t>
    </r>
    <r>
      <rPr>
        <sz val="9"/>
        <color rgb="FF000000"/>
        <rFont val="Noto Sans CJK SC"/>
        <family val="2"/>
      </rPr>
      <t xml:space="preserve">전량 충진시간과 동일시하지 않음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</si>
  <si>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정합 확인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병수</t>
    </r>
    <r>
      <rPr>
        <sz val="9"/>
        <color rgb="FF000000"/>
        <rFont val="Arial"/>
        <family val="0"/>
        <charset val="1"/>
      </rPr>
      <t xml:space="preserve">×</t>
    </r>
    <r>
      <rPr>
        <sz val="9"/>
        <color rgb="FF000000"/>
        <rFont val="Noto Sans CJK SC"/>
        <family val="2"/>
      </rPr>
      <t xml:space="preserve">병당시간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</si>
  <si>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16 h</t>
    </r>
    <r>
      <rPr>
        <sz val="9"/>
        <color rgb="FF000000"/>
        <rFont val="Noto Sans CJK SC"/>
        <family val="2"/>
      </rPr>
      <t xml:space="preserve">와 일치 여부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</si>
  <si>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수동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필터 포함</t>
    </r>
    <r>
      <rPr>
        <sz val="9"/>
        <color rgb="FF000000"/>
        <rFont val="Arial"/>
        <family val="0"/>
        <charset val="1"/>
      </rPr>
      <t xml:space="preserve">)</t>
    </r>
  </si>
  <si>
    <t xml:space="preserve">h</t>
  </si>
  <si>
    <r>
      <rPr>
        <sz val="9"/>
        <color rgb="FF000000"/>
        <rFont val="Noto Sans CJK SC"/>
        <family val="2"/>
      </rPr>
      <t xml:space="preserve">용기당</t>
    </r>
    <r>
      <rPr>
        <sz val="9"/>
        <color rgb="FF000000"/>
        <rFont val="Arial"/>
        <family val="0"/>
        <charset val="1"/>
      </rPr>
      <t xml:space="preserve">/Batch</t>
    </r>
    <r>
      <rPr>
        <sz val="9"/>
        <color rgb="FF000000"/>
        <rFont val="Noto Sans CJK SC"/>
        <family val="2"/>
      </rPr>
      <t xml:space="preserve">당 적용 범위 미확인</t>
    </r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</si>
  <si>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, 140 kg/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</si>
  <si>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Arial"/>
        <family val="0"/>
        <charset val="1"/>
      </rPr>
      <t xml:space="preserve">200 L 8 h </t>
    </r>
    <r>
      <rPr>
        <sz val="9"/>
        <color rgb="FF000000"/>
        <rFont val="Noto Sans CJK SC"/>
        <family val="2"/>
      </rPr>
      <t xml:space="preserve">적용 단위 </t>
    </r>
    <r>
      <rPr>
        <sz val="9"/>
        <color rgb="FF000000"/>
        <rFont val="Arial"/>
        <family val="0"/>
        <charset val="1"/>
      </rPr>
      <t xml:space="preserve">(1=</t>
    </r>
    <r>
      <rPr>
        <sz val="9"/>
        <color rgb="FF000000"/>
        <rFont val="Noto Sans CJK SC"/>
        <family val="2"/>
      </rPr>
      <t xml:space="preserve">용기당</t>
    </r>
    <r>
      <rPr>
        <sz val="9"/>
        <color rgb="FF000000"/>
        <rFont val="Arial"/>
        <family val="0"/>
        <charset val="1"/>
      </rPr>
      <t xml:space="preserve">, 2=Batch</t>
    </r>
    <r>
      <rPr>
        <sz val="9"/>
        <color rgb="FF000000"/>
        <rFont val="Noto Sans CJK SC"/>
        <family val="2"/>
      </rPr>
      <t xml:space="preserve">당</t>
    </r>
    <r>
      <rPr>
        <sz val="9"/>
        <color rgb="FF000000"/>
        <rFont val="Arial"/>
        <family val="0"/>
        <charset val="1"/>
      </rPr>
      <t xml:space="preserve">)</t>
    </r>
  </si>
  <si>
    <t xml:space="preserve">선택</t>
  </si>
  <si>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작업시간 계산</t>
    </r>
  </si>
  <si>
    <t xml:space="preserve">추정</t>
  </si>
  <si>
    <t xml:space="preserve">보수적 가정</t>
  </si>
  <si>
    <r>
      <rPr>
        <sz val="9"/>
        <color rgb="FF000000"/>
        <rFont val="Noto Sans CJK SC"/>
        <family val="2"/>
      </rPr>
      <t xml:space="preserve">확인 후 </t>
    </r>
    <r>
      <rPr>
        <sz val="9"/>
        <color rgb="FF000000"/>
        <rFont val="Arial"/>
        <family val="0"/>
        <charset val="1"/>
      </rPr>
      <t xml:space="preserve">1 </t>
    </r>
    <r>
      <rPr>
        <sz val="9"/>
        <color rgb="FF000000"/>
        <rFont val="Noto Sans CJK SC"/>
        <family val="2"/>
      </rPr>
      <t xml:space="preserve">또는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로 수정</t>
    </r>
  </si>
  <si>
    <r>
      <rPr>
        <sz val="9"/>
        <color rgb="FF000000"/>
        <rFont val="Arial"/>
        <family val="0"/>
        <charset val="1"/>
      </rPr>
      <t xml:space="preserve">200 L ARS </t>
    </r>
    <r>
      <rPr>
        <sz val="9"/>
        <color rgb="FF000000"/>
        <rFont val="Noto Sans CJK SC"/>
        <family val="2"/>
      </rPr>
      <t xml:space="preserve">자동 충진시간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</si>
  <si>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</si>
  <si>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</t>
    </r>
    <r>
      <rPr>
        <sz val="9"/>
        <color rgb="FF000000"/>
        <rFont val="Arial"/>
        <family val="0"/>
        <charset val="1"/>
      </rPr>
      <t xml:space="preserve">~ </t>
    </r>
    <r>
      <rPr>
        <sz val="9"/>
        <color rgb="FF000000"/>
        <rFont val="Noto Sans CJK SC"/>
        <family val="2"/>
      </rPr>
      <t xml:space="preserve">이지켐</t>
    </r>
  </si>
  <si>
    <r>
      <rPr>
        <sz val="9"/>
        <color rgb="FF000000"/>
        <rFont val="Noto Sans CJK SC"/>
        <family val="2"/>
      </rPr>
      <t xml:space="preserve">미입력 시 수동 </t>
    </r>
    <r>
      <rPr>
        <sz val="9"/>
        <color rgb="FF000000"/>
        <rFont val="Arial"/>
        <family val="0"/>
        <charset val="1"/>
      </rPr>
      <t xml:space="preserve">8 h</t>
    </r>
    <r>
      <rPr>
        <sz val="9"/>
        <color rgb="FF000000"/>
        <rFont val="Noto Sans CJK SC"/>
        <family val="2"/>
      </rPr>
      <t xml:space="preserve">를 참고값으로 사용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표시</t>
    </r>
  </si>
  <si>
    <r>
      <rPr>
        <sz val="9"/>
        <color rgb="FF000000"/>
        <rFont val="Arial"/>
        <family val="0"/>
        <charset val="1"/>
      </rPr>
      <t xml:space="preserve">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</si>
  <si>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Lot</t>
    </r>
    <r>
      <rPr>
        <sz val="9"/>
        <color rgb="FF000000"/>
        <rFont val="Noto Sans CJK SC"/>
        <family val="2"/>
      </rPr>
      <t xml:space="preserve">당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적용 단위 미확인</t>
    </r>
    <r>
      <rPr>
        <sz val="9"/>
        <color rgb="FF000000"/>
        <rFont val="Arial"/>
        <family val="0"/>
        <charset val="1"/>
      </rPr>
      <t xml:space="preserve">) — </t>
    </r>
    <r>
      <rPr>
        <sz val="9"/>
        <color rgb="FF000000"/>
        <rFont val="Noto Sans CJK SC"/>
        <family val="2"/>
      </rPr>
      <t xml:space="preserve">물류 운송시간 제외</t>
    </r>
  </si>
  <si>
    <r>
      <rPr>
        <b val="true"/>
        <sz val="9"/>
        <color rgb="FF000000"/>
        <rFont val="Arial"/>
        <family val="0"/>
        <charset val="1"/>
      </rPr>
      <t xml:space="preserve">C. </t>
    </r>
    <r>
      <rPr>
        <b val="true"/>
        <sz val="9"/>
        <color rgb="FF000000"/>
        <rFont val="Noto Sans CJK SC"/>
        <family val="2"/>
      </rPr>
      <t xml:space="preserve">생산량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</si>
  <si>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환산 기준</t>
    </r>
    <r>
      <rPr>
        <sz val="9"/>
        <color rgb="FF000000"/>
        <rFont val="Arial"/>
        <family val="0"/>
        <charset val="1"/>
      </rPr>
      <t xml:space="preserve">)</t>
    </r>
  </si>
  <si>
    <t xml:space="preserve">kg/Batch</t>
  </si>
  <si>
    <r>
      <rPr>
        <sz val="9"/>
        <color rgb="FF000000"/>
        <rFont val="Noto Sans CJK SC"/>
        <family val="2"/>
      </rPr>
      <t xml:space="preserve">생산량 환산 기준 — 정제 회수량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최종 양품량 여부 확인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</si>
  <si>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</si>
  <si>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</si>
  <si>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 (5 Gal, 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19 L)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</si>
  <si>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용기 용량</t>
    </r>
  </si>
  <si>
    <t xml:space="preserve">L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</si>
  <si>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</si>
  <si>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용기</t>
    </r>
  </si>
  <si>
    <t xml:space="preserve">이지켐</t>
  </si>
  <si>
    <r>
      <rPr>
        <sz val="9"/>
        <color rgb="FF000000"/>
        <rFont val="Noto Sans CJK SC"/>
        <family val="2"/>
      </rPr>
      <t xml:space="preserve">리플럭스 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</t>
    </r>
  </si>
  <si>
    <t xml:space="preserve">2027.7~</t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</si>
  <si>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190 kg </t>
    </r>
    <r>
      <rPr>
        <sz val="9"/>
        <color rgb="FF000000"/>
        <rFont val="Noto Sans CJK SC"/>
        <family val="2"/>
      </rPr>
      <t xml:space="preserve">유지로 계산하고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시트에 표시</t>
    </r>
  </si>
  <si>
    <r>
      <rPr>
        <b val="true"/>
        <sz val="9"/>
        <color rgb="FF000000"/>
        <rFont val="Arial"/>
        <family val="0"/>
        <charset val="1"/>
      </rPr>
      <t xml:space="preserve">D. Capa. (</t>
    </r>
    <r>
      <rPr>
        <b val="true"/>
        <sz val="9"/>
        <color rgb="FF000000"/>
        <rFont val="Noto Sans CJK SC"/>
        <family val="2"/>
      </rPr>
      <t xml:space="preserve">연간 환산 기준값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</si>
  <si>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연간 </t>
    </r>
    <r>
      <rPr>
        <sz val="9"/>
        <color rgb="FF000000"/>
        <rFont val="Arial"/>
        <family val="0"/>
        <charset val="1"/>
      </rPr>
      <t xml:space="preserve">Capa. (103℃)</t>
    </r>
  </si>
  <si>
    <r>
      <rPr>
        <sz val="9"/>
        <color rgb="FF000000"/>
        <rFont val="Arial"/>
        <family val="0"/>
        <charset val="1"/>
      </rPr>
      <t xml:space="preserve">t/</t>
    </r>
    <r>
      <rPr>
        <sz val="9"/>
        <color rgb="FF000000"/>
        <rFont val="Noto Sans CJK SC"/>
        <family val="2"/>
      </rPr>
      <t xml:space="preserve">년</t>
    </r>
  </si>
  <si>
    <t xml:space="preserve">현재 조건 기준값 — 유지</t>
  </si>
  <si>
    <r>
      <rPr>
        <sz val="9"/>
        <color rgb="FF000000"/>
        <rFont val="Noto Sans CJK SC"/>
        <family val="2"/>
      </rPr>
      <t xml:space="preserve">시간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가동률을 조정해 맞추지 않음</t>
    </r>
  </si>
  <si>
    <t xml:space="preserve">리플럭스 증가분</t>
  </si>
  <si>
    <r>
      <rPr>
        <sz val="9"/>
        <color rgb="FF000000"/>
        <rFont val="Arial"/>
        <family val="0"/>
        <charset val="1"/>
      </rPr>
      <t xml:space="preserve">'27.7~'28.6 </t>
    </r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 기준</t>
    </r>
  </si>
  <si>
    <r>
      <rPr>
        <sz val="9"/>
        <color rgb="FF000000"/>
        <rFont val="Noto Sans CJK SC"/>
        <family val="2"/>
      </rPr>
      <t xml:space="preserve">리플럭스 후 연간 환산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</si>
  <si>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Noto Sans CJK SC"/>
        <family val="2"/>
      </rPr>
      <t xml:space="preserve">연간 환산값 ≠ </t>
    </r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실제 생산량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</si>
  <si>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효과 미가산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</si>
  <si>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온도 상승 예상 증가분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</si>
  <si>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검토안 — 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승인 필요</t>
    </r>
  </si>
  <si>
    <t xml:space="preserve">검토안</t>
  </si>
  <si>
    <t xml:space="preserve">적용 시점 미정</t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</si>
  <si>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연간 환산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</si>
  <si>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Noto Sans CJK SC"/>
        <family val="2"/>
      </rPr>
      <t xml:space="preserve">검토안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산술 계산값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</si>
  <si>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Capa. (2028</t>
    </r>
    <r>
      <rPr>
        <sz val="9"/>
        <color rgb="FF000000"/>
        <rFont val="Noto Sans CJK SC"/>
        <family val="2"/>
      </rPr>
      <t xml:space="preserve">년 이후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</si>
  <si>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</si>
  <si>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t xml:space="preserve">계획</t>
  </si>
  <si>
    <r>
      <rPr>
        <sz val="9"/>
        <color rgb="FF000000"/>
        <rFont val="Noto Sans CJK SC"/>
        <family val="2"/>
      </rPr>
      <t xml:space="preserve">과거 월 최대 생산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</si>
  <si>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월</t>
    </r>
  </si>
  <si>
    <t xml:space="preserve">히스토리 최대 기준</t>
  </si>
  <si>
    <t xml:space="preserve">리플럭스 후 정제시간</t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</si>
  <si>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로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톤을 계산하지 않음</t>
    </r>
  </si>
  <si>
    <r>
      <rPr>
        <sz val="9"/>
        <color rgb="FF000000"/>
        <rFont val="Noto Sans CJK SC"/>
        <family val="2"/>
      </rPr>
      <t xml:space="preserve">리플럭스 후 비정제 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간격−정제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</si>
  <si>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미입력 시 현재 관측 추정값</t>
    </r>
    <r>
      <rPr>
        <sz val="9"/>
        <color rgb="FF000000"/>
        <rFont val="Arial"/>
        <family val="0"/>
        <charset val="1"/>
      </rPr>
      <t xml:space="preserve">(03 </t>
    </r>
    <r>
      <rPr>
        <sz val="9"/>
        <color rgb="FF000000"/>
        <rFont val="Noto Sans CJK SC"/>
        <family val="2"/>
      </rPr>
      <t xml:space="preserve">시트</t>
    </r>
    <r>
      <rPr>
        <sz val="9"/>
        <color rgb="FF000000"/>
        <rFont val="Arial"/>
        <family val="0"/>
        <charset val="1"/>
      </rPr>
      <t xml:space="preserve">) </t>
    </r>
    <r>
      <rPr>
        <sz val="9"/>
        <color rgb="FF000000"/>
        <rFont val="Noto Sans CJK SC"/>
        <family val="2"/>
      </rPr>
      <t xml:space="preserve">적용 —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시트에 표시</t>
    </r>
  </si>
  <si>
    <t xml:space="preserve">검토 정제온도</t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</si>
  <si>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검토안</t>
    </r>
  </si>
  <si>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</t>
    </r>
    <r>
      <rPr>
        <sz val="9"/>
        <color rgb="FF000000"/>
        <rFont val="Noto Sans CJK SC"/>
        <family val="2"/>
      </rPr>
      <t xml:space="preserve">수율 검증 필요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</si>
  <si>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시점</t>
    </r>
  </si>
  <si>
    <t xml:space="preserve">날짜</t>
  </si>
  <si>
    <r>
      <rPr>
        <b val="true"/>
        <sz val="9"/>
        <color rgb="FF000000"/>
        <rFont val="Arial"/>
        <family val="0"/>
        <charset val="1"/>
      </rPr>
      <t xml:space="preserve">E. </t>
    </r>
    <r>
      <rPr>
        <b val="true"/>
        <sz val="9"/>
        <color rgb="FF000000"/>
        <rFont val="Noto Sans CJK SC"/>
        <family val="2"/>
      </rPr>
      <t xml:space="preserve">일정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리플럭스 </t>
    </r>
    <r>
      <rPr>
        <b val="true"/>
        <sz val="9"/>
        <color rgb="FF000000"/>
        <rFont val="Arial"/>
        <family val="0"/>
        <charset val="1"/>
      </rPr>
      <t xml:space="preserve">· ARS)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</si>
  <si>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설치 완료 </t>
    </r>
    <r>
      <rPr>
        <sz val="9"/>
        <color rgb="FF000000"/>
        <rFont val="Arial"/>
        <family val="0"/>
        <charset val="1"/>
      </rPr>
      <t xml:space="preserve">(2026</t>
    </r>
    <r>
      <rPr>
        <sz val="9"/>
        <color rgb="FF000000"/>
        <rFont val="Noto Sans CJK SC"/>
        <family val="2"/>
      </rPr>
      <t xml:space="preserve">년 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</si>
  <si>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이지켐</t>
    </r>
  </si>
  <si>
    <r>
      <rPr>
        <sz val="9"/>
        <color rgb="FF000000"/>
        <rFont val="Noto Sans CJK SC"/>
        <family val="2"/>
      </rPr>
      <t xml:space="preserve">설치일 미확정 — </t>
    </r>
    <r>
      <rPr>
        <sz val="9"/>
        <color rgb="FF000000"/>
        <rFont val="Arial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년 내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</si>
  <si>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운영 시작</t>
    </r>
  </si>
  <si>
    <t xml:space="preserve">운영 개시일 확인 필요</t>
  </si>
  <si>
    <t xml:space="preserve">리플럭스 공사 시작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</si>
  <si>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2~5</t>
    </r>
    <r>
      <rPr>
        <sz val="9"/>
        <color rgb="FF000000"/>
        <rFont val="Noto Sans CJK SC"/>
        <family val="2"/>
      </rPr>
      <t xml:space="preserve">월</t>
    </r>
  </si>
  <si>
    <t xml:space="preserve">리플럭스 공사 종료</t>
  </si>
  <si>
    <t xml:space="preserve">시운전 시작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</si>
  <si>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</si>
  <si>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t xml:space="preserve">리플럭스 적용 생산 시작</t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</si>
  <si>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 종료</t>
    </r>
  </si>
  <si>
    <t xml:space="preserve">2027.7~2028.6</t>
  </si>
  <si>
    <t xml:space="preserve">공사 중 정제기 가용시간</t>
  </si>
  <si>
    <t xml:space="preserve">2027.2~5</t>
  </si>
  <si>
    <r>
      <rPr>
        <sz val="9"/>
        <color rgb="FF000000"/>
        <rFont val="Arial"/>
        <family val="0"/>
        <charset val="1"/>
      </rPr>
      <t xml:space="preserve">0 </t>
    </r>
    <r>
      <rPr>
        <sz val="9"/>
        <color rgb="FF000000"/>
        <rFont val="Noto Sans CJK SC"/>
        <family val="2"/>
      </rPr>
      <t xml:space="preserve">또는 정상값을 임의 입력하지 않음</t>
    </r>
  </si>
  <si>
    <r>
      <rPr>
        <sz val="9"/>
        <color rgb="FF000000"/>
        <rFont val="Noto Sans CJK SC"/>
        <family val="2"/>
      </rPr>
      <t xml:space="preserve">시운전 기간 양품 생산 </t>
    </r>
    <r>
      <rPr>
        <sz val="9"/>
        <color rgb="FF000000"/>
        <rFont val="Arial"/>
        <family val="0"/>
        <charset val="1"/>
      </rPr>
      <t xml:space="preserve">Batch</t>
    </r>
  </si>
  <si>
    <t xml:space="preserve">2027.6</t>
  </si>
  <si>
    <t xml:space="preserve">초기 안정화 기간</t>
  </si>
  <si>
    <t xml:space="preserve">개월</t>
  </si>
  <si>
    <r>
      <rPr>
        <b val="true"/>
        <sz val="9"/>
        <color rgb="FF000000"/>
        <rFont val="Arial"/>
        <family val="0"/>
        <charset val="1"/>
      </rPr>
      <t xml:space="preserve">F. </t>
    </r>
    <r>
      <rPr>
        <b val="true"/>
        <sz val="9"/>
        <color rgb="FF000000"/>
        <rFont val="Noto Sans CJK SC"/>
        <family val="2"/>
      </rPr>
      <t xml:space="preserve">후공정 자원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720 h</t>
    </r>
    <r>
      <rPr>
        <b val="true"/>
        <sz val="9"/>
        <color rgb="FF000000"/>
        <rFont val="Noto Sans CJK SC"/>
        <family val="2"/>
      </rPr>
      <t xml:space="preserve">와 별도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</si>
  <si>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글로브 박스 수 </t>
    </r>
    <r>
      <rPr>
        <sz val="9"/>
        <color rgb="FF000000"/>
        <rFont val="Arial"/>
        <family val="0"/>
        <charset val="1"/>
      </rPr>
      <t xml:space="preserve">(5 Gal)</t>
    </r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</si>
  <si>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 </t>
    </r>
    <r>
      <rPr>
        <sz val="9"/>
        <color rgb="FF000000"/>
        <rFont val="Noto Sans CJK SC"/>
        <family val="2"/>
      </rPr>
      <t xml:space="preserve">공용 여부 확인</t>
    </r>
  </si>
  <si>
    <t xml:space="preserve">글로브 박스 충진 가용 근무시간</t>
  </si>
  <si>
    <r>
      <rPr>
        <sz val="9"/>
        <color rgb="FF000000"/>
        <rFont val="Noto Sans CJK SC"/>
        <family val="2"/>
      </rPr>
      <t xml:space="preserve">교대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인력 기준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</si>
  <si>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720 h</t>
    </r>
    <r>
      <rPr>
        <sz val="9"/>
        <color rgb="FF000000"/>
        <rFont val="Noto Sans CJK SC"/>
        <family val="2"/>
      </rPr>
      <t xml:space="preserve">를 자동 적용하지 않음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</si>
  <si>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수동</t>
    </r>
    <r>
      <rPr>
        <sz val="9"/>
        <color rgb="FF000000"/>
        <rFont val="Arial"/>
        <family val="0"/>
        <charset val="1"/>
      </rPr>
      <t xml:space="preserve">/ARS)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</si>
  <si>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(QC)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</si>
  <si>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Arial"/>
        <family val="0"/>
        <charset val="1"/>
      </rPr>
      <t xml:space="preserve">IQC·PQC·FQC·OQC </t>
    </r>
    <r>
      <rPr>
        <sz val="9"/>
        <color rgb="FF000000"/>
        <rFont val="Noto Sans CJK SC"/>
        <family val="2"/>
      </rPr>
      <t xml:space="preserve">공용 장비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인력</t>
    </r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</si>
  <si>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수</t>
    </r>
  </si>
  <si>
    <t xml:space="preserve">기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</si>
  <si>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기이면 다음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정제 종료 전 충진 완료 필요</t>
    </r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</si>
  <si>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용량</t>
    </r>
  </si>
  <si>
    <t xml:space="preserve">kg</t>
  </si>
  <si>
    <r>
      <rPr>
        <sz val="9"/>
        <color rgb="FF000000"/>
        <rFont val="Noto Sans CJK SC"/>
        <family val="2"/>
      </rPr>
      <t xml:space="preserve">참고 시나리오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월 근무일</t>
    </r>
  </si>
  <si>
    <r>
      <rPr>
        <sz val="9"/>
        <color rgb="FF000000"/>
        <rFont val="Arial"/>
        <family val="0"/>
        <charset val="1"/>
      </rPr>
      <t xml:space="preserve">03 </t>
    </r>
    <r>
      <rPr>
        <sz val="9"/>
        <color rgb="FF000000"/>
        <rFont val="Noto Sans CJK SC"/>
        <family val="2"/>
      </rPr>
      <t xml:space="preserve">시트 참고 비교용</t>
    </r>
  </si>
  <si>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</si>
  <si>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t xml:space="preserve">확정값 아님</t>
  </si>
  <si>
    <r>
      <rPr>
        <sz val="9"/>
        <color rgb="FF000000"/>
        <rFont val="Noto Sans CJK SC"/>
        <family val="2"/>
      </rPr>
      <t xml:space="preserve">참고 시나리오 ①</t>
    </r>
    <r>
      <rPr>
        <sz val="9"/>
        <color rgb="FF000000"/>
        <rFont val="Arial"/>
        <family val="0"/>
        <charset val="1"/>
      </rPr>
      <t xml:space="preserve">: 1</t>
    </r>
    <r>
      <rPr>
        <sz val="9"/>
        <color rgb="FF000000"/>
        <rFont val="Noto Sans CJK SC"/>
        <family val="2"/>
      </rPr>
      <t xml:space="preserve">교대 일 근무시간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</si>
  <si>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</si>
  <si>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Noto Sans CJK SC"/>
        <family val="2"/>
      </rPr>
      <t xml:space="preserve">참고 시나리오 ②</t>
    </r>
    <r>
      <rPr>
        <sz val="9"/>
        <color rgb="FF000000"/>
        <rFont val="Arial"/>
        <family val="0"/>
        <charset val="1"/>
      </rPr>
      <t xml:space="preserve">: 2</t>
    </r>
    <r>
      <rPr>
        <sz val="9"/>
        <color rgb="FF000000"/>
        <rFont val="Noto Sans CJK SC"/>
        <family val="2"/>
      </rPr>
      <t xml:space="preserve">교대 일 근무시간</t>
    </r>
  </si>
  <si>
    <r>
      <rPr>
        <sz val="9"/>
        <color rgb="FF000000"/>
        <rFont val="Noto Sans CJK SC"/>
        <family val="2"/>
      </rPr>
      <t xml:space="preserve">참고 시나리오 ③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연속 근무 일 근무시간</t>
    </r>
  </si>
  <si>
    <r>
      <rPr>
        <sz val="9"/>
        <color rgb="FF000000"/>
        <rFont val="Arial"/>
        <family val="0"/>
        <charset val="1"/>
      </rPr>
      <t xml:space="preserve">03 </t>
    </r>
    <r>
      <rPr>
        <sz val="9"/>
        <color rgb="FF000000"/>
        <rFont val="Noto Sans CJK SC"/>
        <family val="2"/>
      </rPr>
      <t xml:space="preserve">시트 참고 비교용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</si>
  <si>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G. </t>
    </r>
    <r>
      <rPr>
        <b val="true"/>
        <sz val="9"/>
        <color rgb="FF000000"/>
        <rFont val="Noto Sans CJK SC"/>
        <family val="2"/>
      </rPr>
      <t xml:space="preserve">과거 일정 분석 설정</t>
    </r>
  </si>
  <si>
    <r>
      <rPr>
        <sz val="9"/>
        <color rgb="FF000000"/>
        <rFont val="Noto Sans CJK SC"/>
        <family val="2"/>
      </rPr>
      <t xml:space="preserve">분석 시작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번호</t>
    </r>
  </si>
  <si>
    <t xml:space="preserve">#</t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</si>
  <si>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 첫 </t>
    </r>
    <r>
      <rPr>
        <sz val="9"/>
        <color rgb="FF000000"/>
        <rFont val="Arial"/>
        <family val="0"/>
        <charset val="1"/>
      </rPr>
      <t xml:space="preserve">Batch</t>
    </r>
  </si>
  <si>
    <t xml:space="preserve">분석 설정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</si>
  <si>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</t>
    </r>
    <r>
      <rPr>
        <sz val="9"/>
        <color rgb="FF000000"/>
        <rFont val="Arial"/>
        <family val="0"/>
        <charset val="1"/>
      </rPr>
      <t xml:space="preserve">(#37·#38)</t>
    </r>
    <r>
      <rPr>
        <sz val="9"/>
        <color rgb="FF000000"/>
        <rFont val="Noto Sans CJK SC"/>
        <family val="2"/>
      </rPr>
      <t xml:space="preserve">은 일부 기간만 제공 → 기본 제외</t>
    </r>
  </si>
  <si>
    <r>
      <rPr>
        <sz val="9"/>
        <color rgb="FF000000"/>
        <rFont val="Noto Sans CJK SC"/>
        <family val="2"/>
      </rPr>
      <t xml:space="preserve">분석 종료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번호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</si>
  <si>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월 마지막 </t>
    </r>
    <r>
      <rPr>
        <sz val="9"/>
        <color rgb="FF000000"/>
        <rFont val="Arial"/>
        <family val="0"/>
        <charset val="1"/>
      </rPr>
      <t xml:space="preserve">Batch</t>
    </r>
  </si>
  <si>
    <t xml:space="preserve">롤링 검토 간격 수</t>
  </si>
  <si>
    <t xml:space="preserve">간격</t>
  </si>
  <si>
    <r>
      <rPr>
        <sz val="9"/>
        <color rgb="FF000000"/>
        <rFont val="Noto Sans CJK SC"/>
        <family val="2"/>
      </rPr>
      <t xml:space="preserve">연속 </t>
    </r>
    <r>
      <rPr>
        <sz val="9"/>
        <color rgb="FF000000"/>
        <rFont val="Arial"/>
        <family val="0"/>
        <charset val="1"/>
      </rPr>
      <t xml:space="preserve">k</t>
    </r>
    <r>
      <rPr>
        <sz val="9"/>
        <color rgb="FF000000"/>
        <rFont val="Noto Sans CJK SC"/>
        <family val="2"/>
      </rPr>
      <t xml:space="preserve">간격 평균의 </t>
    </r>
    <r>
      <rPr>
        <sz val="9"/>
        <color rgb="FF000000"/>
        <rFont val="Arial"/>
        <family val="0"/>
        <charset val="1"/>
      </rPr>
      <t xml:space="preserve">57 h </t>
    </r>
    <r>
      <rPr>
        <sz val="9"/>
        <color rgb="FF000000"/>
        <rFont val="Noto Sans CJK SC"/>
        <family val="2"/>
      </rPr>
      <t xml:space="preserve">정합 확인</t>
    </r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</si>
  <si>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기준 선택</t>
    </r>
  </si>
  <si>
    <t xml:space="preserve">1~4</t>
  </si>
  <si>
    <r>
      <rPr>
        <sz val="9"/>
        <color rgb="FF000000"/>
        <rFont val="Arial"/>
        <family val="0"/>
        <charset val="1"/>
      </rPr>
      <t xml:space="preserve">1=</t>
    </r>
    <r>
      <rPr>
        <sz val="9"/>
        <color rgb="FF000000"/>
        <rFont val="Noto Sans CJK SC"/>
        <family val="2"/>
      </rPr>
      <t xml:space="preserve">이론 </t>
    </r>
    <r>
      <rPr>
        <sz val="9"/>
        <color rgb="FF000000"/>
        <rFont val="Arial"/>
        <family val="0"/>
        <charset val="1"/>
      </rPr>
      <t xml:space="preserve">57 h, 2=</t>
    </r>
    <r>
      <rPr>
        <sz val="9"/>
        <color rgb="FF000000"/>
        <rFont val="Noto Sans CJK SC"/>
        <family val="2"/>
      </rPr>
      <t xml:space="preserve">과거 최대 </t>
    </r>
    <r>
      <rPr>
        <sz val="9"/>
        <color rgb="FF000000"/>
        <rFont val="Arial"/>
        <family val="0"/>
        <charset val="1"/>
      </rPr>
      <t xml:space="preserve">11 Batch, 3=</t>
    </r>
    <r>
      <rPr>
        <sz val="9"/>
        <color rgb="FF000000"/>
        <rFont val="Noto Sans CJK SC"/>
        <family val="2"/>
      </rPr>
      <t xml:space="preserve">과거 일정 관측 추정</t>
    </r>
    <r>
      <rPr>
        <sz val="9"/>
        <color rgb="FF000000"/>
        <rFont val="Arial"/>
        <family val="0"/>
        <charset val="1"/>
      </rPr>
      <t xml:space="preserve">, 4=26.2</t>
    </r>
    <r>
      <rPr>
        <sz val="9"/>
        <color rgb="FF000000"/>
        <rFont val="Noto Sans CJK SC"/>
        <family val="2"/>
      </rPr>
      <t xml:space="preserve">톤 역산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</si>
  <si>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시트 현재 조건 생산 가능량에 적용</t>
    </r>
  </si>
  <si>
    <r>
      <rPr>
        <sz val="9"/>
        <color rgb="FF000000"/>
        <rFont val="Noto Sans CJK SC"/>
        <family val="2"/>
      </rPr>
      <t xml:space="preserve">과거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일정 연도</t>
    </r>
  </si>
  <si>
    <t xml:space="preserve">년</t>
  </si>
  <si>
    <t xml:space="preserve">원자료 연도 미표기</t>
  </si>
  <si>
    <r>
      <rPr>
        <sz val="9"/>
        <color rgb="FF000000"/>
        <rFont val="Noto Sans CJK SC"/>
        <family val="2"/>
      </rPr>
      <t xml:space="preserve">첨부 </t>
    </r>
    <r>
      <rPr>
        <sz val="9"/>
        <color rgb="FF000000"/>
        <rFont val="Arial"/>
        <family val="0"/>
        <charset val="1"/>
      </rPr>
      <t xml:space="preserve">PPT 3</t>
    </r>
    <r>
      <rPr>
        <sz val="9"/>
        <color rgb="FF000000"/>
        <rFont val="Noto Sans CJK SC"/>
        <family val="2"/>
      </rPr>
      <t xml:space="preserve">장이 </t>
    </r>
    <r>
      <rPr>
        <sz val="9"/>
        <color rgb="FF000000"/>
        <rFont val="Arial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년 출하와 비교</t>
    </r>
  </si>
  <si>
    <t xml:space="preserve">연도 확인 필요</t>
  </si>
  <si>
    <r>
      <rPr>
        <b val="true"/>
        <sz val="9"/>
        <color rgb="FF000000"/>
        <rFont val="Arial"/>
        <family val="0"/>
        <charset val="1"/>
      </rPr>
      <t xml:space="preserve">H. </t>
    </r>
    <r>
      <rPr>
        <b val="true"/>
        <sz val="9"/>
        <color rgb="FF000000"/>
        <rFont val="Noto Sans CJK SC"/>
        <family val="2"/>
      </rPr>
      <t xml:space="preserve">재고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</si>
  <si>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(2026-01-01)</t>
    </r>
  </si>
  <si>
    <t xml:space="preserve">전 고객 공용 양품 재고</t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</si>
  <si>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재고 계산 보류</t>
    </r>
  </si>
  <si>
    <t xml:space="preserve">하이닉스 목표재고</t>
  </si>
  <si>
    <t xml:space="preserve">하이닉스 우선 확보</t>
  </si>
  <si>
    <r>
      <rPr>
        <sz val="9"/>
        <color rgb="FF000000"/>
        <rFont val="Noto Sans CJK SC"/>
        <family val="2"/>
      </rPr>
      <t xml:space="preserve">월 기말 기준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매년 반복 가산 금지</t>
    </r>
    <r>
      <rPr>
        <sz val="9"/>
        <color rgb="FF000000"/>
        <rFont val="Arial"/>
        <family val="0"/>
        <charset val="1"/>
      </rPr>
      <t xml:space="preserve">)</t>
    </r>
  </si>
  <si>
    <t xml:space="preserve">전체 목표 기말재고</t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</si>
  <si>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양품률</t>
    </r>
  </si>
  <si>
    <t xml:space="preserve">%</t>
  </si>
  <si>
    <r>
      <rPr>
        <sz val="9"/>
        <color rgb="FF000000"/>
        <rFont val="Noto Sans CJK SC"/>
        <family val="2"/>
      </rPr>
      <t xml:space="preserve">출하 가능 양품 생산량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정제 생산량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Noto Sans CJK SC"/>
        <family val="2"/>
      </rPr>
      <t xml:space="preserve">양품률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</si>
  <si>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100% </t>
    </r>
    <r>
      <rPr>
        <sz val="9"/>
        <color rgb="FF000000"/>
        <rFont val="Noto Sans CJK SC"/>
        <family val="2"/>
      </rPr>
      <t xml:space="preserve">상한값으로 표시</t>
    </r>
  </si>
  <si>
    <t xml:space="preserve">하이닉스 품질 합격률</t>
  </si>
  <si>
    <r>
      <rPr>
        <sz val="9"/>
        <color rgb="FF000000"/>
        <rFont val="Arial"/>
        <family val="0"/>
        <charset val="1"/>
      </rPr>
      <t xml:space="preserve">CXMT </t>
    </r>
    <r>
      <rPr>
        <sz val="9"/>
        <color rgb="FF000000"/>
        <rFont val="Noto Sans CJK SC"/>
        <family val="2"/>
      </rPr>
      <t xml:space="preserve">품질 합격률</t>
    </r>
  </si>
  <si>
    <r>
      <rPr>
        <sz val="9"/>
        <color rgb="FF000000"/>
        <rFont val="Noto Sans CJK SC"/>
        <family val="2"/>
      </rPr>
      <t xml:space="preserve">이지켐 품질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색도 합격률</t>
    </r>
  </si>
  <si>
    <r>
      <rPr>
        <b val="true"/>
        <sz val="9"/>
        <color rgb="FF000000"/>
        <rFont val="Arial"/>
        <family val="0"/>
        <charset val="1"/>
      </rPr>
      <t xml:space="preserve">I. 2027</t>
    </r>
    <r>
      <rPr>
        <b val="true"/>
        <sz val="9"/>
        <color rgb="FF000000"/>
        <rFont val="Noto Sans CJK SC"/>
        <family val="2"/>
      </rPr>
      <t xml:space="preserve">년 출하계획 기준값</t>
    </r>
  </si>
  <si>
    <r>
      <rPr>
        <sz val="9"/>
        <color rgb="FF000000"/>
        <rFont val="Noto Sans CJK SC"/>
        <family val="2"/>
      </rPr>
      <t xml:space="preserve">하이닉스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 출하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</si>
  <si>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년</t>
    </r>
  </si>
  <si>
    <r>
      <rPr>
        <sz val="9"/>
        <color rgb="FF000000"/>
        <rFont val="Noto Sans CJK SC"/>
        <family val="2"/>
      </rPr>
      <t xml:space="preserve">월별 균등 배분 </t>
    </r>
    <r>
      <rPr>
        <sz val="9"/>
        <color rgb="FF000000"/>
        <rFont val="Arial"/>
        <family val="0"/>
        <charset val="1"/>
      </rPr>
      <t xml:space="preserve">(=</t>
    </r>
    <r>
      <rPr>
        <sz val="9"/>
        <color rgb="FF000000"/>
        <rFont val="Noto Sans CJK SC"/>
        <family val="2"/>
      </rPr>
      <t xml:space="preserve">연간</t>
    </r>
    <r>
      <rPr>
        <sz val="9"/>
        <color rgb="FF000000"/>
        <rFont val="Arial"/>
        <family val="0"/>
        <charset val="1"/>
      </rPr>
      <t xml:space="preserve">÷12)</t>
    </r>
  </si>
  <si>
    <t xml:space="preserve">표시만 반올림</t>
  </si>
  <si>
    <r>
      <rPr>
        <sz val="9"/>
        <color rgb="FF000000"/>
        <rFont val="Arial"/>
        <family val="0"/>
        <charset val="1"/>
      </rPr>
      <t xml:space="preserve">CXMT 2027 </t>
    </r>
    <r>
      <rPr>
        <sz val="9"/>
        <color rgb="FF000000"/>
        <rFont val="Noto Sans CJK SC"/>
        <family val="2"/>
      </rPr>
      <t xml:space="preserve">월 출하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</si>
  <si>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월</t>
    </r>
  </si>
  <si>
    <t xml:space="preserve">시작 월부터</t>
  </si>
  <si>
    <r>
      <rPr>
        <sz val="9"/>
        <color rgb="FF000000"/>
        <rFont val="Arial"/>
        <family val="0"/>
        <charset val="1"/>
      </rPr>
      <t xml:space="preserve">29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</si>
  <si>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CXMT 2027 </t>
    </r>
    <r>
      <rPr>
        <sz val="9"/>
        <color rgb="FF000000"/>
        <rFont val="Noto Sans CJK SC"/>
        <family val="2"/>
      </rPr>
      <t xml:space="preserve">출하 시작 월</t>
    </r>
  </si>
  <si>
    <t xml:space="preserve">월</t>
  </si>
  <si>
    <r>
      <rPr>
        <sz val="9"/>
        <color rgb="FF000000"/>
        <rFont val="Arial"/>
        <family val="0"/>
        <charset val="1"/>
      </rPr>
      <t xml:space="preserve">4~12</t>
    </r>
    <r>
      <rPr>
        <sz val="9"/>
        <color rgb="FF000000"/>
        <rFont val="Noto Sans CJK SC"/>
        <family val="2"/>
      </rPr>
      <t xml:space="preserve">월 → </t>
    </r>
    <r>
      <rPr>
        <sz val="9"/>
        <color rgb="FF000000"/>
        <rFont val="Arial"/>
        <family val="0"/>
        <charset val="1"/>
      </rPr>
      <t xml:space="preserve">5,220 kg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</si>
  <si>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월 출하</t>
    </r>
  </si>
  <si>
    <r>
      <rPr>
        <sz val="9"/>
        <color rgb="FF000000"/>
        <rFont val="Arial"/>
        <family val="0"/>
        <charset val="1"/>
      </rPr>
      <t xml:space="preserve">1~12</t>
    </r>
    <r>
      <rPr>
        <sz val="9"/>
        <color rgb="FF000000"/>
        <rFont val="Noto Sans CJK SC"/>
        <family val="2"/>
      </rPr>
      <t xml:space="preserve">월 전월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</si>
  <si>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 → </t>
    </r>
    <r>
      <rPr>
        <sz val="9"/>
        <color rgb="FF000000"/>
        <rFont val="Arial"/>
        <family val="0"/>
        <charset val="1"/>
      </rPr>
      <t xml:space="preserve">10,080 kg</t>
    </r>
  </si>
  <si>
    <r>
      <rPr>
        <b val="true"/>
        <sz val="11"/>
        <color rgb="FFEB002C"/>
        <rFont val="Noto Sans CJK SC"/>
        <family val="2"/>
      </rPr>
      <t xml:space="preserve">고객별 월별 출하계획 </t>
    </r>
    <r>
      <rPr>
        <b val="true"/>
        <sz val="11"/>
        <color rgb="FFEB002C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</si>
  <si>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연도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고객</t>
    </r>
  </si>
  <si>
    <t xml:space="preserve">연도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</si>
  <si>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</si>
  <si>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</si>
  <si>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</si>
  <si>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</si>
  <si>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</si>
  <si>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</si>
  <si>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</si>
  <si>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8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</si>
  <si>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</si>
  <si>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10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</si>
  <si>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</si>
  <si>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12</t>
    </r>
    <r>
      <rPr>
        <b val="true"/>
        <sz val="9"/>
        <color rgb="FFFFFFFF"/>
        <rFont val="Noto Sans CJK SC"/>
        <family val="2"/>
      </rPr>
      <t xml:space="preserve">월</t>
    </r>
  </si>
  <si>
    <t xml:space="preserve">연간</t>
  </si>
  <si>
    <r>
      <rPr>
        <b val="true"/>
        <sz val="9"/>
        <color rgb="FFFFFFFF"/>
        <rFont val="Noto Sans CJK SC"/>
        <family val="2"/>
      </rPr>
      <t xml:space="preserve">실적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계획 구분</t>
    </r>
  </si>
  <si>
    <t xml:space="preserve">하이닉스</t>
  </si>
  <si>
    <r>
      <rPr>
        <sz val="9"/>
        <color rgb="FF000000"/>
        <rFont val="Noto Sans CJK SC"/>
        <family val="2"/>
      </rPr>
      <t xml:space="preserve">원자료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미확인</t>
    </r>
  </si>
  <si>
    <t xml:space="preserve">CXMT</t>
  </si>
  <si>
    <t xml:space="preserve">미제시</t>
  </si>
  <si>
    <r>
      <rPr>
        <sz val="9"/>
        <color rgb="FF000000"/>
        <rFont val="Arial"/>
        <family val="0"/>
        <charset val="1"/>
      </rPr>
      <t xml:space="preserve">2026 CXMT </t>
    </r>
    <r>
      <rPr>
        <sz val="9"/>
        <color rgb="FF000000"/>
        <rFont val="Noto Sans CJK SC"/>
        <family val="2"/>
      </rPr>
      <t xml:space="preserve">물량 미제시 — 합계 미포함</t>
    </r>
  </si>
  <si>
    <r>
      <rPr>
        <sz val="9"/>
        <color rgb="FF000000"/>
        <rFont val="Arial"/>
        <family val="0"/>
        <charset val="1"/>
      </rPr>
      <t xml:space="preserve">9~12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560 kg (4</t>
    </r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</si>
  <si>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22,720 ÷ 12 (</t>
    </r>
    <r>
      <rPr>
        <sz val="9"/>
        <color rgb="FF000000"/>
        <rFont val="Noto Sans CJK SC"/>
        <family val="2"/>
      </rPr>
      <t xml:space="preserve">표시만 반올림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연간 합계 유지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</si>
  <si>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월부터 </t>
    </r>
    <r>
      <rPr>
        <sz val="9"/>
        <color rgb="FF000000"/>
        <rFont val="Arial"/>
        <family val="0"/>
        <charset val="1"/>
      </rPr>
      <t xml:space="preserve">580 kg/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</si>
  <si>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1~12</t>
    </r>
    <r>
      <rPr>
        <sz val="9"/>
        <color rgb="FF000000"/>
        <rFont val="Noto Sans CJK SC"/>
        <family val="2"/>
      </rPr>
      <t xml:space="preserve">월 전월 </t>
    </r>
    <r>
      <rPr>
        <sz val="9"/>
        <color rgb="FF000000"/>
        <rFont val="Arial"/>
        <family val="0"/>
        <charset val="1"/>
      </rPr>
      <t xml:space="preserve">840 kg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</si>
  <si>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제시 합계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하이닉스</t>
    </r>
    <r>
      <rPr>
        <b val="true"/>
        <sz val="9"/>
        <color rgb="FF000000"/>
        <rFont val="Arial"/>
        <family val="0"/>
        <charset val="1"/>
      </rPr>
      <t xml:space="preserve">+</t>
    </r>
    <r>
      <rPr>
        <b val="true"/>
        <sz val="9"/>
        <color rgb="FF000000"/>
        <rFont val="Noto Sans CJK SC"/>
        <family val="2"/>
      </rPr>
      <t xml:space="preserve">이지켐</t>
    </r>
    <r>
      <rPr>
        <b val="true"/>
        <sz val="9"/>
        <color rgb="FF000000"/>
        <rFont val="Arial"/>
        <family val="0"/>
        <charset val="1"/>
      </rPr>
      <t xml:space="preserve">, CXMT </t>
    </r>
    <r>
      <rPr>
        <b val="true"/>
        <sz val="9"/>
        <color rgb="FF000000"/>
        <rFont val="Noto Sans CJK SC"/>
        <family val="2"/>
      </rPr>
      <t xml:space="preserve">미포함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</si>
  <si>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합계</t>
  </si>
  <si>
    <r>
      <rPr>
        <sz val="9"/>
        <color rgb="FF000000"/>
        <rFont val="Arial"/>
        <family val="0"/>
        <charset val="1"/>
      </rPr>
      <t xml:space="preserve">CXMT 2026 </t>
    </r>
    <r>
      <rPr>
        <sz val="9"/>
        <color rgb="FF000000"/>
        <rFont val="Noto Sans CJK SC"/>
        <family val="2"/>
      </rPr>
      <t xml:space="preserve">미제시분은 </t>
    </r>
    <r>
      <rPr>
        <sz val="9"/>
        <color rgb="FF000000"/>
        <rFont val="Arial"/>
        <family val="0"/>
        <charset val="1"/>
      </rPr>
      <t xml:space="preserve">0</t>
    </r>
    <r>
      <rPr>
        <sz val="9"/>
        <color rgb="FF000000"/>
        <rFont val="Noto Sans CJK SC"/>
        <family val="2"/>
      </rPr>
      <t xml:space="preserve">으로 합산하지 않음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미포함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</si>
  <si>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합계 </t>
    </r>
    <r>
      <rPr>
        <b val="true"/>
        <sz val="9"/>
        <color rgb="FF000000"/>
        <rFont val="Arial"/>
        <family val="0"/>
        <charset val="1"/>
      </rPr>
      <t xml:space="preserve">(3</t>
    </r>
    <r>
      <rPr>
        <b val="true"/>
        <sz val="9"/>
        <color rgb="FF000000"/>
        <rFont val="Noto Sans CJK SC"/>
        <family val="2"/>
      </rPr>
      <t xml:space="preserve">개 고객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</si>
  <si>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38,020 kg = 38.02 t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</si>
  <si>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2027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38,020 kg</t>
    </r>
  </si>
  <si>
    <r>
      <rPr>
        <b val="true"/>
        <sz val="14"/>
        <color rgb="FFEB002C"/>
        <rFont val="Arial"/>
        <family val="0"/>
        <charset val="1"/>
      </rPr>
      <t xml:space="preserve">02_Batch_Raw | </t>
    </r>
    <r>
      <rPr>
        <b val="true"/>
        <sz val="14"/>
        <color rgb="FFEB002C"/>
        <rFont val="Noto Sans CJK SC"/>
        <family val="2"/>
      </rPr>
      <t xml:space="preserve">과거 </t>
    </r>
    <r>
      <rPr>
        <b val="true"/>
        <sz val="14"/>
        <color rgb="FFEB002C"/>
        <rFont val="Arial"/>
        <family val="0"/>
        <charset val="1"/>
      </rPr>
      <t xml:space="preserve">Batch </t>
    </r>
    <r>
      <rPr>
        <b val="true"/>
        <sz val="14"/>
        <color rgb="FFEB002C"/>
        <rFont val="Noto Sans CJK SC"/>
        <family val="2"/>
      </rPr>
      <t xml:space="preserve">생산계획 원자료 전사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대조</t>
    </r>
  </si>
  <si>
    <r>
      <rPr>
        <i val="true"/>
        <sz val="9"/>
        <color rgb="FF7F7F7F"/>
        <rFont val="Arial"/>
        <family val="0"/>
        <charset val="1"/>
      </rPr>
      <t xml:space="preserve">A~N</t>
    </r>
    <r>
      <rPr>
        <i val="true"/>
        <sz val="9"/>
        <color rgb="FF7F7F7F"/>
        <rFont val="Noto Sans CJK SC"/>
        <family val="2"/>
      </rPr>
      <t xml:space="preserve">열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원자료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수정 금지</t>
    </r>
    <r>
      <rPr>
        <i val="true"/>
        <sz val="9"/>
        <color rgb="FF7F7F7F"/>
        <rFont val="Arial"/>
        <family val="0"/>
        <charset val="1"/>
      </rPr>
      <t xml:space="preserve">) · O</t>
    </r>
    <r>
      <rPr>
        <i val="true"/>
        <sz val="9"/>
        <color rgb="FF7F7F7F"/>
        <rFont val="Noto Sans CJK SC"/>
        <family val="2"/>
      </rPr>
      <t xml:space="preserve">열 이후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분석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추정 열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수식</t>
    </r>
    <r>
      <rPr>
        <i val="true"/>
        <sz val="9"/>
        <color rgb="FF7F7F7F"/>
        <rFont val="Arial"/>
        <family val="0"/>
        <charset val="1"/>
      </rPr>
      <t xml:space="preserve">). </t>
    </r>
    <r>
      <rPr>
        <i val="true"/>
        <sz val="9"/>
        <color rgb="FF7F7F7F"/>
        <rFont val="Noto Sans CJK SC"/>
        <family val="2"/>
      </rPr>
      <t xml:space="preserve">표시일자는 날짜만 있는 생산계획으로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Noto Sans CJK SC"/>
        <family val="2"/>
      </rPr>
      <t xml:space="preserve">실제 운전 시각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실적이 아님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</si>
  <si>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No</t>
  </si>
  <si>
    <t xml:space="preserve">원본 파일</t>
  </si>
  <si>
    <t xml:space="preserve">출처 위치</t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</si>
  <si>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번호</t>
    </r>
  </si>
  <si>
    <r>
      <rPr>
        <b val="true"/>
        <sz val="9"/>
        <color rgb="FFFFFFFF"/>
        <rFont val="Noto Sans CJK SC"/>
        <family val="2"/>
      </rPr>
      <t xml:space="preserve">표시일자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발표자 노트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</si>
  <si>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실제 시각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미확인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</si>
  <si>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표시일자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</si>
  <si>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계획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실적 구분</t>
    </r>
  </si>
  <si>
    <r>
      <rPr>
        <b val="true"/>
        <sz val="9"/>
        <color rgb="FFFFFFFF"/>
        <rFont val="Noto Sans CJK SC"/>
        <family val="2"/>
      </rPr>
      <t xml:space="preserve">원자료 색상 표시
</t>
    </r>
    <r>
      <rPr>
        <b val="true"/>
        <sz val="9"/>
        <color rgb="FFFFFFFF"/>
        <rFont val="Arial"/>
        <family val="0"/>
        <charset val="1"/>
      </rPr>
      <t xml:space="preserve">(PPT </t>
    </r>
    <r>
      <rPr>
        <b val="true"/>
        <sz val="9"/>
        <color rgb="FFFFFFFF"/>
        <rFont val="Noto Sans CJK SC"/>
        <family val="2"/>
      </rPr>
      <t xml:space="preserve">분포도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</si>
  <si>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색상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</si>
  <si>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발표자 노트
표기</t>
  </si>
  <si>
    <r>
      <rPr>
        <b val="true"/>
        <sz val="9"/>
        <color rgb="FFFFFFFF"/>
        <rFont val="Noto Sans CJK SC"/>
        <family val="2"/>
      </rPr>
      <t xml:space="preserve">분포도 판독
일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日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</si>
  <si>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사용자 지시
목록 일자</t>
  </si>
  <si>
    <t xml:space="preserve">대조 결과</t>
  </si>
  <si>
    <r>
      <rPr>
        <b val="true"/>
        <sz val="9"/>
        <color rgb="FFFFFFFF"/>
        <rFont val="Noto Sans CJK SC"/>
        <family val="2"/>
      </rPr>
      <t xml:space="preserve">간격 분석
포함</t>
    </r>
    <r>
      <rPr>
        <b val="true"/>
        <sz val="9"/>
        <color rgb="FFFFFFFF"/>
        <rFont val="Arial"/>
        <family val="0"/>
        <charset val="1"/>
      </rPr>
      <t xml:space="preserve">(1/0)</t>
    </r>
  </si>
  <si>
    <t xml:space="preserve">번호 연속</t>
  </si>
  <si>
    <t xml:space="preserve">중복 확인</t>
  </si>
  <si>
    <r>
      <rPr>
        <b val="true"/>
        <sz val="9"/>
        <color rgb="FFFFFFFF"/>
        <rFont val="Noto Sans CJK SC"/>
        <family val="2"/>
      </rPr>
      <t xml:space="preserve">이전 </t>
    </r>
    <r>
      <rPr>
        <b val="true"/>
        <sz val="9"/>
        <color rgb="FFFFFFFF"/>
        <rFont val="Arial"/>
        <family val="0"/>
        <charset val="1"/>
      </rPr>
      <t xml:space="preserve">Batch</t>
    </r>
    <r>
      <rPr>
        <b val="true"/>
        <sz val="9"/>
        <color rgb="FFFFFFFF"/>
        <rFont val="Noto Sans CJK SC"/>
        <family val="2"/>
      </rPr>
      <t xml:space="preserve">와
간격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</si>
  <si>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 경계</t>
  </si>
  <si>
    <r>
      <rPr>
        <b val="true"/>
        <sz val="9"/>
        <color rgb="FFFFFFFF"/>
        <rFont val="Noto Sans CJK SC"/>
        <family val="2"/>
      </rPr>
      <t xml:space="preserve">명목 간격
</t>
    </r>
    <r>
      <rPr>
        <b val="true"/>
        <sz val="9"/>
        <color rgb="FFFFFFFF"/>
        <rFont val="Arial"/>
        <family val="0"/>
        <charset val="1"/>
      </rPr>
      <t xml:space="preserve">(h, 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×24)</t>
    </r>
  </si>
  <si>
    <r>
      <rPr>
        <b val="true"/>
        <sz val="9"/>
        <color rgb="FFFFFFFF"/>
        <rFont val="Noto Sans CJK SC"/>
        <family val="2"/>
      </rPr>
      <t xml:space="preserve">최소 가능
경과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</si>
  <si>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최대 가능
경과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</si>
  <si>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롤링 </t>
    </r>
    <r>
      <rPr>
        <b val="true"/>
        <sz val="9"/>
        <color rgb="FFFFFFFF"/>
        <rFont val="Arial"/>
        <family val="0"/>
        <charset val="1"/>
      </rPr>
      <t xml:space="preserve">k</t>
    </r>
    <r>
      <rPr>
        <b val="true"/>
        <sz val="9"/>
        <color rgb="FFFFFFFF"/>
        <rFont val="Noto Sans CJK SC"/>
        <family val="2"/>
      </rPr>
      <t xml:space="preserve">간격
누적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</si>
  <si>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롤링 </t>
    </r>
    <r>
      <rPr>
        <b val="true"/>
        <sz val="9"/>
        <color rgb="FFFFFFFF"/>
        <rFont val="Arial"/>
        <family val="0"/>
        <charset val="1"/>
      </rPr>
      <t xml:space="preserve">k</t>
    </r>
    <r>
      <rPr>
        <b val="true"/>
        <sz val="9"/>
        <color rgb="FFFFFFFF"/>
        <rFont val="Noto Sans CJK SC"/>
        <family val="2"/>
      </rPr>
      <t xml:space="preserve">간격 평균
최대 경과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</si>
  <si>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57 h </t>
    </r>
    <r>
      <rPr>
        <b val="true"/>
        <sz val="9"/>
        <color rgb="FFFFFFFF"/>
        <rFont val="Noto Sans CJK SC"/>
        <family val="2"/>
      </rPr>
      <t xml:space="preserve">정합 확인</t>
    </r>
  </si>
  <si>
    <r>
      <rPr>
        <sz val="9"/>
        <color rgb="FF000000"/>
        <rFont val="Arial"/>
        <family val="0"/>
        <charset val="1"/>
      </rPr>
      <t xml:space="preserve">SKTC_CpZr_Capacity_Reflux_Roadmap_2027_2028.pptx (</t>
    </r>
    <r>
      <rPr>
        <sz val="9"/>
        <color rgb="FF000000"/>
        <rFont val="Noto Sans CJK SC"/>
        <family val="2"/>
      </rPr>
      <t xml:space="preserve">첨부 원본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</si>
  <si>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발표자 노트 </t>
    </r>
    <r>
      <rPr>
        <sz val="9"/>
        <color rgb="FF000000"/>
        <rFont val="Arial"/>
        <family val="0"/>
        <charset val="1"/>
      </rPr>
      <t xml:space="preserve">('</t>
    </r>
    <r>
      <rPr>
        <sz val="9"/>
        <color rgb="FF000000"/>
        <rFont val="Noto Sans CJK SC"/>
        <family val="2"/>
      </rPr>
      <t xml:space="preserve">원자료 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개 이미지 연결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중복 제거</t>
    </r>
    <r>
      <rPr>
        <sz val="9"/>
        <color rgb="FF000000"/>
        <rFont val="Arial"/>
        <family val="0"/>
        <charset val="1"/>
      </rPr>
      <t xml:space="preserve">') · 3</t>
    </r>
    <r>
      <rPr>
        <sz val="9"/>
        <color rgb="FF000000"/>
        <rFont val="Noto Sans CJK SC"/>
        <family val="2"/>
      </rPr>
      <t xml:space="preserve">장 분포도</t>
    </r>
  </si>
  <si>
    <r>
      <rPr>
        <sz val="9"/>
        <color rgb="FF000000"/>
        <rFont val="Noto Sans CJK SC"/>
        <family val="2"/>
      </rPr>
      <t xml:space="preserve">생산계획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원자료</t>
    </r>
    <r>
      <rPr>
        <sz val="9"/>
        <color rgb="FF000000"/>
        <rFont val="Arial"/>
        <family val="0"/>
        <charset val="1"/>
      </rPr>
      <t xml:space="preserve">) — </t>
    </r>
    <r>
      <rPr>
        <sz val="9"/>
        <color rgb="FF000000"/>
        <rFont val="Noto Sans CJK SC"/>
        <family val="2"/>
      </rPr>
      <t xml:space="preserve">실적 미검증</t>
    </r>
  </si>
  <si>
    <t xml:space="preserve">회색</t>
  </si>
  <si>
    <t xml:space="preserve">5/23</t>
  </si>
  <si>
    <t xml:space="preserve">5/26</t>
  </si>
  <si>
    <t xml:space="preserve">주황</t>
  </si>
  <si>
    <t xml:space="preserve">6/2</t>
  </si>
  <si>
    <t xml:space="preserve">6/5</t>
  </si>
  <si>
    <t xml:space="preserve">6/8</t>
  </si>
  <si>
    <t xml:space="preserve">6/11</t>
  </si>
  <si>
    <t xml:space="preserve">6/14</t>
  </si>
  <si>
    <t xml:space="preserve">6/17</t>
  </si>
  <si>
    <t xml:space="preserve">6/20</t>
  </si>
  <si>
    <t xml:space="preserve">6/23</t>
  </si>
  <si>
    <t xml:space="preserve">6/25</t>
  </si>
  <si>
    <t xml:space="preserve">6/27</t>
  </si>
  <si>
    <t xml:space="preserve">6/28</t>
  </si>
  <si>
    <t xml:space="preserve">7/1</t>
  </si>
  <si>
    <t xml:space="preserve">7/3</t>
  </si>
  <si>
    <t xml:space="preserve">7/6</t>
  </si>
  <si>
    <t xml:space="preserve">7/8</t>
  </si>
  <si>
    <t xml:space="preserve">7/11</t>
  </si>
  <si>
    <t xml:space="preserve">7/14</t>
  </si>
  <si>
    <t xml:space="preserve">7/17</t>
  </si>
  <si>
    <t xml:space="preserve">7/20</t>
  </si>
  <si>
    <t xml:space="preserve">7/23</t>
  </si>
  <si>
    <t xml:space="preserve">7/26</t>
  </si>
  <si>
    <t xml:space="preserve">7/29</t>
  </si>
  <si>
    <t xml:space="preserve">8/1</t>
  </si>
  <si>
    <t xml:space="preserve">8/4</t>
  </si>
  <si>
    <t xml:space="preserve">8/7</t>
  </si>
  <si>
    <t xml:space="preserve">8/10</t>
  </si>
  <si>
    <t xml:space="preserve">8/13</t>
  </si>
  <si>
    <t xml:space="preserve">8/16</t>
  </si>
  <si>
    <t xml:space="preserve">8/19</t>
  </si>
  <si>
    <t xml:space="preserve">8/22</t>
  </si>
  <si>
    <t xml:space="preserve">8/25</t>
  </si>
  <si>
    <t xml:space="preserve">8/28</t>
  </si>
  <si>
    <t xml:space="preserve">8/31</t>
  </si>
  <si>
    <t xml:space="preserve">9/3</t>
  </si>
  <si>
    <t xml:space="preserve">9/5</t>
  </si>
  <si>
    <t xml:space="preserve">9/7</t>
  </si>
  <si>
    <t xml:space="preserve">9/9</t>
  </si>
  <si>
    <t xml:space="preserve">9/11</t>
  </si>
  <si>
    <t xml:space="preserve">9/14</t>
  </si>
  <si>
    <t xml:space="preserve">9/19</t>
  </si>
  <si>
    <t xml:space="preserve">9/23</t>
  </si>
  <si>
    <t xml:space="preserve">9/26</t>
  </si>
  <si>
    <t xml:space="preserve">9/28</t>
  </si>
  <si>
    <t xml:space="preserve">10/1</t>
  </si>
  <si>
    <t xml:space="preserve">10/4</t>
  </si>
  <si>
    <t xml:space="preserve">10/7</t>
  </si>
  <si>
    <t xml:space="preserve">10/10</t>
  </si>
  <si>
    <t xml:space="preserve">10/12</t>
  </si>
  <si>
    <t xml:space="preserve">10/15</t>
  </si>
  <si>
    <t xml:space="preserve">10/18</t>
  </si>
  <si>
    <t xml:space="preserve">10/20</t>
  </si>
  <si>
    <t xml:space="preserve">10/23</t>
  </si>
  <si>
    <t xml:space="preserve">10/26</t>
  </si>
  <si>
    <t xml:space="preserve">10/29</t>
  </si>
  <si>
    <r>
      <rPr>
        <b val="true"/>
        <i val="true"/>
        <sz val="9"/>
        <color rgb="FFEB002C"/>
        <rFont val="Noto Sans CJK SC"/>
        <family val="2"/>
      </rPr>
      <t xml:space="preserve">월별 집계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번호 개수 </t>
    </r>
    <r>
      <rPr>
        <b val="true"/>
        <i val="true"/>
        <sz val="9"/>
        <color rgb="FFEB002C"/>
        <rFont val="Arial"/>
        <family val="0"/>
        <charset val="1"/>
      </rPr>
      <t xml:space="preserve">vs </t>
    </r>
    <r>
      <rPr>
        <b val="true"/>
        <i val="true"/>
        <sz val="9"/>
        <color rgb="FFEB002C"/>
        <rFont val="Noto Sans CJK SC"/>
        <family val="2"/>
      </rPr>
      <t xml:space="preserve">원자료 </t>
    </r>
    <r>
      <rPr>
        <b val="true"/>
        <i val="true"/>
        <sz val="9"/>
        <color rgb="FFEB002C"/>
        <rFont val="Arial"/>
        <family val="0"/>
        <charset val="1"/>
      </rPr>
      <t xml:space="preserve">Total) · </t>
    </r>
    <r>
      <rPr>
        <b val="true"/>
        <i val="true"/>
        <sz val="9"/>
        <color rgb="FFEB002C"/>
        <rFont val="Noto Sans CJK SC"/>
        <family val="2"/>
      </rPr>
      <t xml:space="preserve">간격 분포 — 간격은 뒤 </t>
    </r>
    <r>
      <rPr>
        <b val="true"/>
        <i val="true"/>
        <sz val="9"/>
        <color rgb="FFEB002C"/>
        <rFont val="Arial"/>
        <family val="0"/>
        <charset val="1"/>
      </rPr>
      <t xml:space="preserve">Batch</t>
    </r>
    <r>
      <rPr>
        <b val="true"/>
        <i val="true"/>
        <sz val="9"/>
        <color rgb="FFEB002C"/>
        <rFont val="Noto Sans CJK SC"/>
        <family val="2"/>
      </rPr>
      <t xml:space="preserve">의 월에 귀속</t>
    </r>
    <r>
      <rPr>
        <b val="true"/>
        <i val="true"/>
        <sz val="9"/>
        <color rgb="FFEB002C"/>
        <rFont val="Arial"/>
        <family val="0"/>
        <charset val="1"/>
      </rPr>
      <t xml:space="preserve">, </t>
    </r>
    <r>
      <rPr>
        <b val="true"/>
        <i val="true"/>
        <sz val="9"/>
        <color rgb="FFEB002C"/>
        <rFont val="Noto Sans CJK SC"/>
        <family val="2"/>
      </rPr>
      <t xml:space="preserve">분석 범위 내</t>
    </r>
  </si>
  <si>
    <t xml:space="preserve">번호 범위</t>
  </si>
  <si>
    <t xml:space="preserve">번호 개수</t>
  </si>
  <si>
    <r>
      <rPr>
        <b val="true"/>
        <sz val="9"/>
        <color rgb="FFFFFFFF"/>
        <rFont val="Noto Sans CJK SC"/>
        <family val="2"/>
      </rPr>
      <t xml:space="preserve">원자료 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</si>
  <si>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차이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번호−</t>
    </r>
    <r>
      <rPr>
        <b val="true"/>
        <sz val="9"/>
        <color rgb="FFFFFFFF"/>
        <rFont val="Arial"/>
        <family val="0"/>
        <charset val="1"/>
      </rPr>
      <t xml:space="preserve">Total)</t>
    </r>
  </si>
  <si>
    <r>
      <rPr>
        <b val="true"/>
        <sz val="9"/>
        <color rgb="FFFFFFFF"/>
        <rFont val="Noto Sans CJK SC"/>
        <family val="2"/>
      </rPr>
      <t xml:space="preserve">번호</t>
    </r>
    <r>
      <rPr>
        <b val="true"/>
        <sz val="9"/>
        <color rgb="FFFFFFFF"/>
        <rFont val="Arial"/>
        <family val="0"/>
        <charset val="1"/>
      </rPr>
      <t xml:space="preserve">×190
(kg, </t>
    </r>
    <r>
      <rPr>
        <b val="true"/>
        <sz val="9"/>
        <color rgb="FFFFFFFF"/>
        <rFont val="Noto Sans CJK SC"/>
        <family val="2"/>
      </rPr>
      <t xml:space="preserve">참고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</si>
  <si>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Total×190
(kg, </t>
    </r>
    <r>
      <rPr>
        <b val="true"/>
        <sz val="9"/>
        <color rgb="FFFFFFFF"/>
        <rFont val="Noto Sans CJK SC"/>
        <family val="2"/>
      </rPr>
      <t xml:space="preserve">참고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</si>
  <si>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첫 표시일</t>
  </si>
  <si>
    <t xml:space="preserve">마지막 표시일</t>
  </si>
  <si>
    <t xml:space="preserve">간격 수</t>
  </si>
  <si>
    <r>
      <rPr>
        <b val="true"/>
        <sz val="9"/>
        <color rgb="FFFFFFFF"/>
        <rFont val="Noto Sans CJK SC"/>
        <family val="2"/>
      </rPr>
      <t xml:space="preserve">평균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</si>
  <si>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중앙값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</si>
  <si>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최소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</si>
  <si>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최대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</si>
  <si>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</si>
  <si>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</si>
  <si>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</si>
  <si>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</si>
  <si>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</si>
  <si>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일 이상</t>
    </r>
  </si>
  <si>
    <t xml:space="preserve">월 경계
간격 수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</si>
  <si>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</si>
  <si>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#37~#38</t>
    </r>
    <r>
      <rPr>
        <sz val="9"/>
        <color rgb="FF000000"/>
        <rFont val="Noto Sans CJK SC"/>
        <family val="2"/>
      </rPr>
      <t xml:space="preserve">만 제공 — </t>
    </r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전체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수로 사용하지 않음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</si>
  <si>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</si>
  <si>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</si>
  <si>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</si>
  <si>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</si>
  <si>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</si>
  <si>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sz val="9"/>
        <color rgb="FF000000"/>
        <rFont val="Arial"/>
        <family val="0"/>
        <charset val="1"/>
      </rPr>
      <t xml:space="preserve">6~10</t>
    </r>
    <r>
      <rPr>
        <b val="true"/>
        <sz val="9"/>
        <color rgb="FF000000"/>
        <rFont val="Noto Sans CJK SC"/>
        <family val="2"/>
      </rPr>
      <t xml:space="preserve">월 합계</t>
    </r>
  </si>
  <si>
    <r>
      <rPr>
        <b val="true"/>
        <sz val="9"/>
        <color rgb="FF000000"/>
        <rFont val="Arial"/>
        <family val="0"/>
        <charset val="1"/>
      </rPr>
      <t xml:space="preserve">5</t>
    </r>
    <r>
      <rPr>
        <b val="true"/>
        <sz val="9"/>
        <color rgb="FF000000"/>
        <rFont val="Noto Sans CJK SC"/>
        <family val="2"/>
      </rPr>
      <t xml:space="preserve">월→</t>
    </r>
    <r>
      <rPr>
        <b val="true"/>
        <sz val="9"/>
        <color rgb="FF000000"/>
        <rFont val="Arial"/>
        <family val="0"/>
        <charset val="1"/>
      </rPr>
      <t xml:space="preserve">6</t>
    </r>
    <r>
      <rPr>
        <b val="true"/>
        <sz val="9"/>
        <color rgb="FF000000"/>
        <rFont val="Noto Sans CJK SC"/>
        <family val="2"/>
      </rPr>
      <t xml:space="preserve">월 경계 간격</t>
    </r>
    <r>
      <rPr>
        <b val="true"/>
        <sz val="9"/>
        <color rgb="FF000000"/>
        <rFont val="Arial"/>
        <family val="0"/>
        <charset val="1"/>
      </rPr>
      <t xml:space="preserve">(7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  <r>
      <rPr>
        <b val="true"/>
        <sz val="9"/>
        <color rgb="FF000000"/>
        <rFont val="Noto Sans CJK SC"/>
        <family val="2"/>
      </rPr>
      <t xml:space="preserve">은 분석 범위 밖</t>
    </r>
  </si>
  <si>
    <r>
      <rPr>
        <sz val="9"/>
        <color rgb="FF000000"/>
        <rFont val="Noto Sans CJK SC"/>
        <family val="2"/>
      </rPr>
      <t xml:space="preserve">대조 결과 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차이 확인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건수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노트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분포도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사용자 목록</t>
    </r>
    <r>
      <rPr>
        <sz val="9"/>
        <color rgb="FF000000"/>
        <rFont val="Arial"/>
        <family val="0"/>
        <charset val="1"/>
      </rPr>
      <t xml:space="preserve">)</t>
    </r>
  </si>
  <si>
    <t xml:space="preserve">번호 불연속 건수</t>
  </si>
  <si>
    <r>
      <rPr>
        <sz val="9"/>
        <color rgb="FF000000"/>
        <rFont val="Noto Sans CJK SC"/>
        <family val="2"/>
      </rPr>
      <t xml:space="preserve">중복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번호 건수</t>
    </r>
  </si>
  <si>
    <r>
      <rPr>
        <sz val="9"/>
        <color rgb="FF000000"/>
        <rFont val="Noto Sans CJK SC"/>
        <family val="2"/>
      </rPr>
      <t xml:space="preserve">월별 </t>
    </r>
    <r>
      <rPr>
        <sz val="9"/>
        <color rgb="FF000000"/>
        <rFont val="Arial"/>
        <family val="0"/>
        <charset val="1"/>
      </rPr>
      <t xml:space="preserve">Total ≠ </t>
    </r>
    <r>
      <rPr>
        <sz val="9"/>
        <color rgb="FF000000"/>
        <rFont val="Noto Sans CJK SC"/>
        <family val="2"/>
      </rPr>
      <t xml:space="preserve">번호 개수 월 수 </t>
    </r>
    <r>
      <rPr>
        <sz val="9"/>
        <color rgb="FF000000"/>
        <rFont val="Arial"/>
        <family val="0"/>
        <charset val="1"/>
      </rPr>
      <t xml:space="preserve">(6~10</t>
    </r>
    <r>
      <rPr>
        <sz val="9"/>
        <color rgb="FF000000"/>
        <rFont val="Noto Sans CJK SC"/>
        <family val="2"/>
      </rPr>
      <t xml:space="preserve">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</si>
  <si>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57 h </t>
    </r>
    <r>
      <rPr>
        <sz val="9"/>
        <color rgb="FF000000"/>
        <rFont val="Noto Sans CJK SC"/>
        <family val="2"/>
      </rPr>
      <t xml:space="preserve">정합 확인 필요 롤링 구간 수</t>
    </r>
  </si>
  <si>
    <r>
      <rPr>
        <i val="true"/>
        <sz val="9"/>
        <color rgb="FF7F7F7F"/>
        <rFont val="Noto Sans CJK SC"/>
        <family val="2"/>
      </rPr>
      <t xml:space="preserve">※ 원본 이미지 </t>
    </r>
    <r>
      <rPr>
        <i val="true"/>
        <sz val="9"/>
        <color rgb="FF7F7F7F"/>
        <rFont val="Arial"/>
        <family val="0"/>
        <charset val="1"/>
      </rPr>
      <t xml:space="preserve">5</t>
    </r>
    <r>
      <rPr>
        <i val="true"/>
        <sz val="9"/>
        <color rgb="FF7F7F7F"/>
        <rFont val="Noto Sans CJK SC"/>
        <family val="2"/>
      </rPr>
      <t xml:space="preserve">개는 첨부 </t>
    </r>
    <r>
      <rPr>
        <i val="true"/>
        <sz val="9"/>
        <color rgb="FF7F7F7F"/>
        <rFont val="Arial"/>
        <family val="0"/>
        <charset val="1"/>
      </rPr>
      <t xml:space="preserve">PPT</t>
    </r>
    <r>
      <rPr>
        <i val="true"/>
        <sz val="9"/>
        <color rgb="FF7F7F7F"/>
        <rFont val="Noto Sans CJK SC"/>
        <family val="2"/>
      </rPr>
      <t xml:space="preserve">에 포함되어 있지 않음 → 발표자 노트 전사값과 </t>
    </r>
    <r>
      <rPr>
        <i val="true"/>
        <sz val="9"/>
        <color rgb="FF7F7F7F"/>
        <rFont val="Arial"/>
        <family val="0"/>
        <charset val="1"/>
      </rPr>
      <t xml:space="preserve">3</t>
    </r>
    <r>
      <rPr>
        <i val="true"/>
        <sz val="9"/>
        <color rgb="FF7F7F7F"/>
        <rFont val="Noto Sans CJK SC"/>
        <family val="2"/>
      </rPr>
      <t xml:space="preserve">장 분포도</t>
    </r>
    <r>
      <rPr>
        <i val="true"/>
        <sz val="9"/>
        <color rgb="FF7F7F7F"/>
        <rFont val="Arial"/>
        <family val="0"/>
        <charset val="1"/>
      </rPr>
      <t xml:space="preserve">(x</t>
    </r>
    <r>
      <rPr>
        <i val="true"/>
        <sz val="9"/>
        <color rgb="FF7F7F7F"/>
        <rFont val="Noto Sans CJK SC"/>
        <family val="2"/>
      </rPr>
      <t xml:space="preserve">좌표 → 일자 판독</t>
    </r>
    <r>
      <rPr>
        <i val="true"/>
        <sz val="9"/>
        <color rgb="FF7F7F7F"/>
        <rFont val="Arial"/>
        <family val="0"/>
        <charset val="1"/>
      </rPr>
      <t xml:space="preserve">), </t>
    </r>
    <r>
      <rPr>
        <i val="true"/>
        <sz val="9"/>
        <color rgb="FF7F7F7F"/>
        <rFont val="Noto Sans CJK SC"/>
        <family val="2"/>
      </rPr>
      <t xml:space="preserve">사용자 지시 목록 </t>
    </r>
    <r>
      <rPr>
        <i val="true"/>
        <sz val="9"/>
        <color rgb="FF7F7F7F"/>
        <rFont val="Arial"/>
        <family val="0"/>
        <charset val="1"/>
      </rPr>
      <t xml:space="preserve">3</t>
    </r>
    <r>
      <rPr>
        <i val="true"/>
        <sz val="9"/>
        <color rgb="FF7F7F7F"/>
        <rFont val="Noto Sans CJK SC"/>
        <family val="2"/>
      </rPr>
      <t xml:space="preserve">중 대조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원본 이미지 대조는 추가 확인사항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</si>
  <si>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원자료 색상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주황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회색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은 </t>
    </r>
    <r>
      <rPr>
        <i val="true"/>
        <sz val="9"/>
        <color rgb="FF7F7F7F"/>
        <rFont val="Arial"/>
        <family val="0"/>
        <charset val="1"/>
      </rPr>
      <t xml:space="preserve">PPT </t>
    </r>
    <r>
      <rPr>
        <i val="true"/>
        <sz val="9"/>
        <color rgb="FF7F7F7F"/>
        <rFont val="Noto Sans CJK SC"/>
        <family val="2"/>
      </rPr>
      <t xml:space="preserve">분포도 표시색이며 원본 이미지 색상 의미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고객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품질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상태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는 미확인 — 임의 해석하지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</si>
  <si>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날짜만 있는 자료</t>
    </r>
    <r>
      <rPr>
        <i val="true"/>
        <sz val="9"/>
        <color rgb="FF7F7F7F"/>
        <rFont val="Arial"/>
        <family val="0"/>
        <charset val="1"/>
      </rPr>
      <t xml:space="preserve">: D</t>
    </r>
    <r>
      <rPr>
        <i val="true"/>
        <sz val="9"/>
        <color rgb="FF7F7F7F"/>
        <rFont val="Noto Sans CJK SC"/>
        <family val="2"/>
      </rPr>
      <t xml:space="preserve">일 간격의 실제 경과시간은 </t>
    </r>
    <r>
      <rPr>
        <i val="true"/>
        <sz val="9"/>
        <color rgb="FF7F7F7F"/>
        <rFont val="Arial"/>
        <family val="0"/>
        <charset val="1"/>
      </rPr>
      <t xml:space="preserve">(D−1)×24 ~ (D+1)×24 h </t>
    </r>
    <r>
      <rPr>
        <i val="true"/>
        <sz val="9"/>
        <color rgb="FF7F7F7F"/>
        <rFont val="Noto Sans CJK SC"/>
        <family val="2"/>
      </rPr>
      <t xml:space="preserve">범위</t>
    </r>
    <r>
      <rPr>
        <i val="true"/>
        <sz val="9"/>
        <color rgb="FF7F7F7F"/>
        <rFont val="Arial"/>
        <family val="0"/>
        <charset val="1"/>
      </rPr>
      <t xml:space="preserve">. 2</t>
    </r>
    <r>
      <rPr>
        <i val="true"/>
        <sz val="9"/>
        <color rgb="FF7F7F7F"/>
        <rFont val="Noto Sans CJK SC"/>
        <family val="2"/>
      </rPr>
      <t xml:space="preserve">일 간격을 </t>
    </r>
    <r>
      <rPr>
        <i val="true"/>
        <sz val="9"/>
        <color rgb="FF7F7F7F"/>
        <rFont val="Arial"/>
        <family val="0"/>
        <charset val="1"/>
      </rPr>
      <t xml:space="preserve">48 h</t>
    </r>
    <r>
      <rPr>
        <i val="true"/>
        <sz val="9"/>
        <color rgb="FF7F7F7F"/>
        <rFont val="Noto Sans CJK SC"/>
        <family val="2"/>
      </rPr>
      <t xml:space="preserve">로 단정하지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</si>
  <si>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번호 개수 ≠ 양품 완료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원자료 </t>
    </r>
    <r>
      <rPr>
        <i val="true"/>
        <sz val="9"/>
        <color rgb="FF7F7F7F"/>
        <rFont val="Arial"/>
        <family val="0"/>
        <charset val="1"/>
      </rPr>
      <t xml:space="preserve">Total</t>
    </r>
    <r>
      <rPr>
        <i val="true"/>
        <sz val="9"/>
        <color rgb="FF7F7F7F"/>
        <rFont val="Noto Sans CJK SC"/>
        <family val="2"/>
      </rPr>
      <t xml:space="preserve">의 집계 대상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완료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양품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출하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작성 시점 확인 필요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</si>
  <si>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03_Capacity_Model | </t>
    </r>
    <r>
      <rPr>
        <b val="true"/>
        <sz val="14"/>
        <color rgb="FFEB002C"/>
        <rFont val="Noto Sans CJK SC"/>
        <family val="2"/>
      </rPr>
      <t xml:space="preserve">정제기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후공정 병렬 운영 생산능력 계산</t>
    </r>
  </si>
  <si>
    <r>
      <rPr>
        <i val="true"/>
        <sz val="9"/>
        <color rgb="FF7F7F7F"/>
        <rFont val="Noto Sans CJK SC"/>
        <family val="2"/>
      </rPr>
      <t xml:space="preserve">정제기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공용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는 앞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검사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충진 중에도 다음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를 정제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한 </t>
    </r>
    <r>
      <rPr>
        <i val="true"/>
        <sz val="9"/>
        <color rgb="FF7F7F7F"/>
        <rFont val="Arial"/>
        <family val="0"/>
        <charset val="1"/>
      </rPr>
      <t xml:space="preserve">Batch Lead Time</t>
    </r>
    <r>
      <rPr>
        <i val="true"/>
        <sz val="9"/>
        <color rgb="FF7F7F7F"/>
        <rFont val="Noto Sans CJK SC"/>
        <family val="2"/>
      </rPr>
      <t xml:space="preserve">을 정제 생산 간격으로 사용하지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</si>
  <si>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1"/>
        <color rgb="FFEB002C"/>
        <rFont val="Arial"/>
        <family val="0"/>
        <charset val="1"/>
      </rPr>
      <t xml:space="preserve">1. </t>
    </r>
    <r>
      <rPr>
        <b val="true"/>
        <sz val="11"/>
        <color rgb="FFEB002C"/>
        <rFont val="Noto Sans CJK SC"/>
        <family val="2"/>
      </rPr>
      <t xml:space="preserve">충진 경로별 한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제조 </t>
    </r>
    <r>
      <rPr>
        <b val="true"/>
        <sz val="11"/>
        <color rgb="FFEB002C"/>
        <rFont val="Arial"/>
        <family val="0"/>
        <charset val="1"/>
      </rPr>
      <t xml:space="preserve">Lead Time (</t>
    </r>
    <r>
      <rPr>
        <b val="true"/>
        <sz val="11"/>
        <color rgb="FFEB002C"/>
        <rFont val="Noto Sans CJK SC"/>
        <family val="2"/>
      </rPr>
      <t xml:space="preserve">확인된 공정시간 합계</t>
    </r>
    <r>
      <rPr>
        <b val="true"/>
        <sz val="11"/>
        <color rgb="FFEB002C"/>
        <rFont val="Arial"/>
        <family val="0"/>
        <charset val="1"/>
      </rPr>
      <t xml:space="preserve">) — </t>
    </r>
    <r>
      <rPr>
        <b val="true"/>
        <sz val="11"/>
        <color rgb="FFEB002C"/>
        <rFont val="Noto Sans CJK SC"/>
        <family val="2"/>
      </rPr>
      <t xml:space="preserve">정제 생산 간격 아님</t>
    </r>
  </si>
  <si>
    <t xml:space="preserve">공정 단계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</si>
  <si>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경로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하이닉스</t>
    </r>
    <r>
      <rPr>
        <b val="true"/>
        <sz val="9"/>
        <color rgb="FFFFFFFF"/>
        <rFont val="Arial"/>
        <family val="0"/>
        <charset val="1"/>
      </rPr>
      <t xml:space="preserve">·CXMT, 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</si>
  <si>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경로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이지켐</t>
    </r>
    <r>
      <rPr>
        <b val="true"/>
        <sz val="9"/>
        <color rgb="FFFFFFFF"/>
        <rFont val="Arial"/>
        <family val="0"/>
        <charset val="1"/>
      </rPr>
      <t xml:space="preserve">, h)</t>
    </r>
  </si>
  <si>
    <t xml:space="preserve">적용 단위</t>
  </si>
  <si>
    <r>
      <rPr>
        <sz val="9"/>
        <color rgb="FF000000"/>
        <rFont val="Noto Sans CJK SC"/>
        <family val="2"/>
      </rPr>
      <t xml:space="preserve">입고 </t>
    </r>
    <r>
      <rPr>
        <sz val="9"/>
        <color rgb="FF000000"/>
        <rFont val="Arial"/>
        <family val="0"/>
        <charset val="1"/>
      </rPr>
      <t xml:space="preserve">· IQC</t>
    </r>
  </si>
  <si>
    <r>
      <rPr>
        <i val="true"/>
        <sz val="9"/>
        <color rgb="FF7F7F7F"/>
        <rFont val="Noto Sans CJK SC"/>
        <family val="2"/>
      </rPr>
      <t xml:space="preserve">원료 </t>
    </r>
    <r>
      <rPr>
        <i val="true"/>
        <sz val="9"/>
        <color rgb="FF7F7F7F"/>
        <rFont val="Arial"/>
        <family val="0"/>
        <charset val="1"/>
      </rPr>
      <t xml:space="preserve">Lot</t>
    </r>
    <r>
      <rPr>
        <i val="true"/>
        <sz val="9"/>
        <color rgb="FF7F7F7F"/>
        <rFont val="Noto Sans CJK SC"/>
        <family val="2"/>
      </rPr>
      <t xml:space="preserve">당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공통 적용 시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별 중복 배정 금지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</si>
  <si>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준비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투입</t>
    </r>
  </si>
  <si>
    <r>
      <rPr>
        <i val="true"/>
        <sz val="9"/>
        <color rgb="FF7F7F7F"/>
        <rFont val="Arial"/>
        <family val="0"/>
        <charset val="1"/>
      </rPr>
      <t xml:space="preserve">57 h </t>
    </r>
    <r>
      <rPr>
        <i val="true"/>
        <sz val="9"/>
        <color rgb="FF7F7F7F"/>
        <rFont val="Noto Sans CJK SC"/>
        <family val="2"/>
      </rPr>
      <t xml:space="preserve">포함 여부 확인</t>
    </r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</si>
  <si>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공용 정제기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</si>
  <si>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당 — 포함 범위 확인</t>
    </r>
  </si>
  <si>
    <t xml:space="preserve">PQC</t>
  </si>
  <si>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당</t>
    </r>
  </si>
  <si>
    <t xml:space="preserve">FQC</t>
  </si>
  <si>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당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대기 별도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</si>
  <si>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FQC </t>
    </r>
    <r>
      <rPr>
        <sz val="9"/>
        <color rgb="FF000000"/>
        <rFont val="Noto Sans CJK SC"/>
        <family val="2"/>
      </rPr>
      <t xml:space="preserve">대기</t>
    </r>
  </si>
  <si>
    <r>
      <rPr>
        <sz val="9"/>
        <color rgb="FF000000"/>
        <rFont val="Noto Sans CJK SC"/>
        <family val="2"/>
      </rPr>
      <t xml:space="preserve">고객별 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필터 포함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</si>
  <si>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5 Gal: </t>
    </r>
    <r>
      <rPr>
        <i val="true"/>
        <sz val="9"/>
        <color rgb="FF7F7F7F"/>
        <rFont val="Noto Sans CJK SC"/>
        <family val="2"/>
      </rPr>
      <t xml:space="preserve">약 </t>
    </r>
    <r>
      <rPr>
        <i val="true"/>
        <sz val="9"/>
        <color rgb="FF7F7F7F"/>
        <rFont val="Arial"/>
        <family val="0"/>
        <charset val="1"/>
      </rPr>
      <t xml:space="preserve">8</t>
    </r>
    <r>
      <rPr>
        <i val="true"/>
        <sz val="9"/>
        <color rgb="FF7F7F7F"/>
        <rFont val="Noto Sans CJK SC"/>
        <family val="2"/>
      </rPr>
      <t xml:space="preserve">병 </t>
    </r>
    <r>
      <rPr>
        <i val="true"/>
        <sz val="9"/>
        <color rgb="FF7F7F7F"/>
        <rFont val="Arial"/>
        <family val="0"/>
        <charset val="1"/>
      </rPr>
      <t xml:space="preserve">16 h · 200 L: 8 h 1</t>
    </r>
    <r>
      <rPr>
        <i val="true"/>
        <sz val="9"/>
        <color rgb="FF7F7F7F"/>
        <rFont val="Noto Sans CJK SC"/>
        <family val="2"/>
      </rPr>
      <t xml:space="preserve">회 적용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용기</t>
    </r>
    <r>
      <rPr>
        <i val="true"/>
        <sz val="9"/>
        <color rgb="FF7F7F7F"/>
        <rFont val="Arial"/>
        <family val="0"/>
        <charset val="1"/>
      </rPr>
      <t xml:space="preserve">/Batch </t>
    </r>
    <r>
      <rPr>
        <i val="true"/>
        <sz val="9"/>
        <color rgb="FF7F7F7F"/>
        <rFont val="Noto Sans CJK SC"/>
        <family val="2"/>
      </rPr>
      <t xml:space="preserve">단위 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</si>
  <si>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OQC · </t>
    </r>
    <r>
      <rPr>
        <sz val="9"/>
        <color rgb="FF000000"/>
        <rFont val="Noto Sans CJK SC"/>
        <family val="2"/>
      </rPr>
      <t xml:space="preserve">출하 작업</t>
    </r>
  </si>
  <si>
    <r>
      <rPr>
        <i val="true"/>
        <sz val="9"/>
        <color rgb="FF7F7F7F"/>
        <rFont val="Noto Sans CJK SC"/>
        <family val="2"/>
      </rPr>
      <t xml:space="preserve">출하 </t>
    </r>
    <r>
      <rPr>
        <i val="true"/>
        <sz val="9"/>
        <color rgb="FF7F7F7F"/>
        <rFont val="Arial"/>
        <family val="0"/>
        <charset val="1"/>
      </rPr>
      <t xml:space="preserve">Lot</t>
    </r>
    <r>
      <rPr>
        <i val="true"/>
        <sz val="9"/>
        <color rgb="FF7F7F7F"/>
        <rFont val="Noto Sans CJK SC"/>
        <family val="2"/>
      </rPr>
      <t xml:space="preserve">당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운송시간 제외</t>
    </r>
  </si>
  <si>
    <r>
      <rPr>
        <b val="true"/>
        <sz val="9"/>
        <color rgb="FF000000"/>
        <rFont val="Noto Sans CJK SC"/>
        <family val="2"/>
      </rPr>
      <t xml:space="preserve">확인된 공정시간 합계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미확인 항목 제외 → 하한값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</si>
  <si>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한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가 입고→출하까지 걸리는 확인분 시간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다음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정제 시작 간격으로 사용하지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</si>
  <si>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미확인 항목 수</t>
  </si>
  <si>
    <r>
      <rPr>
        <b val="true"/>
        <sz val="11"/>
        <color rgb="FFEB002C"/>
        <rFont val="Arial"/>
        <family val="0"/>
        <charset val="1"/>
      </rPr>
      <t xml:space="preserve">2. ① </t>
    </r>
    <r>
      <rPr>
        <b val="true"/>
        <sz val="11"/>
        <color rgb="FFEB002C"/>
        <rFont val="Noto Sans CJK SC"/>
        <family val="2"/>
      </rPr>
      <t xml:space="preserve">정제시간만 적용한 이론 생산능력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연속 가동 상한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</si>
  <si>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월 비교 기준 시간</t>
  </si>
  <si>
    <r>
      <rPr>
        <i val="true"/>
        <sz val="9"/>
        <color rgb="FF7F7F7F"/>
        <rFont val="Arial"/>
        <family val="0"/>
        <charset val="1"/>
      </rPr>
      <t xml:space="preserve">30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×24 h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</si>
  <si>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정제시간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</si>
  <si>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103℃ </t>
    </r>
    <r>
      <rPr>
        <i val="true"/>
        <sz val="9"/>
        <color rgb="FF7F7F7F"/>
        <rFont val="Noto Sans CJK SC"/>
        <family val="2"/>
      </rPr>
      <t xml:space="preserve">제공값</t>
    </r>
  </si>
  <si>
    <r>
      <rPr>
        <sz val="9"/>
        <color rgb="FF000000"/>
        <rFont val="Noto Sans CJK SC"/>
        <family val="2"/>
      </rPr>
      <t xml:space="preserve">이론 </t>
    </r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소수</t>
    </r>
    <r>
      <rPr>
        <sz val="9"/>
        <color rgb="FF000000"/>
        <rFont val="Arial"/>
        <family val="0"/>
        <charset val="1"/>
      </rPr>
      <t xml:space="preserve">)</t>
    </r>
  </si>
  <si>
    <t xml:space="preserve">720 ÷ 57</t>
  </si>
  <si>
    <r>
      <rPr>
        <sz val="9"/>
        <color rgb="FF000000"/>
        <rFont val="Noto Sans CJK SC"/>
        <family val="2"/>
      </rPr>
      <t xml:space="preserve">월내 완료 가능 정수 </t>
    </r>
    <r>
      <rPr>
        <sz val="9"/>
        <color rgb="FF000000"/>
        <rFont val="Arial"/>
        <family val="0"/>
        <charset val="1"/>
      </rPr>
      <t xml:space="preserve">Batch</t>
    </r>
  </si>
  <si>
    <t xml:space="preserve">INT(720 ÷ 57)</t>
  </si>
  <si>
    <r>
      <rPr>
        <sz val="9"/>
        <color rgb="FF000000"/>
        <rFont val="Noto Sans CJK SC"/>
        <family val="2"/>
      </rPr>
      <t xml:space="preserve">월말 진행 중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경과시간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다음 월 이월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</si>
  <si>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720 − </t>
    </r>
    <r>
      <rPr>
        <i val="true"/>
        <sz val="9"/>
        <color rgb="FF7F7F7F"/>
        <rFont val="Noto Sans CJK SC"/>
        <family val="2"/>
      </rPr>
      <t xml:space="preserve">정수 </t>
    </r>
    <r>
      <rPr>
        <i val="true"/>
        <sz val="9"/>
        <color rgb="FF7F7F7F"/>
        <rFont val="Arial"/>
        <family val="0"/>
        <charset val="1"/>
      </rPr>
      <t xml:space="preserve">Batch × 57</t>
    </r>
  </si>
  <si>
    <r>
      <rPr>
        <sz val="9"/>
        <color rgb="FF000000"/>
        <rFont val="Noto Sans CJK SC"/>
        <family val="2"/>
      </rPr>
      <t xml:space="preserve">월말 진행 중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진행률</t>
    </r>
  </si>
  <si>
    <t xml:space="preserve">Batch</t>
  </si>
  <si>
    <t xml:space="preserve">이월분 — 다음 월 완료</t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</si>
  <si>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× 190 kg)</t>
    </r>
  </si>
  <si>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달력 연속 운전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월간 이월 반영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</si>
  <si>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년</t>
    </r>
  </si>
  <si>
    <r>
      <rPr>
        <i val="true"/>
        <sz val="9"/>
        <color rgb="FF7F7F7F"/>
        <rFont val="Arial"/>
        <family val="0"/>
        <charset val="1"/>
      </rPr>
      <t xml:space="preserve">INT(8,760 ÷ 57) — </t>
    </r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미반영 상한</t>
    </r>
  </si>
  <si>
    <r>
      <rPr>
        <sz val="9"/>
        <color rgb="FF000000"/>
        <rFont val="Noto Sans CJK SC"/>
        <family val="2"/>
      </rPr>
      <t xml:space="preserve">연간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 연속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</si>
  <si>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단순 연간 환산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월 정수 </t>
    </r>
    <r>
      <rPr>
        <sz val="9"/>
        <color rgb="FF000000"/>
        <rFont val="Arial"/>
        <family val="0"/>
        <charset val="1"/>
      </rPr>
      <t xml:space="preserve">Batch × 12)</t>
    </r>
  </si>
  <si>
    <t xml:space="preserve">월간 이월 미반영 — 참고값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</si>
  <si>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단순 연간 환산 생산량</t>
    </r>
  </si>
  <si>
    <r>
      <rPr>
        <b val="true"/>
        <sz val="11"/>
        <color rgb="FFEB002C"/>
        <rFont val="Arial"/>
        <family val="0"/>
        <charset val="1"/>
      </rPr>
      <t xml:space="preserve">3. ② </t>
    </r>
    <r>
      <rPr>
        <b val="true"/>
        <sz val="11"/>
        <color rgb="FFEB002C"/>
        <rFont val="Noto Sans CJK SC"/>
        <family val="2"/>
      </rPr>
      <t xml:space="preserve">과거 월 최대 </t>
    </r>
    <r>
      <rPr>
        <b val="true"/>
        <sz val="11"/>
        <color rgb="FFEB002C"/>
        <rFont val="Arial"/>
        <family val="0"/>
        <charset val="1"/>
      </rPr>
      <t xml:space="preserve">11 Batch </t>
    </r>
    <r>
      <rPr>
        <b val="true"/>
        <sz val="11"/>
        <color rgb="FFEB002C"/>
        <rFont val="Noto Sans CJK SC"/>
        <family val="2"/>
      </rPr>
      <t xml:space="preserve">기준</t>
    </r>
  </si>
  <si>
    <r>
      <rPr>
        <sz val="9"/>
        <color rgb="FF000000"/>
        <rFont val="Noto Sans CJK SC"/>
        <family val="2"/>
      </rPr>
      <t xml:space="preserve">과거 월 최대 </t>
    </r>
    <r>
      <rPr>
        <sz val="9"/>
        <color rgb="FF000000"/>
        <rFont val="Arial"/>
        <family val="0"/>
        <charset val="1"/>
      </rPr>
      <t xml:space="preserve">Batch</t>
    </r>
  </si>
  <si>
    <r>
      <rPr>
        <i val="true"/>
        <sz val="9"/>
        <color rgb="FF7F7F7F"/>
        <rFont val="Noto Sans CJK SC"/>
        <family val="2"/>
      </rPr>
      <t xml:space="preserve">히스토리 최대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제공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</si>
  <si>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11 Batch </t>
    </r>
    <r>
      <rPr>
        <sz val="9"/>
        <color rgb="FF000000"/>
        <rFont val="Noto Sans CJK SC"/>
        <family val="2"/>
      </rPr>
      <t xml:space="preserve">정제시간 합계</t>
    </r>
  </si>
  <si>
    <t xml:space="preserve">11 × 57</t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</si>
  <si>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720 h</t>
    </r>
    <r>
      <rPr>
        <sz val="9"/>
        <color rgb="FF000000"/>
        <rFont val="Noto Sans CJK SC"/>
        <family val="2"/>
      </rPr>
      <t xml:space="preserve">와의 차이</t>
    </r>
  </si>
  <si>
    <r>
      <rPr>
        <i val="true"/>
        <sz val="9"/>
        <color rgb="FF7F7F7F"/>
        <rFont val="Noto Sans CJK SC"/>
        <family val="2"/>
      </rPr>
      <t xml:space="preserve">여유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월 경계 가능성 — 손실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충진시간으로 단정하지 않음</t>
    </r>
  </si>
  <si>
    <r>
      <rPr>
        <sz val="9"/>
        <color rgb="FF000000"/>
        <rFont val="Noto Sans CJK SC"/>
        <family val="2"/>
      </rPr>
      <t xml:space="preserve">월 시간을 </t>
    </r>
    <r>
      <rPr>
        <sz val="9"/>
        <color rgb="FF000000"/>
        <rFont val="Arial"/>
        <family val="0"/>
        <charset val="1"/>
      </rPr>
      <t xml:space="preserve">11 Batch</t>
    </r>
    <r>
      <rPr>
        <sz val="9"/>
        <color rgb="FF000000"/>
        <rFont val="Noto Sans CJK SC"/>
        <family val="2"/>
      </rPr>
      <t xml:space="preserve">에 배분한 실효시간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 월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</si>
  <si>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720 ÷ 11 — </t>
    </r>
    <r>
      <rPr>
        <i val="true"/>
        <sz val="9"/>
        <color rgb="FF7F7F7F"/>
        <rFont val="Noto Sans CJK SC"/>
        <family val="2"/>
      </rPr>
      <t xml:space="preserve">참고값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</si>
  <si>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31</t>
    </r>
    <r>
      <rPr>
        <sz val="9"/>
        <color rgb="FF000000"/>
        <rFont val="Noto Sans CJK SC"/>
        <family val="2"/>
      </rPr>
      <t xml:space="preserve">일 월 기준 실효시간</t>
    </r>
  </si>
  <si>
    <r>
      <rPr>
        <i val="true"/>
        <sz val="9"/>
        <color rgb="FF7F7F7F"/>
        <rFont val="Arial"/>
        <family val="0"/>
        <charset val="1"/>
      </rPr>
      <t xml:space="preserve">744 ÷ 11 — </t>
    </r>
    <r>
      <rPr>
        <i val="true"/>
        <sz val="9"/>
        <color rgb="FF7F7F7F"/>
        <rFont val="Noto Sans CJK SC"/>
        <family val="2"/>
      </rPr>
      <t xml:space="preserve">과거 </t>
    </r>
    <r>
      <rPr>
        <i val="true"/>
        <sz val="9"/>
        <color rgb="FF7F7F7F"/>
        <rFont val="Arial"/>
        <family val="0"/>
        <charset val="1"/>
      </rPr>
      <t xml:space="preserve">11 Batch 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(7·8·10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은 모두 </t>
    </r>
    <r>
      <rPr>
        <i val="true"/>
        <sz val="9"/>
        <color rgb="FF7F7F7F"/>
        <rFont val="Arial"/>
        <family val="0"/>
        <charset val="1"/>
      </rPr>
      <t xml:space="preserve">31</t>
    </r>
    <r>
      <rPr>
        <i val="true"/>
        <sz val="9"/>
        <color rgb="FF7F7F7F"/>
        <rFont val="Noto Sans CJK SC"/>
        <family val="2"/>
      </rPr>
      <t xml:space="preserve">일 월</t>
    </r>
  </si>
  <si>
    <r>
      <rPr>
        <sz val="9"/>
        <color rgb="FF000000"/>
        <rFont val="Noto Sans CJK SC"/>
        <family val="2"/>
      </rPr>
      <t xml:space="preserve">실효시간 − 정제시간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 월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</si>
  <si>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비정제 시간 상당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구성 미확인</t>
    </r>
    <r>
      <rPr>
        <i val="true"/>
        <sz val="9"/>
        <color rgb="FF7F7F7F"/>
        <rFont val="Arial"/>
        <family val="0"/>
        <charset val="1"/>
      </rPr>
      <t xml:space="preserve">)</t>
    </r>
  </si>
  <si>
    <t xml:space="preserve">월 생산량</t>
  </si>
  <si>
    <t xml:space="preserve">11 × 190</t>
  </si>
  <si>
    <r>
      <rPr>
        <sz val="9"/>
        <color rgb="FF000000"/>
        <rFont val="Noto Sans CJK SC"/>
        <family val="2"/>
      </rPr>
      <t xml:space="preserve">단순 연간 환산 </t>
    </r>
    <r>
      <rPr>
        <sz val="9"/>
        <color rgb="FF000000"/>
        <rFont val="Arial"/>
        <family val="0"/>
        <charset val="1"/>
      </rPr>
      <t xml:space="preserve">(11 × 12)</t>
    </r>
  </si>
  <si>
    <t xml:space="preserve">참고값</t>
  </si>
  <si>
    <t xml:space="preserve">단순 연간 환산 생산량</t>
  </si>
  <si>
    <r>
      <rPr>
        <sz val="9"/>
        <color rgb="FF000000"/>
        <rFont val="Noto Sans CJK SC"/>
        <family val="2"/>
      </rPr>
      <t xml:space="preserve">달력 연속 환산 </t>
    </r>
    <r>
      <rPr>
        <sz val="9"/>
        <color rgb="FF000000"/>
        <rFont val="Arial"/>
        <family val="0"/>
        <charset val="1"/>
      </rPr>
      <t xml:space="preserve">(8,760 ÷ </t>
    </r>
    <r>
      <rPr>
        <sz val="9"/>
        <color rgb="FF000000"/>
        <rFont val="Noto Sans CJK SC"/>
        <family val="2"/>
      </rPr>
      <t xml:space="preserve">실효시간</t>
    </r>
    <r>
      <rPr>
        <sz val="9"/>
        <color rgb="FF000000"/>
        <rFont val="Arial"/>
        <family val="0"/>
        <charset val="1"/>
      </rPr>
      <t xml:space="preserve">)</t>
    </r>
  </si>
  <si>
    <t xml:space="preserve">월간 이월 반영</t>
  </si>
  <si>
    <t xml:space="preserve">달력 연속 환산 생산량</t>
  </si>
  <si>
    <r>
      <rPr>
        <b val="true"/>
        <sz val="11"/>
        <color rgb="FFEB002C"/>
        <rFont val="Arial"/>
        <family val="0"/>
        <charset val="1"/>
      </rPr>
      <t xml:space="preserve">4. ③ </t>
    </r>
    <r>
      <rPr>
        <b val="true"/>
        <sz val="11"/>
        <color rgb="FFEB002C"/>
        <rFont val="Noto Sans CJK SC"/>
        <family val="2"/>
      </rPr>
      <t xml:space="preserve">과거 일정 기반 실효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간격 추정 </t>
    </r>
    <r>
      <rPr>
        <b val="true"/>
        <sz val="11"/>
        <color rgb="FFEB002C"/>
        <rFont val="Arial"/>
        <family val="0"/>
        <charset val="1"/>
      </rPr>
      <t xml:space="preserve">(02_Batch_Raw)</t>
    </r>
  </si>
  <si>
    <t xml:space="preserve">사용 데이터 범위</t>
  </si>
  <si>
    <r>
      <rPr>
        <i val="true"/>
        <sz val="9"/>
        <color rgb="FF7F7F7F"/>
        <rFont val="Noto Sans CJK SC"/>
        <family val="2"/>
      </rPr>
      <t xml:space="preserve">기본</t>
    </r>
    <r>
      <rPr>
        <i val="true"/>
        <sz val="9"/>
        <color rgb="FF7F7F7F"/>
        <rFont val="Arial"/>
        <family val="0"/>
        <charset val="1"/>
      </rPr>
      <t xml:space="preserve">: 6~10</t>
    </r>
    <r>
      <rPr>
        <i val="true"/>
        <sz val="9"/>
        <color rgb="FF7F7F7F"/>
        <rFont val="Noto Sans CJK SC"/>
        <family val="2"/>
      </rPr>
      <t xml:space="preserve">월 </t>
    </r>
    <r>
      <rPr>
        <i val="true"/>
        <sz val="9"/>
        <color rgb="FF7F7F7F"/>
        <rFont val="Arial"/>
        <family val="0"/>
        <charset val="1"/>
      </rPr>
      <t xml:space="preserve">(#39~#92). 5</t>
    </r>
    <r>
      <rPr>
        <i val="true"/>
        <sz val="9"/>
        <color rgb="FF7F7F7F"/>
        <rFont val="Noto Sans CJK SC"/>
        <family val="2"/>
      </rPr>
      <t xml:space="preserve">월은 일부만 제공되어 제외</t>
    </r>
  </si>
  <si>
    <t xml:space="preserve">분석 시작 표시일자</t>
  </si>
  <si>
    <t xml:space="preserve">분석 종료 표시일자</t>
  </si>
  <si>
    <t xml:space="preserve">달력 경과일수</t>
  </si>
  <si>
    <t xml:space="preserve">일</t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</si>
  <si>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수</t>
    </r>
  </si>
  <si>
    <r>
      <rPr>
        <i val="true"/>
        <sz val="9"/>
        <color rgb="FF7F7F7F"/>
        <rFont val="Noto Sans CJK SC"/>
        <family val="2"/>
      </rPr>
      <t xml:space="preserve">번호 연속 가정 </t>
    </r>
    <r>
      <rPr>
        <i val="true"/>
        <sz val="9"/>
        <color rgb="FF7F7F7F"/>
        <rFont val="Arial"/>
        <family val="0"/>
        <charset val="1"/>
      </rPr>
      <t xml:space="preserve">(02 </t>
    </r>
    <r>
      <rPr>
        <i val="true"/>
        <sz val="9"/>
        <color rgb="FF7F7F7F"/>
        <rFont val="Noto Sans CJK SC"/>
        <family val="2"/>
      </rPr>
      <t xml:space="preserve">시트 번호 연속 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</si>
  <si>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분석 포함 간격 수 </t>
    </r>
    <r>
      <rPr>
        <sz val="9"/>
        <color rgb="FF000000"/>
        <rFont val="Arial"/>
        <family val="0"/>
        <charset val="1"/>
      </rPr>
      <t xml:space="preserve">(02 </t>
    </r>
    <r>
      <rPr>
        <sz val="9"/>
        <color rgb="FF000000"/>
        <rFont val="Noto Sans CJK SC"/>
        <family val="2"/>
      </rPr>
      <t xml:space="preserve">시트</t>
    </r>
    <r>
      <rPr>
        <sz val="9"/>
        <color rgb="FF000000"/>
        <rFont val="Arial"/>
        <family val="0"/>
        <charset val="1"/>
      </rPr>
      <t xml:space="preserve">)</t>
    </r>
  </si>
  <si>
    <t xml:space="preserve">위 값과 같아야 함</t>
  </si>
  <si>
    <t xml:space="preserve">평균 간격</t>
  </si>
  <si>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/Batch</t>
    </r>
  </si>
  <si>
    <r>
      <rPr>
        <i val="true"/>
        <sz val="9"/>
        <color rgb="FF7F7F7F"/>
        <rFont val="Noto Sans CJK SC"/>
        <family val="2"/>
      </rPr>
      <t xml:space="preserve">개별 간격 평균과 동일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누적 방식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</si>
  <si>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추정 실효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중앙 추정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</si>
  <si>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경과일수</t>
    </r>
    <r>
      <rPr>
        <i val="true"/>
        <sz val="9"/>
        <color rgb="FF7F7F7F"/>
        <rFont val="Arial"/>
        <family val="0"/>
        <charset val="1"/>
      </rPr>
      <t xml:space="preserve">×24 ÷ </t>
    </r>
    <r>
      <rPr>
        <i val="true"/>
        <sz val="9"/>
        <color rgb="FF7F7F7F"/>
        <rFont val="Noto Sans CJK SC"/>
        <family val="2"/>
      </rPr>
      <t xml:space="preserve">간격 수 — 표시일자가 매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동일 이벤트라고 가정</t>
    </r>
  </si>
  <si>
    <r>
      <rPr>
        <sz val="9"/>
        <color rgb="FF000000"/>
        <rFont val="Noto Sans CJK SC"/>
        <family val="2"/>
      </rPr>
      <t xml:space="preserve">추정 범위 하한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날짜 해상도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</si>
  <si>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시각 미상 → 양 끝 </t>
    </r>
    <r>
      <rPr>
        <i val="true"/>
        <sz val="9"/>
        <color rgb="FF7F7F7F"/>
        <rFont val="Arial"/>
        <family val="0"/>
        <charset val="1"/>
      </rPr>
      <t xml:space="preserve">±1</t>
    </r>
    <r>
      <rPr>
        <i val="true"/>
        <sz val="9"/>
        <color rgb="FF7F7F7F"/>
        <rFont val="Noto Sans CJK SC"/>
        <family val="2"/>
      </rPr>
      <t xml:space="preserve">일 → 장기 누적이라 범위가 좁음</t>
    </r>
  </si>
  <si>
    <r>
      <rPr>
        <sz val="9"/>
        <color rgb="FF000000"/>
        <rFont val="Noto Sans CJK SC"/>
        <family val="2"/>
      </rPr>
      <t xml:space="preserve">추정 범위 상한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날짜 해상도</t>
    </r>
    <r>
      <rPr>
        <sz val="9"/>
        <color rgb="FF000000"/>
        <rFont val="Arial"/>
        <family val="0"/>
        <charset val="1"/>
      </rPr>
      <t xml:space="preserve">)</t>
    </r>
  </si>
  <si>
    <t xml:space="preserve">개별 간격 중앙값</t>
  </si>
  <si>
    <r>
      <rPr>
        <i val="true"/>
        <sz val="9"/>
        <color rgb="FF7F7F7F"/>
        <rFont val="Arial"/>
        <family val="0"/>
        <charset val="1"/>
      </rPr>
      <t xml:space="preserve">3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= 72 h (</t>
    </r>
    <r>
      <rPr>
        <i val="true"/>
        <sz val="9"/>
        <color rgb="FF7F7F7F"/>
        <rFont val="Noto Sans CJK SC"/>
        <family val="2"/>
      </rPr>
      <t xml:space="preserve">명목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</si>
  <si>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 간격 비중</t>
    </r>
  </si>
  <si>
    <r>
      <rPr>
        <sz val="9"/>
        <color rgb="FF000000"/>
        <rFont val="Noto Sans CJK SC"/>
        <family val="2"/>
      </rPr>
      <t xml:space="preserve">실효 간격 − 정제 </t>
    </r>
    <r>
      <rPr>
        <sz val="9"/>
        <color rgb="FF000000"/>
        <rFont val="Arial"/>
        <family val="0"/>
        <charset val="1"/>
      </rPr>
      <t xml:space="preserve">57 h (</t>
    </r>
    <r>
      <rPr>
        <sz val="9"/>
        <color rgb="FF000000"/>
        <rFont val="Noto Sans CJK SC"/>
        <family val="2"/>
      </rPr>
      <t xml:space="preserve">비정제 시간 추정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</si>
  <si>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투입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Noto Sans CJK SC"/>
        <family val="2"/>
      </rPr>
      <t xml:space="preserve">검사</t>
    </r>
    <r>
      <rPr>
        <i val="true"/>
        <sz val="9"/>
        <color rgb="FF7F7F7F"/>
        <rFont val="Arial"/>
        <family val="0"/>
        <charset val="1"/>
      </rPr>
      <t xml:space="preserve">·Tank 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Noto Sans CJK SC"/>
        <family val="2"/>
      </rPr>
      <t xml:space="preserve">계획 여유 등 가능성 — 구성 미확인</t>
    </r>
  </si>
  <si>
    <t xml:space="preserve">비정제 시간 범위 하한</t>
  </si>
  <si>
    <t xml:space="preserve">비정제 시간 범위 상한</t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</si>
  <si>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소수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</si>
  <si>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(31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소수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</si>
  <si>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과거 </t>
    </r>
    <r>
      <rPr>
        <i val="true"/>
        <sz val="9"/>
        <color rgb="FF7F7F7F"/>
        <rFont val="Arial"/>
        <family val="0"/>
        <charset val="1"/>
      </rPr>
      <t xml:space="preserve">11 Batch 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(31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비교</t>
    </r>
  </si>
  <si>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달력 연속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정수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</si>
  <si>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103℃ </t>
    </r>
    <r>
      <rPr>
        <i val="true"/>
        <sz val="9"/>
        <color rgb="FF7F7F7F"/>
        <rFont val="Noto Sans CJK SC"/>
        <family val="2"/>
      </rPr>
      <t xml:space="preserve">조건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추가 미반영</t>
    </r>
  </si>
  <si>
    <r>
      <rPr>
        <sz val="9"/>
        <color rgb="FF000000"/>
        <rFont val="Noto Sans CJK SC"/>
        <family val="2"/>
      </rPr>
      <t xml:space="preserve">월 생산량 참고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소수 </t>
    </r>
    <r>
      <rPr>
        <sz val="9"/>
        <color rgb="FF000000"/>
        <rFont val="Arial"/>
        <family val="0"/>
        <charset val="1"/>
      </rPr>
      <t xml:space="preserve">Batch)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</si>
  <si>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#37 </t>
    </r>
    <r>
      <rPr>
        <sz val="9"/>
        <color rgb="FF000000"/>
        <rFont val="Noto Sans CJK SC"/>
        <family val="2"/>
      </rPr>
      <t xml:space="preserve">포함 시 평균 간격</t>
    </r>
  </si>
  <si>
    <r>
      <rPr>
        <i val="true"/>
        <sz val="9"/>
        <color rgb="FF7F7F7F"/>
        <rFont val="Arial"/>
        <family val="0"/>
        <charset val="1"/>
      </rPr>
      <t xml:space="preserve">5/26→6/2 (7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Noto Sans CJK SC"/>
        <family val="2"/>
      </rPr>
      <t xml:space="preserve">포함 — 자료 공백 가능성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</si>
  <si>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6~10</t>
    </r>
    <r>
      <rPr>
        <sz val="9"/>
        <color rgb="FF000000"/>
        <rFont val="Noto Sans CJK SC"/>
        <family val="2"/>
      </rPr>
      <t xml:space="preserve">월 달력일수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</si>
  <si>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원자료 </t>
    </r>
    <r>
      <rPr>
        <sz val="9"/>
        <color rgb="FF000000"/>
        <rFont val="Arial"/>
        <family val="0"/>
        <charset val="1"/>
      </rPr>
      <t xml:space="preserve">Total(46)</t>
    </r>
    <r>
      <rPr>
        <sz val="9"/>
        <color rgb="FF000000"/>
        <rFont val="Noto Sans CJK SC"/>
        <family val="2"/>
      </rPr>
      <t xml:space="preserve">을 완료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로 해석 시 간격</t>
    </r>
  </si>
  <si>
    <r>
      <rPr>
        <i val="true"/>
        <sz val="9"/>
        <color rgb="FF7F7F7F"/>
        <rFont val="Arial"/>
        <family val="0"/>
        <charset val="1"/>
      </rPr>
      <t xml:space="preserve">Total </t>
    </r>
    <r>
      <rPr>
        <i val="true"/>
        <sz val="9"/>
        <color rgb="FF7F7F7F"/>
        <rFont val="Noto Sans CJK SC"/>
        <family val="2"/>
      </rPr>
      <t xml:space="preserve">집계 대상 미확인 — 참고값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</si>
  <si>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번호 개수</t>
    </r>
    <r>
      <rPr>
        <sz val="9"/>
        <color rgb="FF000000"/>
        <rFont val="Arial"/>
        <family val="0"/>
        <charset val="1"/>
      </rPr>
      <t xml:space="preserve">(54)</t>
    </r>
    <r>
      <rPr>
        <sz val="9"/>
        <color rgb="FF000000"/>
        <rFont val="Noto Sans CJK SC"/>
        <family val="2"/>
      </rPr>
      <t xml:space="preserve">를 월 달력으로 나눈 간격</t>
    </r>
  </si>
  <si>
    <t xml:space="preserve">월 경계 이월 포함</t>
  </si>
  <si>
    <t xml:space="preserve">구간</t>
  </si>
  <si>
    <r>
      <rPr>
        <i val="true"/>
        <sz val="9"/>
        <color rgb="FF7F7F7F"/>
        <rFont val="Noto Sans CJK SC"/>
        <family val="2"/>
      </rPr>
      <t xml:space="preserve">연속 </t>
    </r>
    <r>
      <rPr>
        <i val="true"/>
        <sz val="9"/>
        <color rgb="FF7F7F7F"/>
        <rFont val="Arial"/>
        <family val="0"/>
        <charset val="1"/>
      </rPr>
      <t xml:space="preserve">k</t>
    </r>
    <r>
      <rPr>
        <i val="true"/>
        <sz val="9"/>
        <color rgb="FF7F7F7F"/>
        <rFont val="Noto Sans CJK SC"/>
        <family val="2"/>
      </rPr>
      <t xml:space="preserve">간격 평균 최대 경과 </t>
    </r>
    <r>
      <rPr>
        <i val="true"/>
        <sz val="9"/>
        <color rgb="FF7F7F7F"/>
        <rFont val="Arial"/>
        <family val="0"/>
        <charset val="1"/>
      </rPr>
      <t xml:space="preserve">&lt; 57 h (6/23~7/3, 9/3~9/11)</t>
    </r>
  </si>
  <si>
    <r>
      <rPr>
        <b val="true"/>
        <sz val="11"/>
        <color rgb="FFEB002C"/>
        <rFont val="Arial"/>
        <family val="0"/>
        <charset val="1"/>
      </rPr>
      <t xml:space="preserve">5. </t>
    </r>
    <r>
      <rPr>
        <b val="true"/>
        <sz val="11"/>
        <color rgb="FFEB002C"/>
        <rFont val="Noto Sans CJK SC"/>
        <family val="2"/>
      </rPr>
      <t xml:space="preserve">현재 </t>
    </r>
    <r>
      <rPr>
        <b val="true"/>
        <sz val="11"/>
        <color rgb="FFEB002C"/>
        <rFont val="Arial"/>
        <family val="0"/>
        <charset val="1"/>
      </rPr>
      <t xml:space="preserve">Capa. 26.2</t>
    </r>
    <r>
      <rPr>
        <b val="true"/>
        <sz val="11"/>
        <color rgb="FFEB002C"/>
        <rFont val="Noto Sans CJK SC"/>
        <family val="2"/>
      </rPr>
      <t xml:space="preserve">톤</t>
    </r>
    <r>
      <rPr>
        <b val="true"/>
        <sz val="11"/>
        <color rgb="FFEB002C"/>
        <rFont val="Arial"/>
        <family val="0"/>
        <charset val="1"/>
      </rPr>
      <t xml:space="preserve">/</t>
    </r>
    <r>
      <rPr>
        <b val="true"/>
        <sz val="11"/>
        <color rgb="FFEB002C"/>
        <rFont val="Noto Sans CJK SC"/>
        <family val="2"/>
      </rPr>
      <t xml:space="preserve">년 환산 관계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기준값 유지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조정하지 않음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</si>
  <si>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연간 </t>
    </r>
    <r>
      <rPr>
        <sz val="9"/>
        <color rgb="FF000000"/>
        <rFont val="Arial"/>
        <family val="0"/>
        <charset val="1"/>
      </rPr>
      <t xml:space="preserve">Capa.</t>
    </r>
  </si>
  <si>
    <t xml:space="preserve">제공 기준값</t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</si>
  <si>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소수</t>
    </r>
    <r>
      <rPr>
        <sz val="9"/>
        <color rgb="FF000000"/>
        <rFont val="Arial"/>
        <family val="0"/>
        <charset val="1"/>
      </rPr>
      <t xml:space="preserve">)</t>
    </r>
  </si>
  <si>
    <t xml:space="preserve">26,200 ÷ 190</t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</si>
  <si>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내림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</si>
  <si>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내림</t>
    </r>
    <r>
      <rPr>
        <sz val="9"/>
        <color rgb="FF000000"/>
        <rFont val="Arial"/>
        <family val="0"/>
        <charset val="1"/>
      </rPr>
      <t xml:space="preserve">) </t>
    </r>
    <r>
      <rPr>
        <sz val="9"/>
        <color rgb="FF000000"/>
        <rFont val="Noto Sans CJK SC"/>
        <family val="2"/>
      </rPr>
      <t xml:space="preserve">생산량</t>
    </r>
  </si>
  <si>
    <t xml:space="preserve">137 × 190</t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</si>
  <si>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</si>
  <si>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반올림</t>
    </r>
    <r>
      <rPr>
        <sz val="9"/>
        <color rgb="FF000000"/>
        <rFont val="Arial"/>
        <family val="0"/>
        <charset val="1"/>
      </rPr>
      <t xml:space="preserve">) </t>
    </r>
    <r>
      <rPr>
        <sz val="9"/>
        <color rgb="FF000000"/>
        <rFont val="Noto Sans CJK SC"/>
        <family val="2"/>
      </rPr>
      <t xml:space="preserve">생산량</t>
    </r>
  </si>
  <si>
    <r>
      <rPr>
        <i val="true"/>
        <sz val="9"/>
        <color rgb="FF7F7F7F"/>
        <rFont val="Arial"/>
        <family val="0"/>
        <charset val="1"/>
      </rPr>
      <t xml:space="preserve">138 × 190 = 26,220 kg → 26.22</t>
    </r>
    <r>
      <rPr>
        <i val="true"/>
        <sz val="9"/>
        <color rgb="FF7F7F7F"/>
        <rFont val="Noto Sans CJK SC"/>
        <family val="2"/>
      </rPr>
      <t xml:space="preserve">톤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표시 </t>
    </r>
    <r>
      <rPr>
        <i val="true"/>
        <sz val="9"/>
        <color rgb="FF7F7F7F"/>
        <rFont val="Arial"/>
        <family val="0"/>
        <charset val="1"/>
      </rPr>
      <t xml:space="preserve">26.2</t>
    </r>
    <r>
      <rPr>
        <i val="true"/>
        <sz val="9"/>
        <color rgb="FF7F7F7F"/>
        <rFont val="Noto Sans CJK SC"/>
        <family val="2"/>
      </rPr>
      <t xml:space="preserve">톤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</si>
  <si>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평균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</si>
  <si>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t xml:space="preserve">실제 월 계획 아님</t>
  </si>
  <si>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역산 평균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</t>
    </r>
    <r>
      <rPr>
        <sz val="9"/>
        <color rgb="FF000000"/>
        <rFont val="Arial"/>
        <family val="0"/>
        <charset val="1"/>
      </rPr>
      <t xml:space="preserve">(8,760 h </t>
    </r>
    <r>
      <rPr>
        <sz val="9"/>
        <color rgb="FF000000"/>
        <rFont val="Noto Sans CJK SC"/>
        <family val="2"/>
      </rPr>
      <t xml:space="preserve">연속 가정</t>
    </r>
    <r>
      <rPr>
        <sz val="9"/>
        <color rgb="FF000000"/>
        <rFont val="Arial"/>
        <family val="0"/>
        <charset val="1"/>
      </rPr>
      <t xml:space="preserve">)</t>
    </r>
  </si>
  <si>
    <t xml:space="preserve">참고 역산값</t>
  </si>
  <si>
    <r>
      <rPr>
        <sz val="9"/>
        <color rgb="FF000000"/>
        <rFont val="Noto Sans CJK SC"/>
        <family val="2"/>
      </rPr>
      <t xml:space="preserve">관측 추정 연 생산량 −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</t>
    </r>
  </si>
  <si>
    <r>
      <rPr>
        <i val="true"/>
        <sz val="9"/>
        <color rgb="FF7F7F7F"/>
        <rFont val="Noto Sans CJK SC"/>
        <family val="2"/>
      </rPr>
      <t xml:space="preserve">차이 원인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가동일</t>
    </r>
    <r>
      <rPr>
        <i val="true"/>
        <sz val="9"/>
        <color rgb="FF7F7F7F"/>
        <rFont val="Arial"/>
        <family val="0"/>
        <charset val="1"/>
      </rPr>
      <t xml:space="preserve">·Batch</t>
    </r>
    <r>
      <rPr>
        <i val="true"/>
        <sz val="9"/>
        <color rgb="FF7F7F7F"/>
        <rFont val="Noto Sans CJK SC"/>
        <family val="2"/>
      </rPr>
      <t xml:space="preserve">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집계 기준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Noto Sans CJK SC"/>
        <family val="2"/>
      </rPr>
      <t xml:space="preserve">확인</t>
    </r>
  </si>
  <si>
    <r>
      <rPr>
        <b val="true"/>
        <sz val="11"/>
        <color rgb="FFEB002C"/>
        <rFont val="Arial"/>
        <family val="0"/>
        <charset val="1"/>
      </rPr>
      <t xml:space="preserve">6. </t>
    </r>
    <r>
      <rPr>
        <b val="true"/>
        <sz val="11"/>
        <color rgb="FFEB002C"/>
        <rFont val="Noto Sans CJK SC"/>
        <family val="2"/>
      </rPr>
      <t xml:space="preserve">생산능력 비교표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기준</t>
    </r>
    <r>
      <rPr>
        <b val="true"/>
        <sz val="11"/>
        <color rgb="FFEB002C"/>
        <rFont val="Arial"/>
        <family val="0"/>
        <charset val="1"/>
      </rPr>
      <t xml:space="preserve">, 190 kg/Batch)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</si>
  <si>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</si>
  <si>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
(30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</si>
  <si>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
(31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</si>
  <si>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 </t>
    </r>
    <r>
      <rPr>
        <b val="true"/>
        <sz val="9"/>
        <color rgb="FFFFFFFF"/>
        <rFont val="Arial"/>
        <family val="0"/>
        <charset val="1"/>
      </rPr>
      <t xml:space="preserve">Batch
(</t>
    </r>
    <r>
      <rPr>
        <b val="true"/>
        <sz val="9"/>
        <color rgb="FFFFFFFF"/>
        <rFont val="Noto Sans CJK SC"/>
        <family val="2"/>
      </rPr>
      <t xml:space="preserve">달력 연속</t>
    </r>
    <r>
      <rPr>
        <b val="true"/>
        <sz val="9"/>
        <color rgb="FFFFFFFF"/>
        <rFont val="Arial"/>
        <family val="0"/>
        <charset val="1"/>
      </rPr>
      <t xml:space="preserve">, </t>
    </r>
    <r>
      <rPr>
        <b val="true"/>
        <sz val="9"/>
        <color rgb="FFFFFFFF"/>
        <rFont val="Noto Sans CJK SC"/>
        <family val="2"/>
      </rPr>
      <t xml:space="preserve">정수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</si>
  <si>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 생산량
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</si>
  <si>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Arial"/>
        <family val="0"/>
        <charset val="1"/>
      </rPr>
      <t xml:space="preserve">26.2</t>
    </r>
    <r>
      <rPr>
        <b val="true"/>
        <sz val="9"/>
        <color rgb="FFFFFFFF"/>
        <rFont val="Noto Sans CJK SC"/>
        <family val="2"/>
      </rPr>
      <t xml:space="preserve">톤 대비
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</si>
  <si>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근거 </t>
    </r>
    <r>
      <rPr>
        <b val="true"/>
        <sz val="9"/>
        <color rgb="FFFFFFFF"/>
        <rFont val="Arial"/>
        <family val="0"/>
        <charset val="1"/>
      </rPr>
      <t xml:space="preserve">· </t>
    </r>
    <r>
      <rPr>
        <b val="true"/>
        <sz val="9"/>
        <color rgb="FFFFFFFF"/>
        <rFont val="Noto Sans CJK SC"/>
        <family val="2"/>
      </rPr>
      <t xml:space="preserve">적용 범위</t>
    </r>
  </si>
  <si>
    <r>
      <rPr>
        <b val="true"/>
        <sz val="9"/>
        <color rgb="FF000000"/>
        <rFont val="Noto Sans CJK SC"/>
        <family val="2"/>
      </rPr>
      <t xml:space="preserve">① 이론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 </t>
    </r>
    <r>
      <rPr>
        <b val="true"/>
        <sz val="9"/>
        <color rgb="FF000000"/>
        <rFont val="Arial"/>
        <family val="0"/>
        <charset val="1"/>
      </rPr>
      <t xml:space="preserve">57 h</t>
    </r>
    <r>
      <rPr>
        <b val="true"/>
        <sz val="9"/>
        <color rgb="FF000000"/>
        <rFont val="Noto Sans CJK SC"/>
        <family val="2"/>
      </rPr>
      <t xml:space="preserve">만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</si>
  <si>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상한 — 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</t>
    </r>
  </si>
  <si>
    <r>
      <rPr>
        <b val="true"/>
        <sz val="9"/>
        <color rgb="FF000000"/>
        <rFont val="Noto Sans CJK SC"/>
        <family val="2"/>
      </rPr>
      <t xml:space="preserve">현재 </t>
    </r>
    <r>
      <rPr>
        <b val="true"/>
        <sz val="9"/>
        <color rgb="FF000000"/>
        <rFont val="Arial"/>
        <family val="0"/>
        <charset val="1"/>
      </rPr>
      <t xml:space="preserve">Capa. 26.2</t>
    </r>
    <r>
      <rPr>
        <b val="true"/>
        <sz val="9"/>
        <color rgb="FF000000"/>
        <rFont val="Noto Sans CJK SC"/>
        <family val="2"/>
      </rPr>
      <t xml:space="preserve">톤 역산</t>
    </r>
  </si>
  <si>
    <r>
      <rPr>
        <i val="true"/>
        <sz val="9"/>
        <color rgb="FF7F7F7F"/>
        <rFont val="Noto Sans CJK SC"/>
        <family val="2"/>
      </rPr>
      <t xml:space="preserve">제공 기준값의 등가 간격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역산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</si>
  <si>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000000"/>
        <rFont val="Noto Sans CJK SC"/>
        <family val="2"/>
      </rPr>
      <t xml:space="preserve">② 과거 월 최대 </t>
    </r>
    <r>
      <rPr>
        <b val="true"/>
        <sz val="9"/>
        <color rgb="FF000000"/>
        <rFont val="Arial"/>
        <family val="0"/>
        <charset val="1"/>
      </rPr>
      <t xml:space="preserve">11 Batch</t>
    </r>
  </si>
  <si>
    <r>
      <rPr>
        <i val="true"/>
        <sz val="9"/>
        <color rgb="FF7F7F7F"/>
        <rFont val="Arial"/>
        <family val="0"/>
        <charset val="1"/>
      </rPr>
      <t xml:space="preserve">30</t>
    </r>
    <r>
      <rPr>
        <i val="true"/>
        <sz val="9"/>
        <color rgb="FF7F7F7F"/>
        <rFont val="Noto Sans CJK SC"/>
        <family val="2"/>
      </rPr>
      <t xml:space="preserve">일 월 기준 배분 실효시간</t>
    </r>
  </si>
  <si>
    <t xml:space="preserve">③ 과거 일정 관측 추정</t>
  </si>
  <si>
    <r>
      <rPr>
        <i val="true"/>
        <sz val="9"/>
        <color rgb="FF7F7F7F"/>
        <rFont val="Arial"/>
        <family val="0"/>
        <charset val="1"/>
      </rPr>
      <t xml:space="preserve">2026.6~10 </t>
    </r>
    <r>
      <rPr>
        <i val="true"/>
        <sz val="9"/>
        <color rgb="FF7F7F7F"/>
        <rFont val="Noto Sans CJK SC"/>
        <family val="2"/>
      </rPr>
      <t xml:space="preserve">계획 일정 </t>
    </r>
    <r>
      <rPr>
        <i val="true"/>
        <sz val="9"/>
        <color rgb="FF7F7F7F"/>
        <rFont val="Arial"/>
        <family val="0"/>
        <charset val="1"/>
      </rPr>
      <t xml:space="preserve">#39~#92</t>
    </r>
  </si>
  <si>
    <r>
      <rPr>
        <b val="true"/>
        <sz val="9"/>
        <color rgb="FF000000"/>
        <rFont val="Noto Sans CJK SC"/>
        <family val="2"/>
      </rPr>
      <t xml:space="preserve">참고</t>
    </r>
    <r>
      <rPr>
        <b val="true"/>
        <sz val="9"/>
        <color rgb="FF000000"/>
        <rFont val="Arial"/>
        <family val="0"/>
        <charset val="1"/>
      </rPr>
      <t xml:space="preserve">: </t>
    </r>
    <r>
      <rPr>
        <b val="true"/>
        <sz val="9"/>
        <color rgb="FF000000"/>
        <rFont val="Noto Sans CJK SC"/>
        <family val="2"/>
      </rPr>
      <t xml:space="preserve">원자료 </t>
    </r>
    <r>
      <rPr>
        <b val="true"/>
        <sz val="9"/>
        <color rgb="FF000000"/>
        <rFont val="Arial"/>
        <family val="0"/>
        <charset val="1"/>
      </rPr>
      <t xml:space="preserve">Total </t>
    </r>
    <r>
      <rPr>
        <b val="true"/>
        <sz val="9"/>
        <color rgb="FF000000"/>
        <rFont val="Noto Sans CJK SC"/>
        <family val="2"/>
      </rPr>
      <t xml:space="preserve">기준</t>
    </r>
  </si>
  <si>
    <r>
      <rPr>
        <i val="true"/>
        <sz val="9"/>
        <color rgb="FF7F7F7F"/>
        <rFont val="Arial"/>
        <family val="0"/>
        <charset val="1"/>
      </rPr>
      <t xml:space="preserve">Total=</t>
    </r>
    <r>
      <rPr>
        <i val="true"/>
        <sz val="9"/>
        <color rgb="FF7F7F7F"/>
        <rFont val="Noto Sans CJK SC"/>
        <family val="2"/>
      </rPr>
      <t xml:space="preserve">완료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해석 시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미확인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</si>
  <si>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시트 적용 현재 조건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</t>
    </r>
    <r>
      <rPr>
        <sz val="9"/>
        <color rgb="FF000000"/>
        <rFont val="Arial"/>
        <family val="0"/>
        <charset val="1"/>
      </rPr>
      <t xml:space="preserve">(01_Inputs </t>
    </r>
    <r>
      <rPr>
        <sz val="9"/>
        <color rgb="FF000000"/>
        <rFont val="Noto Sans CJK SC"/>
        <family val="2"/>
      </rPr>
      <t xml:space="preserve">선택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</si>
  <si>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1=</t>
    </r>
    <r>
      <rPr>
        <i val="true"/>
        <sz val="9"/>
        <color rgb="FF7F7F7F"/>
        <rFont val="Noto Sans CJK SC"/>
        <family val="2"/>
      </rPr>
      <t xml:space="preserve">이론</t>
    </r>
    <r>
      <rPr>
        <i val="true"/>
        <sz val="9"/>
        <color rgb="FF7F7F7F"/>
        <rFont val="Arial"/>
        <family val="0"/>
        <charset val="1"/>
      </rPr>
      <t xml:space="preserve">, 2=</t>
    </r>
    <r>
      <rPr>
        <i val="true"/>
        <sz val="9"/>
        <color rgb="FF7F7F7F"/>
        <rFont val="Noto Sans CJK SC"/>
        <family val="2"/>
      </rPr>
      <t xml:space="preserve">과거 최대</t>
    </r>
    <r>
      <rPr>
        <i val="true"/>
        <sz val="9"/>
        <color rgb="FF7F7F7F"/>
        <rFont val="Arial"/>
        <family val="0"/>
        <charset val="1"/>
      </rPr>
      <t xml:space="preserve">, 3=</t>
    </r>
    <r>
      <rPr>
        <i val="true"/>
        <sz val="9"/>
        <color rgb="FF7F7F7F"/>
        <rFont val="Noto Sans CJK SC"/>
        <family val="2"/>
      </rPr>
      <t xml:space="preserve">관측 추정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기본</t>
    </r>
    <r>
      <rPr>
        <i val="true"/>
        <sz val="9"/>
        <color rgb="FF7F7F7F"/>
        <rFont val="Arial"/>
        <family val="0"/>
        <charset val="1"/>
      </rPr>
      <t xml:space="preserve">), 4=26.2</t>
    </r>
    <r>
      <rPr>
        <i val="true"/>
        <sz val="9"/>
        <color rgb="FF7F7F7F"/>
        <rFont val="Noto Sans CJK SC"/>
        <family val="2"/>
      </rPr>
      <t xml:space="preserve">톤 역산</t>
    </r>
  </si>
  <si>
    <t xml:space="preserve">선택 기준명</t>
  </si>
  <si>
    <r>
      <rPr>
        <b val="true"/>
        <sz val="11"/>
        <color rgb="FFEB002C"/>
        <rFont val="Arial"/>
        <family val="0"/>
        <charset val="1"/>
      </rPr>
      <t xml:space="preserve">7. ④ </t>
    </r>
    <r>
      <rPr>
        <b val="true"/>
        <sz val="11"/>
        <color rgb="FFEB002C"/>
        <rFont val="Noto Sans CJK SC"/>
        <family val="2"/>
      </rPr>
      <t xml:space="preserve">후공정 작업량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가용시간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720 h</t>
    </r>
    <r>
      <rPr>
        <b val="true"/>
        <sz val="11"/>
        <color rgb="FFEB002C"/>
        <rFont val="Noto Sans CJK SC"/>
        <family val="2"/>
      </rPr>
      <t xml:space="preserve">와 별도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참고 시나리오는 확정값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</si>
  <si>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</t>
    </r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)</t>
    </r>
  </si>
  <si>
    <t xml:space="preserve">제공 작업 기준</t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</si>
  <si>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</t>
    </r>
    <r>
      <rPr>
        <sz val="9"/>
        <color rgb="FF000000"/>
        <rFont val="Arial"/>
        <family val="0"/>
        <charset val="1"/>
      </rPr>
      <t xml:space="preserve">FQC</t>
    </r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</si>
  <si>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월 최대 </t>
    </r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작업시간</t>
    </r>
  </si>
  <si>
    <r>
      <rPr>
        <i val="true"/>
        <sz val="9"/>
        <color rgb="FF7F7F7F"/>
        <rFont val="Arial"/>
        <family val="0"/>
        <charset val="1"/>
      </rPr>
      <t xml:space="preserve">04 </t>
    </r>
    <r>
      <rPr>
        <i val="true"/>
        <sz val="9"/>
        <color rgb="FF7F7F7F"/>
        <rFont val="Noto Sans CJK SC"/>
        <family val="2"/>
      </rPr>
      <t xml:space="preserve">시트 </t>
    </r>
    <r>
      <rPr>
        <i val="true"/>
        <sz val="9"/>
        <color rgb="FF7F7F7F"/>
        <rFont val="Arial"/>
        <family val="0"/>
        <charset val="1"/>
      </rPr>
      <t xml:space="preserve">2026 </t>
    </r>
    <r>
      <rPr>
        <i val="true"/>
        <sz val="9"/>
        <color rgb="FF7F7F7F"/>
        <rFont val="Noto Sans CJK SC"/>
        <family val="2"/>
      </rPr>
      <t xml:space="preserve">최대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</si>
  <si>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월 최대 </t>
    </r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작업시간</t>
    </r>
  </si>
  <si>
    <r>
      <rPr>
        <i val="true"/>
        <sz val="9"/>
        <color rgb="FF7F7F7F"/>
        <rFont val="Arial"/>
        <family val="0"/>
        <charset val="1"/>
      </rPr>
      <t xml:space="preserve">04 </t>
    </r>
    <r>
      <rPr>
        <i val="true"/>
        <sz val="9"/>
        <color rgb="FF7F7F7F"/>
        <rFont val="Noto Sans CJK SC"/>
        <family val="2"/>
      </rPr>
      <t xml:space="preserve">시트 </t>
    </r>
    <r>
      <rPr>
        <i val="true"/>
        <sz val="9"/>
        <color rgb="FF7F7F7F"/>
        <rFont val="Arial"/>
        <family val="0"/>
        <charset val="1"/>
      </rPr>
      <t xml:space="preserve">2027 </t>
    </r>
    <r>
      <rPr>
        <i val="true"/>
        <sz val="9"/>
        <color rgb="FF7F7F7F"/>
        <rFont val="Noto Sans CJK SC"/>
        <family val="2"/>
      </rPr>
      <t xml:space="preserve">최대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</si>
  <si>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월 최대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 작업시간</t>
    </r>
  </si>
  <si>
    <r>
      <rPr>
        <i val="true"/>
        <sz val="9"/>
        <color rgb="FF7F7F7F"/>
        <rFont val="Arial"/>
        <family val="0"/>
        <charset val="1"/>
      </rPr>
      <t xml:space="preserve">ARS </t>
    </r>
    <r>
      <rPr>
        <i val="true"/>
        <sz val="9"/>
        <color rgb="FF7F7F7F"/>
        <rFont val="Noto Sans CJK SC"/>
        <family val="2"/>
      </rPr>
      <t xml:space="preserve">시간 미확인 시 수동 </t>
    </r>
    <r>
      <rPr>
        <i val="true"/>
        <sz val="9"/>
        <color rgb="FF7F7F7F"/>
        <rFont val="Arial"/>
        <family val="0"/>
        <charset val="1"/>
      </rPr>
      <t xml:space="preserve">8 h/</t>
    </r>
    <r>
      <rPr>
        <i val="true"/>
        <sz val="9"/>
        <color rgb="FF7F7F7F"/>
        <rFont val="Noto Sans CJK SC"/>
        <family val="2"/>
      </rPr>
      <t xml:space="preserve">용기 참고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</si>
  <si>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작업시간 </t>
    </r>
    <r>
      <rPr>
        <sz val="9"/>
        <color rgb="FF000000"/>
        <rFont val="Arial"/>
        <family val="0"/>
        <charset val="1"/>
      </rPr>
      <t xml:space="preserve">(Batch</t>
    </r>
    <r>
      <rPr>
        <sz val="9"/>
        <color rgb="FF000000"/>
        <rFont val="Noto Sans CJK SC"/>
        <family val="2"/>
      </rPr>
      <t xml:space="preserve">당 </t>
    </r>
    <r>
      <rPr>
        <sz val="9"/>
        <color rgb="FF000000"/>
        <rFont val="Arial"/>
        <family val="0"/>
        <charset val="1"/>
      </rPr>
      <t xml:space="preserve">IQC+FQC+OQC </t>
    </r>
    <r>
      <rPr>
        <sz val="9"/>
        <color rgb="FF000000"/>
        <rFont val="Noto Sans CJK SC"/>
        <family val="2"/>
      </rPr>
      <t xml:space="preserve">상한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</si>
  <si>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2026 </t>
    </r>
    <r>
      <rPr>
        <i val="true"/>
        <sz val="9"/>
        <color rgb="FF7F7F7F"/>
        <rFont val="Noto Sans CJK SC"/>
        <family val="2"/>
      </rPr>
      <t xml:space="preserve">월 최대 — 상한 가정</t>
    </r>
  </si>
  <si>
    <t xml:space="preserve">후공정 가용시간 시나리오</t>
  </si>
  <si>
    <r>
      <rPr>
        <b val="true"/>
        <sz val="9"/>
        <color rgb="FFFFFFFF"/>
        <rFont val="Noto Sans CJK SC"/>
        <family val="2"/>
      </rPr>
      <t xml:space="preserve">일 근무
</t>
    </r>
    <r>
      <rPr>
        <b val="true"/>
        <sz val="9"/>
        <color rgb="FFFFFFFF"/>
        <rFont val="Arial"/>
        <family val="0"/>
        <charset val="1"/>
      </rPr>
      <t xml:space="preserve">(h/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</si>
  <si>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월 근무일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</si>
  <si>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월 가용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</si>
  <si>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2026 5 Gal
</t>
    </r>
    <r>
      <rPr>
        <b val="true"/>
        <sz val="9"/>
        <color rgb="FFFFFFFF"/>
        <rFont val="Noto Sans CJK SC"/>
        <family val="2"/>
      </rPr>
      <t xml:space="preserve">최대 부하율</t>
    </r>
  </si>
  <si>
    <r>
      <rPr>
        <b val="true"/>
        <sz val="9"/>
        <color rgb="FFFFFFFF"/>
        <rFont val="Arial"/>
        <family val="0"/>
        <charset val="1"/>
      </rPr>
      <t xml:space="preserve">2027 5 Gal
</t>
    </r>
    <r>
      <rPr>
        <b val="true"/>
        <sz val="9"/>
        <color rgb="FFFFFFFF"/>
        <rFont val="Noto Sans CJK SC"/>
        <family val="2"/>
      </rPr>
      <t xml:space="preserve">최대 부하율</t>
    </r>
  </si>
  <si>
    <r>
      <rPr>
        <b val="true"/>
        <sz val="9"/>
        <color rgb="FFFFFFFF"/>
        <rFont val="Arial"/>
        <family val="0"/>
        <charset val="1"/>
      </rPr>
      <t xml:space="preserve">2027 5 Gal
</t>
    </r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</si>
  <si>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000000"/>
        <rFont val="Noto Sans CJK SC"/>
        <family val="2"/>
      </rPr>
      <t xml:space="preserve">입력값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글로브 박스 가용 근무시간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</si>
  <si>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01_Inputs F — </t>
    </r>
    <r>
      <rPr>
        <i val="true"/>
        <sz val="9"/>
        <color rgb="FF7F7F7F"/>
        <rFont val="Noto Sans CJK SC"/>
        <family val="2"/>
      </rPr>
      <t xml:space="preserve">미확인 시 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미확인</t>
    </r>
    <r>
      <rPr>
        <i val="true"/>
        <sz val="9"/>
        <color rgb="FF7F7F7F"/>
        <rFont val="Arial"/>
        <family val="0"/>
        <charset val="1"/>
      </rPr>
      <t xml:space="preserve">'</t>
    </r>
  </si>
  <si>
    <r>
      <rPr>
        <b val="true"/>
        <sz val="9"/>
        <color rgb="FF000000"/>
        <rFont val="Noto Sans CJK SC"/>
        <family val="2"/>
      </rPr>
      <t xml:space="preserve">참고 ① </t>
    </r>
    <r>
      <rPr>
        <b val="true"/>
        <sz val="9"/>
        <color rgb="FF000000"/>
        <rFont val="Arial"/>
        <family val="0"/>
        <charset val="1"/>
      </rPr>
      <t xml:space="preserve">1</t>
    </r>
    <r>
      <rPr>
        <b val="true"/>
        <sz val="9"/>
        <color rgb="FF000000"/>
        <rFont val="Noto Sans CJK SC"/>
        <family val="2"/>
      </rPr>
      <t xml:space="preserve">교대</t>
    </r>
  </si>
  <si>
    <t xml:space="preserve">가정</t>
  </si>
  <si>
    <r>
      <rPr>
        <b val="true"/>
        <sz val="9"/>
        <color rgb="FF000000"/>
        <rFont val="Noto Sans CJK SC"/>
        <family val="2"/>
      </rPr>
      <t xml:space="preserve">참고 ②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</si>
  <si>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③ 연속 근무 </t>
    </r>
    <r>
      <rPr>
        <b val="true"/>
        <sz val="9"/>
        <color rgb="FF000000"/>
        <rFont val="Arial"/>
        <family val="0"/>
        <charset val="1"/>
      </rPr>
      <t xml:space="preserve">(30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</si>
  <si>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가정 — 정제기와 동일 </t>
    </r>
    <r>
      <rPr>
        <i val="true"/>
        <sz val="9"/>
        <color rgb="FF7F7F7F"/>
        <rFont val="Arial"/>
        <family val="0"/>
        <charset val="1"/>
      </rPr>
      <t xml:space="preserve">720 h </t>
    </r>
    <r>
      <rPr>
        <i val="true"/>
        <sz val="9"/>
        <color rgb="FF7F7F7F"/>
        <rFont val="Noto Sans CJK SC"/>
        <family val="2"/>
      </rPr>
      <t xml:space="preserve">가정 아님 확인용</t>
    </r>
  </si>
  <si>
    <r>
      <rPr>
        <b val="true"/>
        <sz val="11"/>
        <color rgb="FFEB002C"/>
        <rFont val="Arial"/>
        <family val="0"/>
        <charset val="1"/>
      </rPr>
      <t xml:space="preserve">8. ⑤ </t>
    </r>
    <r>
      <rPr>
        <b val="true"/>
        <sz val="11"/>
        <color rgb="FFEB002C"/>
        <rFont val="Noto Sans CJK SC"/>
        <family val="2"/>
      </rPr>
      <t xml:space="preserve">병렬 운영 병목 확인 — </t>
    </r>
    <r>
      <rPr>
        <b val="true"/>
        <sz val="11"/>
        <color rgb="FFEB002C"/>
        <rFont val="Arial"/>
        <family val="0"/>
        <charset val="1"/>
      </rPr>
      <t xml:space="preserve">Product Tank 1</t>
    </r>
    <r>
      <rPr>
        <b val="true"/>
        <sz val="11"/>
        <color rgb="FFEB002C"/>
        <rFont val="Noto Sans CJK SC"/>
        <family val="2"/>
      </rPr>
      <t xml:space="preserve">기 가정 시 </t>
    </r>
    <r>
      <rPr>
        <b val="true"/>
        <sz val="11"/>
        <color rgb="FFEB002C"/>
        <rFont val="Arial"/>
        <family val="0"/>
        <charset val="1"/>
      </rPr>
      <t xml:space="preserve">Tank </t>
    </r>
    <r>
      <rPr>
        <b val="true"/>
        <sz val="11"/>
        <color rgb="FFEB002C"/>
        <rFont val="Noto Sans CJK SC"/>
        <family val="2"/>
      </rPr>
      <t xml:space="preserve">회전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충진 완료 ≤ 다음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정제 종료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</si>
  <si>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정제 후 </t>
    </r>
    <r>
      <rPr>
        <sz val="9"/>
        <color rgb="FF000000"/>
        <rFont val="Arial"/>
        <family val="0"/>
        <charset val="1"/>
      </rPr>
      <t xml:space="preserve">Tank </t>
    </r>
    <r>
      <rPr>
        <sz val="9"/>
        <color rgb="FF000000"/>
        <rFont val="Noto Sans CJK SC"/>
        <family val="2"/>
      </rPr>
      <t xml:space="preserve">점유 확인분 </t>
    </r>
    <r>
      <rPr>
        <sz val="9"/>
        <color rgb="FF000000"/>
        <rFont val="Arial"/>
        <family val="0"/>
        <charset val="1"/>
      </rPr>
      <t xml:space="preserve">(PQC+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+FQC+</t>
    </r>
    <r>
      <rPr>
        <sz val="9"/>
        <color rgb="FF000000"/>
        <rFont val="Noto Sans CJK SC"/>
        <family val="2"/>
      </rPr>
      <t xml:space="preserve">대기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충진 제외</t>
    </r>
    <r>
      <rPr>
        <sz val="9"/>
        <color rgb="FF000000"/>
        <rFont val="Arial"/>
        <family val="0"/>
        <charset val="1"/>
      </rPr>
      <t xml:space="preserve">)</t>
    </r>
  </si>
  <si>
    <t xml:space="preserve">미확인 항목은 미반영 → 하한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</si>
  <si>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47.2</t>
    </r>
    <r>
      <rPr>
        <sz val="9"/>
        <color rgb="FF000000"/>
        <rFont val="Noto Sans CJK SC"/>
        <family val="2"/>
      </rPr>
      <t xml:space="preserve">톤 달성 등가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</t>
    </r>
    <r>
      <rPr>
        <sz val="9"/>
        <color rgb="FF000000"/>
        <rFont val="Arial"/>
        <family val="0"/>
        <charset val="1"/>
      </rPr>
      <t xml:space="preserve">(190 kg </t>
    </r>
    <r>
      <rPr>
        <sz val="9"/>
        <color rgb="FF000000"/>
        <rFont val="Noto Sans CJK SC"/>
        <family val="2"/>
      </rPr>
      <t xml:space="preserve">유지 </t>
    </r>
    <r>
      <rPr>
        <sz val="9"/>
        <color rgb="FF000000"/>
        <rFont val="Arial"/>
        <family val="0"/>
        <charset val="1"/>
      </rPr>
      <t xml:space="preserve">· 8,760 h)</t>
    </r>
  </si>
  <si>
    <t xml:space="preserve">역산 참고 — 리플럭스 후 실제 정제시간 미확인</t>
  </si>
  <si>
    <r>
      <rPr>
        <b val="true"/>
        <sz val="9"/>
        <color rgb="FFFFFFFF"/>
        <rFont val="Arial"/>
        <family val="0"/>
        <charset val="1"/>
      </rPr>
      <t xml:space="preserve">5 Gal Batch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(16 h </t>
    </r>
    <r>
      <rPr>
        <b val="true"/>
        <sz val="9"/>
        <color rgb="FFFFFFFF"/>
        <rFont val="Noto Sans CJK SC"/>
        <family val="2"/>
      </rPr>
      <t xml:space="preserve">작업</t>
    </r>
    <r>
      <rPr>
        <b val="true"/>
        <sz val="9"/>
        <color rgb="FFFFFFFF"/>
        <rFont val="Arial"/>
        <family val="0"/>
        <charset val="1"/>
      </rPr>
      <t xml:space="preserve">) </t>
    </r>
    <r>
      <rPr>
        <b val="true"/>
        <sz val="9"/>
        <color rgb="FFFFFFFF"/>
        <rFont val="Noto Sans CJK SC"/>
        <family val="2"/>
      </rPr>
      <t xml:space="preserve">경과시간</t>
    </r>
  </si>
  <si>
    <r>
      <rPr>
        <b val="true"/>
        <sz val="9"/>
        <color rgb="FFFFFFFF"/>
        <rFont val="Noto Sans CJK SC"/>
        <family val="2"/>
      </rPr>
      <t xml:space="preserve">충진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</si>
  <si>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Tank </t>
    </r>
    <r>
      <rPr>
        <b val="true"/>
        <sz val="9"/>
        <color rgb="FFFFFFFF"/>
        <rFont val="Noto Sans CJK SC"/>
        <family val="2"/>
      </rPr>
      <t xml:space="preserve">점유
합계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</si>
  <si>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57 h
(</t>
    </r>
    <r>
      <rPr>
        <b val="true"/>
        <sz val="9"/>
        <color rgb="FFFFFFFF"/>
        <rFont val="Noto Sans CJK SC"/>
        <family val="2"/>
      </rPr>
      <t xml:space="preserve">이론 간격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</si>
  <si>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</t>
    </r>
    <r>
      <rPr>
        <b val="true"/>
        <sz val="9"/>
        <color rgb="FFFFFFFF"/>
        <rFont val="Noto Sans CJK SC"/>
        <family val="2"/>
      </rPr>
      <t xml:space="preserve">관측
실효 간격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</si>
  <si>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47.2</t>
    </r>
    <r>
      <rPr>
        <b val="true"/>
        <sz val="9"/>
        <color rgb="FFFFFFFF"/>
        <rFont val="Noto Sans CJK SC"/>
        <family val="2"/>
      </rPr>
      <t xml:space="preserve">톤
등가 간격</t>
    </r>
  </si>
  <si>
    <t xml:space="preserve">판단</t>
  </si>
  <si>
    <t xml:space="preserve">참고 ③ 연속</t>
  </si>
  <si>
    <r>
      <rPr>
        <i val="true"/>
        <sz val="9"/>
        <color rgb="FF7F7F7F"/>
        <rFont val="Arial"/>
        <family val="0"/>
        <charset val="1"/>
      </rPr>
      <t xml:space="preserve">※ Tank </t>
    </r>
    <r>
      <rPr>
        <i val="true"/>
        <sz val="9"/>
        <color rgb="FF7F7F7F"/>
        <rFont val="Noto Sans CJK SC"/>
        <family val="2"/>
      </rPr>
      <t xml:space="preserve">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용량이 확인되면</t>
    </r>
    <r>
      <rPr>
        <i val="true"/>
        <sz val="9"/>
        <color rgb="FF7F7F7F"/>
        <rFont val="Arial"/>
        <family val="0"/>
        <charset val="1"/>
      </rPr>
      <t xml:space="preserve">(01_Inputs F) 2</t>
    </r>
    <r>
      <rPr>
        <i val="true"/>
        <sz val="9"/>
        <color rgb="FF7F7F7F"/>
        <rFont val="Noto Sans CJK SC"/>
        <family val="2"/>
      </rPr>
      <t xml:space="preserve">기 이상일 때 이 제약은 완화됨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충진시간을 정제시간에 더해 정제기 능력을 줄이지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</si>
  <si>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1"/>
        <color rgb="FFEB002C"/>
        <rFont val="Arial"/>
        <family val="0"/>
        <charset val="1"/>
      </rPr>
      <t xml:space="preserve">9. </t>
    </r>
    <r>
      <rPr>
        <b val="true"/>
        <sz val="11"/>
        <color rgb="FFEB002C"/>
        <rFont val="Noto Sans CJK SC"/>
        <family val="2"/>
      </rPr>
      <t xml:space="preserve">병렬 운영 </t>
    </r>
    <r>
      <rPr>
        <b val="true"/>
        <sz val="11"/>
        <color rgb="FFEB002C"/>
        <rFont val="Arial"/>
        <family val="0"/>
        <charset val="1"/>
      </rPr>
      <t xml:space="preserve">Gantt (</t>
    </r>
    <r>
      <rPr>
        <b val="true"/>
        <sz val="11"/>
        <color rgb="FFEB002C"/>
        <rFont val="Noto Sans CJK SC"/>
        <family val="2"/>
      </rPr>
      <t xml:space="preserve">시간 </t>
    </r>
    <r>
      <rPr>
        <b val="true"/>
        <sz val="11"/>
        <color rgb="FFEB002C"/>
        <rFont val="Arial"/>
        <family val="0"/>
        <charset val="1"/>
      </rPr>
      <t xml:space="preserve">h) — 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1</t>
    </r>
    <r>
      <rPr>
        <b val="true"/>
        <sz val="11"/>
        <color rgb="FFEB002C"/>
        <rFont val="Noto Sans CJK SC"/>
        <family val="2"/>
      </rPr>
      <t xml:space="preserve">대 연속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검사</t>
    </r>
    <r>
      <rPr>
        <b val="true"/>
        <sz val="11"/>
        <color rgb="FFEB002C"/>
        <rFont val="Arial"/>
        <family val="0"/>
        <charset val="1"/>
      </rPr>
      <t xml:space="preserve">/</t>
    </r>
    <r>
      <rPr>
        <b val="true"/>
        <sz val="11"/>
        <color rgb="FFEB002C"/>
        <rFont val="Noto Sans CJK SC"/>
        <family val="2"/>
      </rPr>
      <t xml:space="preserve">충진은 다음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정제와 겹침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</si>
  <si>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적용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</t>
    </r>
  </si>
  <si>
    <r>
      <rPr>
        <i val="true"/>
        <sz val="9"/>
        <color rgb="FF7F7F7F"/>
        <rFont val="Noto Sans CJK SC"/>
        <family val="2"/>
      </rPr>
      <t xml:space="preserve">관측 추정값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이론 </t>
    </r>
    <r>
      <rPr>
        <i val="true"/>
        <sz val="9"/>
        <color rgb="FF7F7F7F"/>
        <rFont val="Arial"/>
        <family val="0"/>
        <charset val="1"/>
      </rPr>
      <t xml:space="preserve">57 h</t>
    </r>
    <r>
      <rPr>
        <i val="true"/>
        <sz val="9"/>
        <color rgb="FF7F7F7F"/>
        <rFont val="Noto Sans CJK SC"/>
        <family val="2"/>
      </rPr>
      <t xml:space="preserve">로 보려면 이 셀을 </t>
    </r>
    <r>
      <rPr>
        <i val="true"/>
        <sz val="9"/>
        <color rgb="FF7F7F7F"/>
        <rFont val="Arial"/>
        <family val="0"/>
        <charset val="1"/>
      </rPr>
      <t xml:space="preserve">57</t>
    </r>
    <r>
      <rPr>
        <i val="true"/>
        <sz val="9"/>
        <color rgb="FF7F7F7F"/>
        <rFont val="Noto Sans CJK SC"/>
        <family val="2"/>
      </rPr>
      <t xml:space="preserve">로 변경</t>
    </r>
    <r>
      <rPr>
        <i val="true"/>
        <sz val="9"/>
        <color rgb="FF7F7F7F"/>
        <rFont val="Arial"/>
        <family val="0"/>
        <charset val="1"/>
      </rPr>
      <t xml:space="preserve">)</t>
    </r>
  </si>
  <si>
    <t xml:space="preserve">작업</t>
  </si>
  <si>
    <r>
      <rPr>
        <b val="true"/>
        <sz val="9"/>
        <color rgb="FFFFFFFF"/>
        <rFont val="Noto Sans CJK SC"/>
        <family val="2"/>
      </rPr>
      <t xml:space="preserve">시작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</si>
  <si>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종료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</si>
  <si>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자원</t>
  </si>
  <si>
    <t xml:space="preserve">h →</t>
  </si>
  <si>
    <r>
      <rPr>
        <sz val="9"/>
        <color rgb="FF000000"/>
        <rFont val="Arial"/>
        <family val="0"/>
        <charset val="1"/>
      </rPr>
      <t xml:space="preserve">Batch 1 </t>
    </r>
    <r>
      <rPr>
        <sz val="9"/>
        <color rgb="FF000000"/>
        <rFont val="Noto Sans CJK SC"/>
        <family val="2"/>
      </rPr>
      <t xml:space="preserve">정제</t>
    </r>
  </si>
  <si>
    <t xml:space="preserve">공용 정제기</t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</si>
  <si>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57 h</t>
    </r>
  </si>
  <si>
    <r>
      <rPr>
        <sz val="9"/>
        <color rgb="FF000000"/>
        <rFont val="Arial"/>
        <family val="0"/>
        <charset val="1"/>
      </rPr>
      <t xml:space="preserve">Batch 1 </t>
    </r>
    <r>
      <rPr>
        <sz val="9"/>
        <color rgb="FF000000"/>
        <rFont val="Noto Sans CJK SC"/>
        <family val="2"/>
      </rPr>
      <t xml:space="preserve">비정제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추정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</si>
  <si>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 등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구성 미확인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</si>
  <si>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</si>
  <si>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·Tank</t>
    </r>
  </si>
  <si>
    <r>
      <rPr>
        <i val="true"/>
        <sz val="9"/>
        <color rgb="FF7F7F7F"/>
        <rFont val="Noto Sans CJK SC"/>
        <family val="2"/>
      </rPr>
      <t xml:space="preserve">확인분 </t>
    </r>
    <r>
      <rPr>
        <i val="true"/>
        <sz val="9"/>
        <color rgb="FF7F7F7F"/>
        <rFont val="Arial"/>
        <family val="0"/>
        <charset val="1"/>
      </rPr>
      <t xml:space="preserve">2 h (</t>
    </r>
    <r>
      <rPr>
        <i val="true"/>
        <sz val="9"/>
        <color rgb="FF7F7F7F"/>
        <rFont val="Noto Sans CJK SC"/>
        <family val="2"/>
      </rPr>
      <t xml:space="preserve">미확인 항목 미반영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</si>
  <si>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1 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(8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)</t>
    </r>
  </si>
  <si>
    <t xml:space="preserve">글로브 박스</t>
  </si>
  <si>
    <r>
      <rPr>
        <i val="true"/>
        <sz val="9"/>
        <color rgb="FF7F7F7F"/>
        <rFont val="Noto Sans CJK SC"/>
        <family val="2"/>
      </rPr>
      <t xml:space="preserve">연속 작업 가정 </t>
    </r>
    <r>
      <rPr>
        <i val="true"/>
        <sz val="9"/>
        <color rgb="FF7F7F7F"/>
        <rFont val="Arial"/>
        <family val="0"/>
        <charset val="1"/>
      </rPr>
      <t xml:space="preserve">16 h, </t>
    </r>
    <r>
      <rPr>
        <i val="true"/>
        <sz val="9"/>
        <color rgb="FF7F7F7F"/>
        <rFont val="Noto Sans CJK SC"/>
        <family val="2"/>
      </rPr>
      <t xml:space="preserve">필터 포함</t>
    </r>
  </si>
  <si>
    <r>
      <rPr>
        <sz val="9"/>
        <color rgb="FF000000"/>
        <rFont val="Arial"/>
        <family val="0"/>
        <charset val="1"/>
      </rPr>
      <t xml:space="preserve">Batch 1 OQC·</t>
    </r>
    <r>
      <rPr>
        <sz val="9"/>
        <color rgb="FF000000"/>
        <rFont val="Noto Sans CJK SC"/>
        <family val="2"/>
      </rPr>
      <t xml:space="preserve">출하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</si>
  <si>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</t>
    </r>
  </si>
  <si>
    <r>
      <rPr>
        <sz val="9"/>
        <color rgb="FF000000"/>
        <rFont val="Arial"/>
        <family val="0"/>
        <charset val="1"/>
      </rPr>
      <t xml:space="preserve">Batch 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</si>
  <si>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Arial"/>
        <family val="0"/>
        <charset val="1"/>
      </rPr>
      <t xml:space="preserve">Batch 2 </t>
    </r>
    <r>
      <rPr>
        <sz val="9"/>
        <color rgb="FF000000"/>
        <rFont val="Noto Sans CJK SC"/>
        <family val="2"/>
      </rPr>
      <t xml:space="preserve">비정제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추정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</si>
  <si>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</si>
  <si>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Arial"/>
        <family val="0"/>
        <charset val="1"/>
      </rPr>
      <t xml:space="preserve">Batch 2 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(8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</si>
  <si>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2 OQC·</t>
    </r>
    <r>
      <rPr>
        <sz val="9"/>
        <color rgb="FF000000"/>
        <rFont val="Noto Sans CJK SC"/>
        <family val="2"/>
      </rPr>
      <t xml:space="preserve">출하</t>
    </r>
  </si>
  <si>
    <r>
      <rPr>
        <sz val="9"/>
        <color rgb="FF000000"/>
        <rFont val="Arial"/>
        <family val="0"/>
        <charset val="1"/>
      </rPr>
      <t xml:space="preserve">Batch 3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</si>
  <si>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Arial"/>
        <family val="0"/>
        <charset val="1"/>
      </rPr>
      <t xml:space="preserve">Batch 3 </t>
    </r>
    <r>
      <rPr>
        <sz val="9"/>
        <color rgb="FF000000"/>
        <rFont val="Noto Sans CJK SC"/>
        <family val="2"/>
      </rPr>
      <t xml:space="preserve">비정제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추정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</si>
  <si>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3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</si>
  <si>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Arial"/>
        <family val="0"/>
        <charset val="1"/>
      </rPr>
      <t xml:space="preserve">Batch 3 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(8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</si>
  <si>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3 OQC·</t>
    </r>
    <r>
      <rPr>
        <sz val="9"/>
        <color rgb="FF000000"/>
        <rFont val="Noto Sans CJK SC"/>
        <family val="2"/>
      </rPr>
      <t xml:space="preserve">출하</t>
    </r>
  </si>
  <si>
    <r>
      <rPr>
        <b val="true"/>
        <sz val="14"/>
        <color rgb="FFEB002C"/>
        <rFont val="Arial"/>
        <family val="0"/>
        <charset val="1"/>
      </rPr>
      <t xml:space="preserve">04_Monthly_2026_2027 | </t>
    </r>
    <r>
      <rPr>
        <b val="true"/>
        <sz val="14"/>
        <color rgb="FFEB002C"/>
        <rFont val="Noto Sans CJK SC"/>
        <family val="2"/>
      </rPr>
      <t xml:space="preserve">월별 생산 가능량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고객별 출하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충진 작업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재고 </t>
    </r>
    <r>
      <rPr>
        <b val="true"/>
        <sz val="14"/>
        <color rgb="FFEB002C"/>
        <rFont val="Arial"/>
        <family val="0"/>
        <charset val="1"/>
      </rPr>
      <t xml:space="preserve">(24</t>
    </r>
    <r>
      <rPr>
        <b val="true"/>
        <sz val="14"/>
        <color rgb="FFEB002C"/>
        <rFont val="Noto Sans CJK SC"/>
        <family val="2"/>
      </rPr>
      <t xml:space="preserve">개월</t>
    </r>
    <r>
      <rPr>
        <b val="true"/>
        <sz val="14"/>
        <color rgb="FFEB002C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</si>
  <si>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생산 가능 </t>
    </r>
    <r>
      <rPr>
        <i val="true"/>
        <sz val="9"/>
        <color rgb="FF7F7F7F"/>
        <rFont val="Arial"/>
        <family val="0"/>
        <charset val="1"/>
      </rPr>
      <t xml:space="preserve">Batch = INT((</t>
    </r>
    <r>
      <rPr>
        <i val="true"/>
        <sz val="9"/>
        <color rgb="FF7F7F7F"/>
        <rFont val="Noto Sans CJK SC"/>
        <family val="2"/>
      </rPr>
      <t xml:space="preserve">가용시간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이월시간</t>
    </r>
    <r>
      <rPr>
        <i val="true"/>
        <sz val="9"/>
        <color rgb="FF7F7F7F"/>
        <rFont val="Arial"/>
        <family val="0"/>
        <charset val="1"/>
      </rPr>
      <t xml:space="preserve">) ÷ </t>
    </r>
    <r>
      <rPr>
        <i val="true"/>
        <sz val="9"/>
        <color rgb="FF7F7F7F"/>
        <rFont val="Noto Sans CJK SC"/>
        <family val="2"/>
      </rPr>
      <t xml:space="preserve">적용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간격</t>
    </r>
    <r>
      <rPr>
        <i val="true"/>
        <sz val="9"/>
        <color rgb="FF7F7F7F"/>
        <rFont val="Arial"/>
        <family val="0"/>
        <charset val="1"/>
      </rPr>
      <t xml:space="preserve">). </t>
    </r>
    <r>
      <rPr>
        <i val="true"/>
        <sz val="9"/>
        <color rgb="FF7F7F7F"/>
        <rFont val="Noto Sans CJK SC"/>
        <family val="2"/>
      </rPr>
      <t xml:space="preserve">미확인 조건은 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미확인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보류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로 표시 — </t>
    </r>
    <r>
      <rPr>
        <i val="true"/>
        <sz val="9"/>
        <color rgb="FF7F7F7F"/>
        <rFont val="Arial"/>
        <family val="0"/>
        <charset val="1"/>
      </rPr>
      <t xml:space="preserve">0</t>
    </r>
    <r>
      <rPr>
        <i val="true"/>
        <sz val="9"/>
        <color rgb="FF7F7F7F"/>
        <rFont val="Noto Sans CJK SC"/>
        <family val="2"/>
      </rPr>
      <t xml:space="preserve">으로 치환하지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</si>
  <si>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연월</t>
  </si>
  <si>
    <t xml:space="preserve">월 일수</t>
  </si>
  <si>
    <t xml:space="preserve">운전 조건</t>
  </si>
  <si>
    <r>
      <rPr>
        <b val="true"/>
        <sz val="9"/>
        <color rgb="FFFFFFFF"/>
        <rFont val="Noto Sans CJK SC"/>
        <family val="2"/>
      </rPr>
      <t xml:space="preserve">달력시간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</si>
  <si>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보수
입력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</si>
  <si>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정제기
가용시간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</si>
  <si>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적용 </t>
    </r>
    <r>
      <rPr>
        <b val="true"/>
        <sz val="9"/>
        <color rgb="FFFFFFFF"/>
        <rFont val="Arial"/>
        <family val="0"/>
        <charset val="1"/>
      </rPr>
      <t xml:space="preserve">Batch
</t>
    </r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</si>
  <si>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이월 입력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</si>
  <si>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생산 가능
완료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</si>
  <si>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월말 진행 중
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</si>
  <si>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과거계획
번호 개수</t>
  </si>
  <si>
    <r>
      <rPr>
        <b val="true"/>
        <sz val="9"/>
        <color rgb="FFFFFFFF"/>
        <rFont val="Noto Sans CJK SC"/>
        <family val="2"/>
      </rPr>
      <t xml:space="preserve">과거계획
원자료 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</si>
  <si>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확정 생산 </t>
    </r>
    <r>
      <rPr>
        <b val="true"/>
        <sz val="9"/>
        <color rgb="FFFFFFFF"/>
        <rFont val="Arial"/>
        <family val="0"/>
        <charset val="1"/>
      </rPr>
      <t xml:space="preserve">Batch
(</t>
    </r>
    <r>
      <rPr>
        <b val="true"/>
        <sz val="9"/>
        <color rgb="FFFFFFFF"/>
        <rFont val="Noto Sans CJK SC"/>
        <family val="2"/>
      </rPr>
      <t xml:space="preserve">실적 입력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</si>
  <si>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적용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</si>
  <si>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적용 기준</t>
  </si>
  <si>
    <r>
      <rPr>
        <b val="true"/>
        <sz val="9"/>
        <color rgb="FFFFFFFF"/>
        <rFont val="Arial"/>
        <family val="0"/>
        <charset val="1"/>
      </rPr>
      <t xml:space="preserve">Batch</t>
    </r>
    <r>
      <rPr>
        <b val="true"/>
        <sz val="9"/>
        <color rgb="FFFFFFFF"/>
        <rFont val="Noto Sans CJK SC"/>
        <family val="2"/>
      </rPr>
      <t xml:space="preserve">당
생산량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</si>
  <si>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정제 생산량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</si>
  <si>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가능 양품
생산량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</si>
  <si>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하이닉스
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</si>
  <si>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Arial"/>
        <family val="0"/>
        <charset val="1"/>
      </rPr>
      <t xml:space="preserve">CXMT
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</si>
  <si>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이지켐
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</si>
  <si>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합계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</si>
  <si>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필요 </t>
    </r>
    <r>
      <rPr>
        <b val="true"/>
        <sz val="9"/>
        <color rgb="FFFFFFFF"/>
        <rFont val="Arial"/>
        <family val="0"/>
        <charset val="1"/>
      </rPr>
      <t xml:space="preserve">Batch
(</t>
    </r>
    <r>
      <rPr>
        <b val="true"/>
        <sz val="9"/>
        <color rgb="FFFFFFFF"/>
        <rFont val="Noto Sans CJK SC"/>
        <family val="2"/>
      </rPr>
      <t xml:space="preserve">출하</t>
    </r>
    <r>
      <rPr>
        <b val="true"/>
        <sz val="9"/>
        <color rgb="FFFFFFFF"/>
        <rFont val="Arial"/>
        <family val="0"/>
        <charset val="1"/>
      </rPr>
      <t xml:space="preserve">÷Batch</t>
    </r>
    <r>
      <rPr>
        <b val="true"/>
        <sz val="9"/>
        <color rgb="FFFFFFFF"/>
        <rFont val="Noto Sans CJK SC"/>
        <family val="2"/>
      </rPr>
      <t xml:space="preserve">량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</si>
  <si>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병수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병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</si>
  <si>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
작업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</si>
  <si>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
</t>
    </r>
    <r>
      <rPr>
        <b val="true"/>
        <sz val="9"/>
        <color rgb="FFFFFFFF"/>
        <rFont val="Noto Sans CJK SC"/>
        <family val="2"/>
      </rPr>
      <t xml:space="preserve">용기 수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</si>
  <si>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단위
시간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</si>
  <si>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
</t>
    </r>
    <r>
      <rPr>
        <b val="true"/>
        <sz val="9"/>
        <color rgb="FFFFFFFF"/>
        <rFont val="Noto Sans CJK SC"/>
        <family val="2"/>
      </rPr>
      <t xml:space="preserve">충진 방식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</si>
  <si>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
작업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</si>
  <si>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검사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출하 작업
</t>
    </r>
    <r>
      <rPr>
        <b val="true"/>
        <sz val="9"/>
        <color rgb="FFFFFFFF"/>
        <rFont val="Arial"/>
        <family val="0"/>
        <charset val="1"/>
      </rPr>
      <t xml:space="preserve">(h, </t>
    </r>
    <r>
      <rPr>
        <b val="true"/>
        <sz val="9"/>
        <color rgb="FFFFFFFF"/>
        <rFont val="Noto Sans CJK SC"/>
        <family val="2"/>
      </rPr>
      <t xml:space="preserve">상한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</si>
  <si>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글로브 박스
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</si>
  <si>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글로브 박스
여유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</si>
  <si>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당월 양품 생산
−출하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</si>
  <si>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누적 증감 </t>
    </r>
    <r>
      <rPr>
        <b val="true"/>
        <sz val="9"/>
        <color rgb="FFFFFFFF"/>
        <rFont val="Arial"/>
        <family val="0"/>
        <charset val="1"/>
      </rPr>
      <t xml:space="preserve">(kg)
</t>
    </r>
    <r>
      <rPr>
        <b val="true"/>
        <sz val="9"/>
        <color rgb="FFFFFFFF"/>
        <rFont val="Noto Sans CJK SC"/>
        <family val="2"/>
      </rPr>
      <t xml:space="preserve">기초재고 제외</t>
    </r>
  </si>
  <si>
    <r>
      <rPr>
        <b val="true"/>
        <sz val="9"/>
        <color rgb="FFFFFFFF"/>
        <rFont val="Noto Sans CJK SC"/>
        <family val="2"/>
      </rPr>
      <t xml:space="preserve">기초재고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</si>
  <si>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공급 가능량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</si>
  <si>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① 하이닉스
배정 </t>
    </r>
    <r>
      <rPr>
        <b val="true"/>
        <sz val="9"/>
        <color rgb="FFFFFFFF"/>
        <rFont val="Arial"/>
        <family val="0"/>
        <charset val="1"/>
      </rPr>
      <t xml:space="preserve">(kg)</t>
    </r>
  </si>
  <si>
    <t xml:space="preserve">② 하이닉스
목표재고 확보</t>
  </si>
  <si>
    <r>
      <rPr>
        <b val="true"/>
        <sz val="9"/>
        <color rgb="FFFFFFFF"/>
        <rFont val="Arial"/>
        <family val="0"/>
        <charset val="1"/>
      </rPr>
      <t xml:space="preserve">③ CXMT
</t>
    </r>
    <r>
      <rPr>
        <b val="true"/>
        <sz val="9"/>
        <color rgb="FFFFFFFF"/>
        <rFont val="Noto Sans CJK SC"/>
        <family val="2"/>
      </rPr>
      <t xml:space="preserve">배정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</si>
  <si>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④ 이지켐
배정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</si>
  <si>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부족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</si>
  <si>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기말재고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</si>
  <si>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목표
기말재고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</si>
  <si>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필요 생산량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</si>
  <si>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여유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부족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기말−목표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</si>
  <si>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계산 가능 여부</t>
  </si>
  <si>
    <t xml:space="preserve">미확인 항목</t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</si>
  <si>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</si>
  <si>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</si>
  <si>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</si>
  <si>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</si>
  <si>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i val="true"/>
        <sz val="9"/>
        <color rgb="FF7F7F7F"/>
        <rFont val="Noto Sans CJK SC"/>
        <family val="2"/>
      </rPr>
      <t xml:space="preserve">※ 생산 가능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는 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정제기 생산 가능량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이며 실제 생산계획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실적이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실적은 </t>
    </r>
    <r>
      <rPr>
        <i val="true"/>
        <sz val="9"/>
        <color rgb="FF7F7F7F"/>
        <rFont val="Arial"/>
        <family val="0"/>
        <charset val="1"/>
      </rPr>
      <t xml:space="preserve">N</t>
    </r>
    <r>
      <rPr>
        <i val="true"/>
        <sz val="9"/>
        <color rgb="FF7F7F7F"/>
        <rFont val="Noto Sans CJK SC"/>
        <family val="2"/>
      </rPr>
      <t xml:space="preserve">열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확정 생산 </t>
    </r>
    <r>
      <rPr>
        <i val="true"/>
        <sz val="9"/>
        <color rgb="FF7F7F7F"/>
        <rFont val="Arial"/>
        <family val="0"/>
        <charset val="1"/>
      </rPr>
      <t xml:space="preserve">Batch)</t>
    </r>
    <r>
      <rPr>
        <i val="true"/>
        <sz val="9"/>
        <color rgb="FF7F7F7F"/>
        <rFont val="Noto Sans CJK SC"/>
        <family val="2"/>
      </rPr>
      <t xml:space="preserve">에 입력하면 우선 적용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</si>
  <si>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재고 배정 순서</t>
    </r>
    <r>
      <rPr>
        <i val="true"/>
        <sz val="9"/>
        <color rgb="FF7F7F7F"/>
        <rFont val="Arial"/>
        <family val="0"/>
        <charset val="1"/>
      </rPr>
      <t xml:space="preserve">: ① </t>
    </r>
    <r>
      <rPr>
        <i val="true"/>
        <sz val="9"/>
        <color rgb="FF7F7F7F"/>
        <rFont val="Noto Sans CJK SC"/>
        <family val="2"/>
      </rPr>
      <t xml:space="preserve">하이닉스 출하 → ② 하이닉스 목표재고 확보 → ③ </t>
    </r>
    <r>
      <rPr>
        <i val="true"/>
        <sz val="9"/>
        <color rgb="FF7F7F7F"/>
        <rFont val="Arial"/>
        <family val="0"/>
        <charset val="1"/>
      </rPr>
      <t xml:space="preserve">CXMT → ④ </t>
    </r>
    <r>
      <rPr>
        <i val="true"/>
        <sz val="9"/>
        <color rgb="FF7F7F7F"/>
        <rFont val="Noto Sans CJK SC"/>
        <family val="2"/>
      </rPr>
      <t xml:space="preserve">이지켐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기말재고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기초재고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출하 가능 양품 생산량 − 출하량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배정분</t>
    </r>
    <r>
      <rPr>
        <i val="true"/>
        <sz val="9"/>
        <color rgb="FF7F7F7F"/>
        <rFont val="Arial"/>
        <family val="0"/>
        <charset val="1"/>
      </rPr>
      <t xml:space="preserve">).</t>
    </r>
  </si>
  <si>
    <r>
      <rPr>
        <i val="true"/>
        <sz val="9"/>
        <color rgb="FF7F7F7F"/>
        <rFont val="Noto Sans CJK SC"/>
        <family val="2"/>
      </rPr>
      <t xml:space="preserve">※ 필요 생산량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출하량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목표 기말재고 − 기초재고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목표재고는 재고 수준으로만 반영 — 매년 신규 생산량으로 반복 가산하지 않음</t>
    </r>
    <r>
      <rPr>
        <i val="true"/>
        <sz val="9"/>
        <color rgb="FF7F7F7F"/>
        <rFont val="Arial"/>
        <family val="0"/>
        <charset val="1"/>
      </rPr>
      <t xml:space="preserve">).</t>
    </r>
  </si>
  <si>
    <r>
      <rPr>
        <i val="true"/>
        <sz val="9"/>
        <color rgb="FF7F7F7F"/>
        <rFont val="Noto Sans CJK SC"/>
        <family val="2"/>
      </rPr>
      <t xml:space="preserve">※ 동일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를 여러 고객에게 배분하므로 필요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는 출하 합계</t>
    </r>
    <r>
      <rPr>
        <i val="true"/>
        <sz val="9"/>
        <color rgb="FF7F7F7F"/>
        <rFont val="Arial"/>
        <family val="0"/>
        <charset val="1"/>
      </rPr>
      <t xml:space="preserve">(kg) ÷ Batch</t>
    </r>
    <r>
      <rPr>
        <i val="true"/>
        <sz val="9"/>
        <color rgb="FF7F7F7F"/>
        <rFont val="Noto Sans CJK SC"/>
        <family val="2"/>
      </rPr>
      <t xml:space="preserve">량으로 산정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고객별 올림 합산으로 정제시간을 중복 계산하지 않음</t>
    </r>
    <r>
      <rPr>
        <i val="true"/>
        <sz val="9"/>
        <color rgb="FF7F7F7F"/>
        <rFont val="Arial"/>
        <family val="0"/>
        <charset val="1"/>
      </rPr>
      <t xml:space="preserve">).</t>
    </r>
  </si>
  <si>
    <r>
      <rPr>
        <i val="true"/>
        <sz val="9"/>
        <color rgb="FF7F7F7F"/>
        <rFont val="Arial"/>
        <family val="0"/>
        <charset val="1"/>
      </rPr>
      <t xml:space="preserve">※ 5 Gal </t>
    </r>
    <r>
      <rPr>
        <i val="true"/>
        <sz val="9"/>
        <color rgb="FF7F7F7F"/>
        <rFont val="Noto Sans CJK SC"/>
        <family val="2"/>
      </rPr>
      <t xml:space="preserve">병수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충진시간은 고객별 </t>
    </r>
    <r>
      <rPr>
        <i val="true"/>
        <sz val="9"/>
        <color rgb="FF7F7F7F"/>
        <rFont val="Arial"/>
        <family val="0"/>
        <charset val="1"/>
      </rPr>
      <t xml:space="preserve">20 kg </t>
    </r>
    <r>
      <rPr>
        <i val="true"/>
        <sz val="9"/>
        <color rgb="FF7F7F7F"/>
        <rFont val="Noto Sans CJK SC"/>
        <family val="2"/>
      </rPr>
      <t xml:space="preserve">단위 올림</t>
    </r>
    <r>
      <rPr>
        <i val="true"/>
        <sz val="9"/>
        <color rgb="FF7F7F7F"/>
        <rFont val="Arial"/>
        <family val="0"/>
        <charset val="1"/>
      </rPr>
      <t xml:space="preserve">. 200 L </t>
    </r>
    <r>
      <rPr>
        <i val="true"/>
        <sz val="9"/>
        <color rgb="FF7F7F7F"/>
        <rFont val="Noto Sans CJK SC"/>
        <family val="2"/>
      </rPr>
      <t xml:space="preserve">작업시간은 </t>
    </r>
    <r>
      <rPr>
        <i val="true"/>
        <sz val="9"/>
        <color rgb="FF7F7F7F"/>
        <rFont val="Arial"/>
        <family val="0"/>
        <charset val="1"/>
      </rPr>
      <t xml:space="preserve">01_Inputs '200 L 8 h </t>
    </r>
    <r>
      <rPr>
        <i val="true"/>
        <sz val="9"/>
        <color rgb="FF7F7F7F"/>
        <rFont val="Noto Sans CJK SC"/>
        <family val="2"/>
      </rPr>
      <t xml:space="preserve">적용 단위</t>
    </r>
    <r>
      <rPr>
        <i val="true"/>
        <sz val="9"/>
        <color rgb="FF7F7F7F"/>
        <rFont val="Arial"/>
        <family val="0"/>
        <charset val="1"/>
      </rPr>
      <t xml:space="preserve">' </t>
    </r>
    <r>
      <rPr>
        <i val="true"/>
        <sz val="9"/>
        <color rgb="FF7F7F7F"/>
        <rFont val="Noto Sans CJK SC"/>
        <family val="2"/>
      </rPr>
      <t xml:space="preserve">선택에 따름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</si>
  <si>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2027</t>
    </r>
    <r>
      <rPr>
        <i val="true"/>
        <sz val="9"/>
        <color rgb="FF7F7F7F"/>
        <rFont val="Noto Sans CJK SC"/>
        <family val="2"/>
      </rPr>
      <t xml:space="preserve">년 </t>
    </r>
    <r>
      <rPr>
        <i val="true"/>
        <sz val="9"/>
        <color rgb="FF7F7F7F"/>
        <rFont val="Arial"/>
        <family val="0"/>
        <charset val="1"/>
      </rPr>
      <t xml:space="preserve">2~6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공사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시운전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</t>
    </r>
    <r>
      <rPr>
        <i val="true"/>
        <sz val="9"/>
        <color rgb="FF7F7F7F"/>
        <rFont val="Arial"/>
        <family val="0"/>
        <charset val="1"/>
      </rPr>
      <t xml:space="preserve">7</t>
    </r>
    <r>
      <rPr>
        <i val="true"/>
        <sz val="9"/>
        <color rgb="FF7F7F7F"/>
        <rFont val="Noto Sans CJK SC"/>
        <family val="2"/>
      </rPr>
      <t xml:space="preserve">월 이후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리플럭스 정제시간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Noto Sans CJK SC"/>
        <family val="2"/>
      </rPr>
      <t xml:space="preserve">생산 조건은 미확인 → 연간 실제 생산량은 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부분합계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로 표시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시나리오 비교는 </t>
    </r>
    <r>
      <rPr>
        <i val="true"/>
        <sz val="9"/>
        <color rgb="FF7F7F7F"/>
        <rFont val="Arial"/>
        <family val="0"/>
        <charset val="1"/>
      </rPr>
      <t xml:space="preserve">05 </t>
    </r>
    <r>
      <rPr>
        <i val="true"/>
        <sz val="9"/>
        <color rgb="FF7F7F7F"/>
        <rFont val="Noto Sans CJK SC"/>
        <family val="2"/>
      </rPr>
      <t xml:space="preserve">시트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</si>
  <si>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05_Reflux_Scenarios | </t>
    </r>
    <r>
      <rPr>
        <b val="true"/>
        <sz val="14"/>
        <color rgb="FFEB002C"/>
        <rFont val="Noto Sans CJK SC"/>
        <family val="2"/>
      </rPr>
      <t xml:space="preserve">현재 → 공사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시운전 → 리플럭스 → </t>
    </r>
    <r>
      <rPr>
        <b val="true"/>
        <sz val="14"/>
        <color rgb="FFEB002C"/>
        <rFont val="Arial"/>
        <family val="0"/>
        <charset val="1"/>
      </rPr>
      <t xml:space="preserve">105℃ </t>
    </r>
    <r>
      <rPr>
        <b val="true"/>
        <sz val="14"/>
        <color rgb="FFEB002C"/>
        <rFont val="Noto Sans CJK SC"/>
        <family val="2"/>
      </rPr>
      <t xml:space="preserve">검토안</t>
    </r>
  </si>
  <si>
    <r>
      <rPr>
        <i val="true"/>
        <sz val="9"/>
        <color rgb="FF7F7F7F"/>
        <rFont val="Noto Sans CJK SC"/>
        <family val="2"/>
      </rPr>
      <t xml:space="preserve">연간 환산 </t>
    </r>
    <r>
      <rPr>
        <i val="true"/>
        <sz val="9"/>
        <color rgb="FF7F7F7F"/>
        <rFont val="Arial"/>
        <family val="0"/>
        <charset val="1"/>
      </rPr>
      <t xml:space="preserve">Capa.(47.2</t>
    </r>
    <r>
      <rPr>
        <i val="true"/>
        <sz val="9"/>
        <color rgb="FF7F7F7F"/>
        <rFont val="Noto Sans CJK SC"/>
        <family val="2"/>
      </rPr>
      <t xml:space="preserve">톤</t>
    </r>
    <r>
      <rPr>
        <i val="true"/>
        <sz val="9"/>
        <color rgb="FF7F7F7F"/>
        <rFont val="Arial"/>
        <family val="0"/>
        <charset val="1"/>
      </rPr>
      <t xml:space="preserve">·50.2</t>
    </r>
    <r>
      <rPr>
        <i val="true"/>
        <sz val="9"/>
        <color rgb="FF7F7F7F"/>
        <rFont val="Noto Sans CJK SC"/>
        <family val="2"/>
      </rPr>
      <t xml:space="preserve">톤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와 </t>
    </r>
    <r>
      <rPr>
        <i val="true"/>
        <sz val="9"/>
        <color rgb="FF7F7F7F"/>
        <rFont val="Arial"/>
        <family val="0"/>
        <charset val="1"/>
      </rPr>
      <t xml:space="preserve">2027</t>
    </r>
    <r>
      <rPr>
        <i val="true"/>
        <sz val="9"/>
        <color rgb="FF7F7F7F"/>
        <rFont val="Noto Sans CJK SC"/>
        <family val="2"/>
      </rPr>
      <t xml:space="preserve">년 달력연도 실제 생산량을 구분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시나리오 가정은 확정값이 아니며 </t>
    </r>
    <r>
      <rPr>
        <i val="true"/>
        <sz val="9"/>
        <color rgb="FF7F7F7F"/>
        <rFont val="Arial"/>
        <family val="0"/>
        <charset val="1"/>
      </rPr>
      <t xml:space="preserve">04 </t>
    </r>
    <r>
      <rPr>
        <i val="true"/>
        <sz val="9"/>
        <color rgb="FF7F7F7F"/>
        <rFont val="Noto Sans CJK SC"/>
        <family val="2"/>
      </rPr>
      <t xml:space="preserve">시트 입력란을 대신하지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</si>
  <si>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기간 정의</t>
    </r>
  </si>
  <si>
    <t xml:space="preserve">시작</t>
  </si>
  <si>
    <t xml:space="preserve">종료</t>
  </si>
  <si>
    <t xml:space="preserve">정제기</t>
  </si>
  <si>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(200 L)</t>
    </r>
  </si>
  <si>
    <t xml:space="preserve">생산 조건 입력</t>
  </si>
  <si>
    <t xml:space="preserve">상태</t>
  </si>
  <si>
    <t xml:space="preserve">현재</t>
  </si>
  <si>
    <t xml:space="preserve">103℃ · 57 h/Batch</t>
  </si>
  <si>
    <r>
      <rPr>
        <sz val="9"/>
        <color rgb="FF000000"/>
        <rFont val="Noto Sans CJK SC"/>
        <family val="2"/>
      </rPr>
      <t xml:space="preserve">공용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</si>
  <si>
    <r>
      <rPr>
        <sz val="9"/>
        <color rgb="FF000000"/>
        <rFont val="Noto Sans CJK SC"/>
        <family val="2"/>
      </rPr>
      <t xml:space="preserve">수동 → </t>
    </r>
    <r>
      <rPr>
        <sz val="9"/>
        <color rgb="FF000000"/>
        <rFont val="Arial"/>
        <family val="0"/>
        <charset val="1"/>
      </rPr>
      <t xml:space="preserve">'27.1~ ARS</t>
    </r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</si>
  <si>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(03 </t>
    </r>
    <r>
      <rPr>
        <sz val="9"/>
        <color rgb="FF000000"/>
        <rFont val="Noto Sans CJK SC"/>
        <family val="2"/>
      </rPr>
      <t xml:space="preserve">시트 선택 간격</t>
    </r>
    <r>
      <rPr>
        <sz val="9"/>
        <color rgb="FF000000"/>
        <rFont val="Arial"/>
        <family val="0"/>
        <charset val="1"/>
      </rPr>
      <t xml:space="preserve">)</t>
    </r>
  </si>
  <si>
    <t xml:space="preserve">리플럭스 공사</t>
  </si>
  <si>
    <t xml:space="preserve">공사 중 가동 여부 미확인</t>
  </si>
  <si>
    <t xml:space="preserve">ARS</t>
  </si>
  <si>
    <t xml:space="preserve">시운전</t>
  </si>
  <si>
    <t xml:space="preserve">리플럭스 적용 생산</t>
  </si>
  <si>
    <r>
      <rPr>
        <sz val="9"/>
        <color rgb="FF000000"/>
        <rFont val="Noto Sans CJK SC"/>
        <family val="2"/>
      </rPr>
      <t xml:space="preserve">리플럭스 </t>
    </r>
    <r>
      <rPr>
        <sz val="9"/>
        <color rgb="FF000000"/>
        <rFont val="Arial"/>
        <family val="0"/>
        <charset val="1"/>
      </rPr>
      <t xml:space="preserve">· 103℃</t>
    </r>
  </si>
  <si>
    <r>
      <rPr>
        <sz val="9"/>
        <color rgb="FF000000"/>
        <rFont val="Noto Sans CJK SC"/>
        <family val="2"/>
      </rPr>
      <t xml:space="preserve">동일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</si>
  <si>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</si>
  <si>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t xml:space="preserve">리플럭스</t>
  </si>
  <si>
    <r>
      <rPr>
        <sz val="9"/>
        <color rgb="FF000000"/>
        <rFont val="Noto Sans CJK SC"/>
        <family val="2"/>
      </rPr>
      <t xml:space="preserve">연간 환산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기준 기간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</si>
  <si>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온도 상승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검토안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</si>
  <si>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105℃ · </t>
    </r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승인 필요</t>
    </r>
  </si>
  <si>
    <r>
      <rPr>
        <b val="true"/>
        <i val="true"/>
        <sz val="9"/>
        <color rgb="FFEB002C"/>
        <rFont val="Arial"/>
        <family val="0"/>
        <charset val="1"/>
      </rPr>
      <t xml:space="preserve">2. Capa. </t>
    </r>
    <r>
      <rPr>
        <b val="true"/>
        <i val="true"/>
        <sz val="9"/>
        <color rgb="FFEB002C"/>
        <rFont val="Noto Sans CJK SC"/>
        <family val="2"/>
      </rPr>
      <t xml:space="preserve">로드맵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연간 환산 기준</t>
    </r>
    <r>
      <rPr>
        <b val="true"/>
        <i val="true"/>
        <sz val="9"/>
        <color rgb="FFEB002C"/>
        <rFont val="Arial"/>
        <family val="0"/>
        <charset val="1"/>
      </rPr>
      <t xml:space="preserve">, 12</t>
    </r>
    <r>
      <rPr>
        <b val="true"/>
        <i val="true"/>
        <sz val="9"/>
        <color rgb="FFEB002C"/>
        <rFont val="Noto Sans CJK SC"/>
        <family val="2"/>
      </rPr>
      <t xml:space="preserve">개월 동일 조건 적용값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</si>
  <si>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연간 환산
</t>
    </r>
    <r>
      <rPr>
        <b val="true"/>
        <sz val="9"/>
        <color rgb="FFFFFFFF"/>
        <rFont val="Arial"/>
        <family val="0"/>
        <charset val="1"/>
      </rPr>
      <t xml:space="preserve">Capa. (t/</t>
    </r>
    <r>
      <rPr>
        <b val="true"/>
        <sz val="9"/>
        <color rgb="FFFFFFFF"/>
        <rFont val="Noto Sans CJK SC"/>
        <family val="2"/>
      </rPr>
      <t xml:space="preserve">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</si>
  <si>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증가분
</t>
    </r>
    <r>
      <rPr>
        <b val="true"/>
        <sz val="9"/>
        <color rgb="FFFFFFFF"/>
        <rFont val="Arial"/>
        <family val="0"/>
        <charset val="1"/>
      </rPr>
      <t xml:space="preserve">(t/</t>
    </r>
    <r>
      <rPr>
        <b val="true"/>
        <sz val="9"/>
        <color rgb="FFFFFFFF"/>
        <rFont val="Noto Sans CJK SC"/>
        <family val="2"/>
      </rPr>
      <t xml:space="preserve">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</si>
  <si>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평균 월
</t>
    </r>
    <r>
      <rPr>
        <b val="true"/>
        <sz val="9"/>
        <color rgb="FFFFFFFF"/>
        <rFont val="Arial"/>
        <family val="0"/>
        <charset val="1"/>
      </rPr>
      <t xml:space="preserve">(t/</t>
    </r>
    <r>
      <rPr>
        <b val="true"/>
        <sz val="9"/>
        <color rgb="FFFFFFFF"/>
        <rFont val="Noto Sans CJK SC"/>
        <family val="2"/>
      </rPr>
      <t xml:space="preserve">월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</si>
  <si>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상당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년
</t>
    </r>
    <r>
      <rPr>
        <b val="true"/>
        <sz val="9"/>
        <color rgb="FFFFFFFF"/>
        <rFont val="Arial"/>
        <family val="0"/>
        <charset val="1"/>
      </rPr>
      <t xml:space="preserve">(190 kg </t>
    </r>
    <r>
      <rPr>
        <b val="true"/>
        <sz val="9"/>
        <color rgb="FFFFFFFF"/>
        <rFont val="Noto Sans CJK SC"/>
        <family val="2"/>
      </rPr>
      <t xml:space="preserve">유지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</si>
  <si>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등가 </t>
    </r>
    <r>
      <rPr>
        <b val="true"/>
        <sz val="9"/>
        <color rgb="FFFFFFFF"/>
        <rFont val="Arial"/>
        <family val="0"/>
        <charset val="1"/>
      </rPr>
      <t xml:space="preserve">Batch
</t>
    </r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(h, </t>
    </r>
    <r>
      <rPr>
        <b val="true"/>
        <sz val="9"/>
        <color rgb="FFFFFFFF"/>
        <rFont val="Noto Sans CJK SC"/>
        <family val="2"/>
      </rPr>
      <t xml:space="preserve">역산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</si>
  <si>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(103℃)</t>
    </r>
  </si>
  <si>
    <r>
      <rPr>
        <sz val="9"/>
        <color rgb="FF000000"/>
        <rFont val="Noto Sans CJK SC"/>
        <family val="2"/>
      </rPr>
      <t xml:space="preserve">과거 일정 관측 기준 연 생산량과 차이 확인 </t>
    </r>
    <r>
      <rPr>
        <sz val="9"/>
        <color rgb="FF000000"/>
        <rFont val="Arial"/>
        <family val="0"/>
        <charset val="1"/>
      </rPr>
      <t xml:space="preserve">(03 </t>
    </r>
    <r>
      <rPr>
        <sz val="9"/>
        <color rgb="FF000000"/>
        <rFont val="Noto Sans CJK SC"/>
        <family val="2"/>
      </rPr>
      <t xml:space="preserve">시트 </t>
    </r>
    <r>
      <rPr>
        <sz val="9"/>
        <color rgb="FF000000"/>
        <rFont val="Arial"/>
        <family val="0"/>
        <charset val="1"/>
      </rPr>
      <t xml:space="preserve">5)</t>
    </r>
  </si>
  <si>
    <t xml:space="preserve">리플럭스 적용 후</t>
  </si>
  <si>
    <r>
      <rPr>
        <sz val="9"/>
        <color rgb="FF000000"/>
        <rFont val="Noto Sans CJK SC"/>
        <family val="2"/>
      </rPr>
      <t xml:space="preserve">제공 </t>
    </r>
    <r>
      <rPr>
        <sz val="9"/>
        <color rgb="FF000000"/>
        <rFont val="Arial"/>
        <family val="0"/>
        <charset val="1"/>
      </rPr>
      <t xml:space="preserve">(12</t>
    </r>
    <r>
      <rPr>
        <sz val="9"/>
        <color rgb="FF000000"/>
        <rFont val="Noto Sans CJK SC"/>
        <family val="2"/>
      </rPr>
      <t xml:space="preserve">개월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</si>
  <si>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'27.7~'28.6 · 2027</t>
    </r>
    <r>
      <rPr>
        <sz val="9"/>
        <color rgb="FF000000"/>
        <rFont val="Noto Sans CJK SC"/>
        <family val="2"/>
      </rPr>
      <t xml:space="preserve">년 실제 생산량 아님 </t>
    </r>
    <r>
      <rPr>
        <sz val="9"/>
        <color rgb="FF000000"/>
        <rFont val="Arial"/>
        <family val="0"/>
        <charset val="1"/>
      </rPr>
      <t xml:space="preserve">· ARS </t>
    </r>
    <r>
      <rPr>
        <sz val="9"/>
        <color rgb="FF000000"/>
        <rFont val="Noto Sans CJK SC"/>
        <family val="2"/>
      </rPr>
      <t xml:space="preserve">미가산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</si>
  <si>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검토안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</si>
  <si>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검토안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미확정</t>
    </r>
  </si>
  <si>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</t>
    </r>
    <r>
      <rPr>
        <sz val="9"/>
        <color rgb="FF000000"/>
        <rFont val="Noto Sans CJK SC"/>
        <family val="2"/>
      </rPr>
      <t xml:space="preserve">수율 검증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승인 필요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시점 미정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</si>
  <si>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(2028</t>
    </r>
    <r>
      <rPr>
        <sz val="9"/>
        <color rgb="FF000000"/>
        <rFont val="Noto Sans CJK SC"/>
        <family val="2"/>
      </rPr>
      <t xml:space="preserve">년 이후</t>
    </r>
    <r>
      <rPr>
        <sz val="9"/>
        <color rgb="FF000000"/>
        <rFont val="Arial"/>
        <family val="0"/>
        <charset val="1"/>
      </rPr>
      <t xml:space="preserve">)</t>
    </r>
  </si>
  <si>
    <t xml:space="preserve">목표</t>
  </si>
  <si>
    <r>
      <rPr>
        <i val="true"/>
        <sz val="9"/>
        <color rgb="FF7F7F7F"/>
        <rFont val="Noto Sans CJK SC"/>
        <family val="2"/>
      </rPr>
      <t xml:space="preserve">※ 등가 간격은 </t>
    </r>
    <r>
      <rPr>
        <i val="true"/>
        <sz val="9"/>
        <color rgb="FF7F7F7F"/>
        <rFont val="Arial"/>
        <family val="0"/>
        <charset val="1"/>
      </rPr>
      <t xml:space="preserve">190 kg/Batch·8,760 h </t>
    </r>
    <r>
      <rPr>
        <i val="true"/>
        <sz val="9"/>
        <color rgb="FF7F7F7F"/>
        <rFont val="Noto Sans CJK SC"/>
        <family val="2"/>
      </rPr>
      <t xml:space="preserve">연속 가정의 역산 참고값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리플럭스 후 실제 정제시간</t>
    </r>
    <r>
      <rPr>
        <i val="true"/>
        <sz val="9"/>
        <color rgb="FF7F7F7F"/>
        <rFont val="Arial"/>
        <family val="0"/>
        <charset val="1"/>
      </rPr>
      <t xml:space="preserve">·Batch</t>
    </r>
    <r>
      <rPr>
        <i val="true"/>
        <sz val="9"/>
        <color rgb="FF7F7F7F"/>
        <rFont val="Noto Sans CJK SC"/>
        <family val="2"/>
      </rPr>
      <t xml:space="preserve">량은 미확인 </t>
    </r>
    <r>
      <rPr>
        <i val="true"/>
        <sz val="9"/>
        <color rgb="FF7F7F7F"/>
        <rFont val="Arial"/>
        <family val="0"/>
        <charset val="1"/>
      </rPr>
      <t xml:space="preserve">(01_Inputs D).</t>
    </r>
  </si>
  <si>
    <r>
      <rPr>
        <b val="true"/>
        <i val="true"/>
        <sz val="9"/>
        <color rgb="FFEB002C"/>
        <rFont val="Arial"/>
        <family val="0"/>
        <charset val="1"/>
      </rPr>
      <t xml:space="preserve">3. 2027</t>
    </r>
    <r>
      <rPr>
        <b val="true"/>
        <i val="true"/>
        <sz val="9"/>
        <color rgb="FFEB002C"/>
        <rFont val="Noto Sans CJK SC"/>
        <family val="2"/>
      </rPr>
      <t xml:space="preserve">년 달력연도 실제 생산 가능량 </t>
    </r>
    <r>
      <rPr>
        <b val="true"/>
        <i val="true"/>
        <sz val="9"/>
        <color rgb="FFEB002C"/>
        <rFont val="Arial"/>
        <family val="0"/>
        <charset val="1"/>
      </rPr>
      <t xml:space="preserve">(04 </t>
    </r>
    <r>
      <rPr>
        <b val="true"/>
        <i val="true"/>
        <sz val="9"/>
        <color rgb="FFEB002C"/>
        <rFont val="Noto Sans CJK SC"/>
        <family val="2"/>
      </rPr>
      <t xml:space="preserve">시트 입력 기준</t>
    </r>
    <r>
      <rPr>
        <b val="true"/>
        <i val="true"/>
        <sz val="9"/>
        <color rgb="FFEB002C"/>
        <rFont val="Arial"/>
        <family val="0"/>
        <charset val="1"/>
      </rPr>
      <t xml:space="preserve">) — </t>
    </r>
    <r>
      <rPr>
        <b val="true"/>
        <i val="true"/>
        <sz val="9"/>
        <color rgb="FFEB002C"/>
        <rFont val="Noto Sans CJK SC"/>
        <family val="2"/>
      </rPr>
      <t xml:space="preserve">미확인 월이 있으면 부분합계</t>
    </r>
  </si>
  <si>
    <r>
      <rPr>
        <b val="true"/>
        <sz val="9"/>
        <color rgb="FF000000"/>
        <rFont val="Noto Sans CJK SC"/>
        <family val="2"/>
      </rPr>
      <t xml:space="preserve">생산 가능 </t>
    </r>
    <r>
      <rPr>
        <b val="true"/>
        <sz val="9"/>
        <color rgb="FF000000"/>
        <rFont val="Arial"/>
        <family val="0"/>
        <charset val="1"/>
      </rPr>
      <t xml:space="preserve">Batch</t>
    </r>
  </si>
  <si>
    <r>
      <rPr>
        <b val="true"/>
        <sz val="9"/>
        <color rgb="FF000000"/>
        <rFont val="Noto Sans CJK SC"/>
        <family val="2"/>
      </rPr>
      <t xml:space="preserve">양품 생산량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</si>
  <si>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출하 합계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</si>
  <si>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Noto Sans CJK SC"/>
        <family val="2"/>
      </rPr>
      <t xml:space="preserve">※ 공사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시운전 월 생산량은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또는 정상값으로 임의 입력하지 않음 </t>
    </r>
    <r>
      <rPr>
        <i val="true"/>
        <sz val="9"/>
        <color rgb="FF7F7F7F"/>
        <rFont val="Arial"/>
        <family val="0"/>
        <charset val="1"/>
      </rPr>
      <t xml:space="preserve">(01_Inputs E </t>
    </r>
    <r>
      <rPr>
        <i val="true"/>
        <sz val="9"/>
        <color rgb="FF7F7F7F"/>
        <rFont val="Noto Sans CJK SC"/>
        <family val="2"/>
      </rPr>
      <t xml:space="preserve">입력 시 자동 반영</t>
    </r>
    <r>
      <rPr>
        <i val="true"/>
        <sz val="9"/>
        <color rgb="FF7F7F7F"/>
        <rFont val="Arial"/>
        <family val="0"/>
        <charset val="1"/>
      </rPr>
      <t xml:space="preserve">).</t>
    </r>
  </si>
  <si>
    <r>
      <rPr>
        <b val="true"/>
        <i val="true"/>
        <sz val="9"/>
        <color rgb="FFEB002C"/>
        <rFont val="Arial"/>
        <family val="0"/>
        <charset val="1"/>
      </rPr>
      <t xml:space="preserve">4. 2027</t>
    </r>
    <r>
      <rPr>
        <b val="true"/>
        <i val="true"/>
        <sz val="9"/>
        <color rgb="FFEB002C"/>
        <rFont val="Noto Sans CJK SC"/>
        <family val="2"/>
      </rPr>
      <t xml:space="preserve">년 공급 대응 시나리오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확정 아님</t>
    </r>
    <r>
      <rPr>
        <b val="true"/>
        <i val="true"/>
        <sz val="9"/>
        <color rgb="FFEB002C"/>
        <rFont val="Arial"/>
        <family val="0"/>
        <charset val="1"/>
      </rPr>
      <t xml:space="preserve">) — </t>
    </r>
    <r>
      <rPr>
        <b val="true"/>
        <i val="true"/>
        <sz val="9"/>
        <color rgb="FFEB002C"/>
        <rFont val="Noto Sans CJK SC"/>
        <family val="2"/>
      </rPr>
      <t xml:space="preserve">필요 선행재고 </t>
    </r>
    <r>
      <rPr>
        <b val="true"/>
        <i val="true"/>
        <sz val="9"/>
        <color rgb="FFEB002C"/>
        <rFont val="Arial"/>
        <family val="0"/>
        <charset val="1"/>
      </rPr>
      <t xml:space="preserve">= </t>
    </r>
    <r>
      <rPr>
        <b val="true"/>
        <i val="true"/>
        <sz val="9"/>
        <color rgb="FFEB002C"/>
        <rFont val="Noto Sans CJK SC"/>
        <family val="2"/>
      </rPr>
      <t xml:space="preserve">누적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생산 − 출하</t>
    </r>
    <r>
      <rPr>
        <b val="true"/>
        <i val="true"/>
        <sz val="9"/>
        <color rgb="FFEB002C"/>
        <rFont val="Arial"/>
        <family val="0"/>
        <charset val="1"/>
      </rPr>
      <t xml:space="preserve">)</t>
    </r>
    <r>
      <rPr>
        <b val="true"/>
        <i val="true"/>
        <sz val="9"/>
        <color rgb="FFEB002C"/>
        <rFont val="Noto Sans CJK SC"/>
        <family val="2"/>
      </rPr>
      <t xml:space="preserve">의 최저점</t>
    </r>
  </si>
  <si>
    <t xml:space="preserve">시나리오 가정</t>
  </si>
  <si>
    <r>
      <rPr>
        <b val="true"/>
        <sz val="9"/>
        <color rgb="FFFFFFFF"/>
        <rFont val="Arial"/>
        <family val="0"/>
        <charset val="1"/>
      </rPr>
      <t xml:space="preserve">S1 </t>
    </r>
    <r>
      <rPr>
        <b val="true"/>
        <sz val="9"/>
        <color rgb="FFFFFFFF"/>
        <rFont val="Noto Sans CJK SC"/>
        <family val="2"/>
      </rPr>
      <t xml:space="preserve">공사 중 중단
</t>
    </r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월 즉시 </t>
    </r>
    <r>
      <rPr>
        <b val="true"/>
        <sz val="9"/>
        <color rgb="FFFFFFFF"/>
        <rFont val="Arial"/>
        <family val="0"/>
        <charset val="1"/>
      </rPr>
      <t xml:space="preserve">47.2 </t>
    </r>
    <r>
      <rPr>
        <b val="true"/>
        <sz val="9"/>
        <color rgb="FFFFFFFF"/>
        <rFont val="Noto Sans CJK SC"/>
        <family val="2"/>
      </rPr>
      <t xml:space="preserve">환산</t>
    </r>
  </si>
  <si>
    <r>
      <rPr>
        <b val="true"/>
        <sz val="9"/>
        <color rgb="FFFFFFFF"/>
        <rFont val="Arial"/>
        <family val="0"/>
        <charset val="1"/>
      </rPr>
      <t xml:space="preserve">S2 </t>
    </r>
    <r>
      <rPr>
        <b val="true"/>
        <sz val="9"/>
        <color rgb="FFFFFFFF"/>
        <rFont val="Noto Sans CJK SC"/>
        <family val="2"/>
      </rPr>
      <t xml:space="preserve">공사 중 현재 유지
</t>
    </r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월 즉시 </t>
    </r>
    <r>
      <rPr>
        <b val="true"/>
        <sz val="9"/>
        <color rgb="FFFFFFFF"/>
        <rFont val="Arial"/>
        <family val="0"/>
        <charset val="1"/>
      </rPr>
      <t xml:space="preserve">47.2 </t>
    </r>
    <r>
      <rPr>
        <b val="true"/>
        <sz val="9"/>
        <color rgb="FFFFFFFF"/>
        <rFont val="Noto Sans CJK SC"/>
        <family val="2"/>
      </rPr>
      <t xml:space="preserve">환산</t>
    </r>
  </si>
  <si>
    <r>
      <rPr>
        <b val="true"/>
        <sz val="9"/>
        <color rgb="FFFFFFFF"/>
        <rFont val="Arial"/>
        <family val="0"/>
        <charset val="1"/>
      </rPr>
      <t xml:space="preserve">S3 </t>
    </r>
    <r>
      <rPr>
        <b val="true"/>
        <sz val="9"/>
        <color rgb="FFFFFFFF"/>
        <rFont val="Noto Sans CJK SC"/>
        <family val="2"/>
      </rPr>
      <t xml:space="preserve">공사 중 </t>
    </r>
    <r>
      <rPr>
        <b val="true"/>
        <sz val="9"/>
        <color rgb="FFFFFFFF"/>
        <rFont val="Arial"/>
        <family val="0"/>
        <charset val="1"/>
      </rPr>
      <t xml:space="preserve">50%
</t>
    </r>
    <r>
      <rPr>
        <b val="true"/>
        <sz val="9"/>
        <color rgb="FFFFFFFF"/>
        <rFont val="Noto Sans CJK SC"/>
        <family val="2"/>
      </rPr>
      <t xml:space="preserve">안정화 </t>
    </r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개월</t>
    </r>
  </si>
  <si>
    <t xml:space="preserve">설명</t>
  </si>
  <si>
    <r>
      <rPr>
        <b val="true"/>
        <sz val="9"/>
        <color rgb="FF000000"/>
        <rFont val="Noto Sans CJK SC"/>
        <family val="2"/>
      </rPr>
      <t xml:space="preserve">공사 기간 가동률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조건 대비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</si>
  <si>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조건 월 생산 가능량 </t>
    </r>
    <r>
      <rPr>
        <i val="true"/>
        <sz val="9"/>
        <color rgb="FF7F7F7F"/>
        <rFont val="Arial"/>
        <family val="0"/>
        <charset val="1"/>
      </rPr>
      <t xml:space="preserve">× </t>
    </r>
    <r>
      <rPr>
        <i val="true"/>
        <sz val="9"/>
        <color rgb="FF7F7F7F"/>
        <rFont val="Noto Sans CJK SC"/>
        <family val="2"/>
      </rPr>
      <t xml:space="preserve">가동률 </t>
    </r>
    <r>
      <rPr>
        <i val="true"/>
        <sz val="9"/>
        <color rgb="FF7F7F7F"/>
        <rFont val="Arial"/>
        <family val="0"/>
        <charset val="1"/>
      </rPr>
      <t xml:space="preserve">(2~5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</si>
  <si>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000000"/>
        <rFont val="Noto Sans CJK SC"/>
        <family val="2"/>
      </rPr>
      <t xml:space="preserve">시운전 월 양품 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</si>
  <si>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6</t>
    </r>
    <r>
      <rPr>
        <i val="true"/>
        <sz val="9"/>
        <color rgb="FF7F7F7F"/>
        <rFont val="Noto Sans CJK SC"/>
        <family val="2"/>
      </rPr>
      <t xml:space="preserve">월 — 양품 출하 가능 여부 미확인 →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</t>
    </r>
  </si>
  <si>
    <r>
      <rPr>
        <b val="true"/>
        <sz val="9"/>
        <color rgb="FF000000"/>
        <rFont val="Noto Sans CJK SC"/>
        <family val="2"/>
      </rPr>
      <t xml:space="preserve">리플럭스 초기 안정화 개월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수준 생산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</si>
  <si>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</t>
    </r>
    <r>
      <rPr>
        <i val="true"/>
        <sz val="9"/>
        <color rgb="FF7F7F7F"/>
        <rFont val="Noto Sans CJK SC"/>
        <family val="2"/>
      </rPr>
      <t xml:space="preserve">월부터 해당 개월 동안 현재 조건 생산량 적용</t>
    </r>
  </si>
  <si>
    <r>
      <rPr>
        <b val="true"/>
        <sz val="9"/>
        <color rgb="FF000000"/>
        <rFont val="Noto Sans CJK SC"/>
        <family val="2"/>
      </rPr>
      <t xml:space="preserve">리플럭스 안정 후 월 생산 </t>
    </r>
    <r>
      <rPr>
        <b val="true"/>
        <sz val="9"/>
        <color rgb="FF000000"/>
        <rFont val="Arial"/>
        <family val="0"/>
        <charset val="1"/>
      </rPr>
      <t xml:space="preserve">(kg/</t>
    </r>
    <r>
      <rPr>
        <b val="true"/>
        <sz val="9"/>
        <color rgb="FF000000"/>
        <rFont val="Noto Sans CJK SC"/>
        <family val="2"/>
      </rPr>
      <t xml:space="preserve">월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</si>
  <si>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연간 환산 </t>
    </r>
    <r>
      <rPr>
        <i val="true"/>
        <sz val="9"/>
        <color rgb="FF7F7F7F"/>
        <rFont val="Arial"/>
        <family val="0"/>
        <charset val="1"/>
      </rPr>
      <t xml:space="preserve">÷ 12 — </t>
    </r>
    <r>
      <rPr>
        <i val="true"/>
        <sz val="9"/>
        <color rgb="FF7F7F7F"/>
        <rFont val="Noto Sans CJK SC"/>
        <family val="2"/>
      </rPr>
      <t xml:space="preserve">상한 참고</t>
    </r>
  </si>
  <si>
    <t xml:space="preserve">양품률</t>
  </si>
  <si>
    <r>
      <rPr>
        <i val="true"/>
        <sz val="9"/>
        <color rgb="FF7F7F7F"/>
        <rFont val="Arial"/>
        <family val="0"/>
        <charset val="1"/>
      </rPr>
      <t xml:space="preserve">100% = </t>
    </r>
    <r>
      <rPr>
        <i val="true"/>
        <sz val="9"/>
        <color rgb="FF7F7F7F"/>
        <rFont val="Noto Sans CJK SC"/>
        <family val="2"/>
      </rPr>
      <t xml:space="preserve">상한</t>
    </r>
  </si>
  <si>
    <r>
      <rPr>
        <b val="true"/>
        <sz val="9"/>
        <color rgb="FFFFFFFF"/>
        <rFont val="Arial"/>
        <family val="0"/>
        <charset val="1"/>
      </rPr>
      <t xml:space="preserve">2027 </t>
    </r>
    <r>
      <rPr>
        <b val="true"/>
        <sz val="9"/>
        <color rgb="FFFFFFFF"/>
        <rFont val="Noto Sans CJK SC"/>
        <family val="2"/>
      </rPr>
      <t xml:space="preserve">월별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</si>
  <si>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현재 조건 월 생산 가능량 </t>
    </r>
    <r>
      <rPr>
        <b val="true"/>
        <sz val="9"/>
        <color rgb="FF000000"/>
        <rFont val="Arial"/>
        <family val="0"/>
        <charset val="1"/>
      </rPr>
      <t xml:space="preserve">(Batch </t>
    </r>
    <r>
      <rPr>
        <b val="true"/>
        <sz val="9"/>
        <color rgb="FF000000"/>
        <rFont val="Noto Sans CJK SC"/>
        <family val="2"/>
      </rPr>
      <t xml:space="preserve">상당 </t>
    </r>
    <r>
      <rPr>
        <b val="true"/>
        <sz val="9"/>
        <color rgb="FF000000"/>
        <rFont val="Arial"/>
        <family val="0"/>
        <charset val="1"/>
      </rPr>
      <t xml:space="preserve">× 190)</t>
    </r>
  </si>
  <si>
    <r>
      <rPr>
        <i val="true"/>
        <sz val="9"/>
        <color rgb="FF7F7F7F"/>
        <rFont val="Arial"/>
        <family val="0"/>
        <charset val="1"/>
      </rPr>
      <t xml:space="preserve">03 </t>
    </r>
    <r>
      <rPr>
        <i val="true"/>
        <sz val="9"/>
        <color rgb="FF7F7F7F"/>
        <rFont val="Noto Sans CJK SC"/>
        <family val="2"/>
      </rPr>
      <t xml:space="preserve">시트 선택 간격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월 이월 평균화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</si>
  <si>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000000"/>
        <rFont val="Noto Sans CJK SC"/>
        <family val="2"/>
      </rPr>
      <t xml:space="preserve">출하 합계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하이닉스</t>
    </r>
    <r>
      <rPr>
        <b val="true"/>
        <sz val="9"/>
        <color rgb="FF000000"/>
        <rFont val="Arial"/>
        <family val="0"/>
        <charset val="1"/>
      </rPr>
      <t xml:space="preserve">+CXMT+</t>
    </r>
    <r>
      <rPr>
        <b val="true"/>
        <sz val="9"/>
        <color rgb="FF000000"/>
        <rFont val="Noto Sans CJK SC"/>
        <family val="2"/>
      </rPr>
      <t xml:space="preserve">이지켐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</si>
  <si>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S1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</si>
  <si>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S1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</si>
  <si>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S2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</si>
  <si>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S2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</si>
  <si>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S3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</si>
  <si>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S3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</si>
  <si>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t xml:space="preserve">시나리오 결과</t>
  </si>
  <si>
    <t xml:space="preserve">해석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</si>
  <si>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(kg, </t>
    </r>
    <r>
      <rPr>
        <b val="true"/>
        <sz val="9"/>
        <color rgb="FF000000"/>
        <rFont val="Noto Sans CJK SC"/>
        <family val="2"/>
      </rPr>
      <t xml:space="preserve">참고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</si>
  <si>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시나리오 가정 기준 — 실제 생산량 아님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</si>
  <si>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출하계획 </t>
    </r>
    <r>
      <rPr>
        <b val="true"/>
        <sz val="9"/>
        <color rgb="FF000000"/>
        <rFont val="Arial"/>
        <family val="0"/>
        <charset val="1"/>
      </rPr>
      <t xml:space="preserve">(kg)</t>
    </r>
  </si>
  <si>
    <t xml:space="preserve">38,020 kg</t>
  </si>
  <si>
    <r>
      <rPr>
        <b val="true"/>
        <sz val="9"/>
        <color rgb="FF000000"/>
        <rFont val="Noto Sans CJK SC"/>
        <family val="2"/>
      </rPr>
      <t xml:space="preserve">연간 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</si>
  <si>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Noto Sans CJK SC"/>
        <family val="2"/>
      </rPr>
      <t xml:space="preserve">음수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연간 부족</t>
    </r>
  </si>
  <si>
    <r>
      <rPr>
        <b val="true"/>
        <sz val="9"/>
        <color rgb="FF000000"/>
        <rFont val="Noto Sans CJK SC"/>
        <family val="2"/>
      </rPr>
      <t xml:space="preserve">필요 선행재고 </t>
    </r>
    <r>
      <rPr>
        <b val="true"/>
        <sz val="9"/>
        <color rgb="FF000000"/>
        <rFont val="Arial"/>
        <family val="0"/>
        <charset val="1"/>
      </rPr>
      <t xml:space="preserve">(2027-01-01 </t>
    </r>
    <r>
      <rPr>
        <b val="true"/>
        <sz val="9"/>
        <color rgb="FF000000"/>
        <rFont val="Noto Sans CJK SC"/>
        <family val="2"/>
      </rPr>
      <t xml:space="preserve">기준</t>
    </r>
    <r>
      <rPr>
        <b val="true"/>
        <sz val="9"/>
        <color rgb="FF000000"/>
        <rFont val="Arial"/>
        <family val="0"/>
        <charset val="1"/>
      </rPr>
      <t xml:space="preserve">, kg)</t>
    </r>
  </si>
  <si>
    <t xml:space="preserve">월별 결품 없이 대응하기 위한 최소 기초재고</t>
  </si>
  <si>
    <r>
      <rPr>
        <b val="true"/>
        <sz val="9"/>
        <color rgb="FF000000"/>
        <rFont val="Noto Sans CJK SC"/>
        <family val="2"/>
      </rPr>
      <t xml:space="preserve">필요 선행재고 </t>
    </r>
    <r>
      <rPr>
        <b val="true"/>
        <sz val="9"/>
        <color rgb="FF000000"/>
        <rFont val="Arial"/>
        <family val="0"/>
        <charset val="1"/>
      </rPr>
      <t xml:space="preserve">(190 kg Batch </t>
    </r>
    <r>
      <rPr>
        <b val="true"/>
        <sz val="9"/>
        <color rgb="FF000000"/>
        <rFont val="Noto Sans CJK SC"/>
        <family val="2"/>
      </rPr>
      <t xml:space="preserve">상당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</si>
  <si>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최대 부족 발생 월</t>
  </si>
  <si>
    <t xml:space="preserve">누적 최저점</t>
  </si>
  <si>
    <r>
      <rPr>
        <b val="true"/>
        <sz val="9"/>
        <color rgb="FF000000"/>
        <rFont val="Arial"/>
        <family val="0"/>
        <charset val="1"/>
      </rPr>
      <t xml:space="preserve">2027 7~12</t>
    </r>
    <r>
      <rPr>
        <b val="true"/>
        <sz val="9"/>
        <color rgb="FF000000"/>
        <rFont val="Noto Sans CJK SC"/>
        <family val="2"/>
      </rPr>
      <t xml:space="preserve">월 출하 합계 </t>
    </r>
    <r>
      <rPr>
        <b val="true"/>
        <sz val="9"/>
        <color rgb="FF000000"/>
        <rFont val="Arial"/>
        <family val="0"/>
        <charset val="1"/>
      </rPr>
      <t xml:space="preserve">(kg)</t>
    </r>
  </si>
  <si>
    <t xml:space="preserve">리플럭스 적용 기간 출하</t>
  </si>
  <si>
    <r>
      <rPr>
        <b val="true"/>
        <sz val="9"/>
        <color rgb="FF000000"/>
        <rFont val="Arial"/>
        <family val="0"/>
        <charset val="1"/>
      </rPr>
      <t xml:space="preserve">7~12</t>
    </r>
    <r>
      <rPr>
        <b val="true"/>
        <sz val="9"/>
        <color rgb="FF000000"/>
        <rFont val="Noto Sans CJK SC"/>
        <family val="2"/>
      </rPr>
      <t xml:space="preserve">월 달력시간 </t>
    </r>
    <r>
      <rPr>
        <b val="true"/>
        <sz val="9"/>
        <color rgb="FF000000"/>
        <rFont val="Arial"/>
        <family val="0"/>
        <charset val="1"/>
      </rPr>
      <t xml:space="preserve">(h)</t>
    </r>
  </si>
  <si>
    <r>
      <rPr>
        <i val="true"/>
        <sz val="9"/>
        <color rgb="FF7F7F7F"/>
        <rFont val="Arial"/>
        <family val="0"/>
        <charset val="1"/>
      </rPr>
      <t xml:space="preserve">184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× 24 h</t>
    </r>
  </si>
  <si>
    <r>
      <rPr>
        <b val="true"/>
        <sz val="9"/>
        <color rgb="FF000000"/>
        <rFont val="Arial"/>
        <family val="0"/>
        <charset val="1"/>
      </rPr>
      <t xml:space="preserve">7~12</t>
    </r>
    <r>
      <rPr>
        <b val="true"/>
        <sz val="9"/>
        <color rgb="FF000000"/>
        <rFont val="Noto Sans CJK SC"/>
        <family val="2"/>
      </rPr>
      <t xml:space="preserve">월 필요 </t>
    </r>
    <r>
      <rPr>
        <b val="true"/>
        <sz val="9"/>
        <color rgb="FF000000"/>
        <rFont val="Arial"/>
        <family val="0"/>
        <charset val="1"/>
      </rPr>
      <t xml:space="preserve">Batch (190 kg · </t>
    </r>
    <r>
      <rPr>
        <b val="true"/>
        <sz val="9"/>
        <color rgb="FF000000"/>
        <rFont val="Noto Sans CJK SC"/>
        <family val="2"/>
      </rPr>
      <t xml:space="preserve">양품률 </t>
    </r>
    <r>
      <rPr>
        <b val="true"/>
        <sz val="9"/>
        <color rgb="FF000000"/>
        <rFont val="Arial"/>
        <family val="0"/>
        <charset val="1"/>
      </rPr>
      <t xml:space="preserve">100% · </t>
    </r>
    <r>
      <rPr>
        <b val="true"/>
        <sz val="9"/>
        <color rgb="FF000000"/>
        <rFont val="Noto Sans CJK SC"/>
        <family val="2"/>
      </rPr>
      <t xml:space="preserve">재고 미사용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</si>
  <si>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량 변경 시 </t>
    </r>
    <r>
      <rPr>
        <i val="true"/>
        <sz val="9"/>
        <color rgb="FF7F7F7F"/>
        <rFont val="Arial"/>
        <family val="0"/>
        <charset val="1"/>
      </rPr>
      <t xml:space="preserve">01_Inputs </t>
    </r>
    <r>
      <rPr>
        <i val="true"/>
        <sz val="9"/>
        <color rgb="FF7F7F7F"/>
        <rFont val="Noto Sans CJK SC"/>
        <family val="2"/>
      </rPr>
      <t xml:space="preserve">반영</t>
    </r>
  </si>
  <si>
    <r>
      <rPr>
        <b val="true"/>
        <sz val="9"/>
        <color rgb="FF000000"/>
        <rFont val="Arial"/>
        <family val="0"/>
        <charset val="1"/>
      </rPr>
      <t xml:space="preserve">7~12</t>
    </r>
    <r>
      <rPr>
        <b val="true"/>
        <sz val="9"/>
        <color rgb="FF000000"/>
        <rFont val="Noto Sans CJK SC"/>
        <family val="2"/>
      </rPr>
      <t xml:space="preserve">월 월 평균 필요 </t>
    </r>
    <r>
      <rPr>
        <b val="true"/>
        <sz val="9"/>
        <color rgb="FF000000"/>
        <rFont val="Arial"/>
        <family val="0"/>
        <charset val="1"/>
      </rPr>
      <t xml:space="preserve">Batch</t>
    </r>
  </si>
  <si>
    <r>
      <rPr>
        <b val="true"/>
        <sz val="9"/>
        <color rgb="FF000000"/>
        <rFont val="Noto Sans CJK SC"/>
        <family val="2"/>
      </rPr>
      <t xml:space="preserve">출하 대응 필요 평균 </t>
    </r>
    <r>
      <rPr>
        <b val="true"/>
        <sz val="9"/>
        <color rgb="FF000000"/>
        <rFont val="Arial"/>
        <family val="0"/>
        <charset val="1"/>
      </rPr>
      <t xml:space="preserve">Batch </t>
    </r>
    <r>
      <rPr>
        <b val="true"/>
        <sz val="9"/>
        <color rgb="FF000000"/>
        <rFont val="Noto Sans CJK SC"/>
        <family val="2"/>
      </rPr>
      <t xml:space="preserve">간격 </t>
    </r>
    <r>
      <rPr>
        <b val="true"/>
        <sz val="9"/>
        <color rgb="FF000000"/>
        <rFont val="Arial"/>
        <family val="0"/>
        <charset val="1"/>
      </rPr>
      <t xml:space="preserve">(h/Batch)</t>
    </r>
  </si>
  <si>
    <r>
      <rPr>
        <i val="true"/>
        <sz val="9"/>
        <color rgb="FF7F7F7F"/>
        <rFont val="Noto Sans CJK SC"/>
        <family val="2"/>
      </rPr>
      <t xml:space="preserve">리플럭스 후 실효 간격이 이 값 이하여야 당월 생산으로 출하 대응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현재 관측 약 </t>
    </r>
    <r>
      <rPr>
        <i val="true"/>
        <sz val="9"/>
        <color rgb="FF7F7F7F"/>
        <rFont val="Arial"/>
        <family val="0"/>
        <charset val="1"/>
      </rPr>
      <t xml:space="preserve">67.5 h)</t>
    </r>
  </si>
  <si>
    <r>
      <rPr>
        <b val="true"/>
        <i val="true"/>
        <sz val="9"/>
        <color rgb="FFEB002C"/>
        <rFont val="Arial"/>
        <family val="0"/>
        <charset val="1"/>
      </rPr>
      <t xml:space="preserve">5. 105℃ </t>
    </r>
    <r>
      <rPr>
        <b val="true"/>
        <i val="true"/>
        <sz val="9"/>
        <color rgb="FFEB002C"/>
        <rFont val="Noto Sans CJK SC"/>
        <family val="2"/>
      </rPr>
      <t xml:space="preserve">온도 상승 검토안 — 검증 필요사항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미확정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검증 및 승인 필요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적용 시점 미정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</si>
  <si>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열 안정성 </t>
    </r>
    <r>
      <rPr>
        <sz val="9"/>
        <color rgb="FF000000"/>
        <rFont val="Arial"/>
        <family val="0"/>
        <charset val="1"/>
      </rPr>
      <t xml:space="preserve">(103→105℃ </t>
    </r>
    <r>
      <rPr>
        <sz val="9"/>
        <color rgb="FF000000"/>
        <rFont val="Noto Sans CJK SC"/>
        <family val="2"/>
      </rPr>
      <t xml:space="preserve">가열 시 분해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변색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</si>
  <si>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· Dimer </t>
    </r>
    <r>
      <rPr>
        <sz val="9"/>
        <color rgb="FF000000"/>
        <rFont val="Noto Sans CJK SC"/>
        <family val="2"/>
      </rPr>
      <t xml:space="preserve">형성 증가 여부</t>
    </r>
  </si>
  <si>
    <r>
      <rPr>
        <sz val="9"/>
        <color rgb="FF000000"/>
        <rFont val="Arial"/>
        <family val="0"/>
        <charset val="1"/>
      </rPr>
      <t xml:space="preserve">· Unknown impurity </t>
    </r>
    <r>
      <rPr>
        <sz val="9"/>
        <color rgb="FF000000"/>
        <rFont val="Noto Sans CJK SC"/>
        <family val="2"/>
      </rPr>
      <t xml:space="preserve">증가 여부 </t>
    </r>
    <r>
      <rPr>
        <sz val="9"/>
        <color rgb="FF000000"/>
        <rFont val="Arial"/>
        <family val="0"/>
        <charset val="1"/>
      </rPr>
      <t xml:space="preserve">(NMR·ICP-MS)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</si>
  <si>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수율 영향 및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변화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</si>
  <si>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승인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·CXMT·</t>
    </r>
    <r>
      <rPr>
        <sz val="9"/>
        <color rgb="FF000000"/>
        <rFont val="Noto Sans CJK SC"/>
        <family val="2"/>
      </rPr>
      <t xml:space="preserve">이지켐 품질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</si>
  <si>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 — 미정 </t>
    </r>
    <r>
      <rPr>
        <sz val="9"/>
        <color rgb="FF000000"/>
        <rFont val="Arial"/>
        <family val="0"/>
        <charset val="1"/>
      </rPr>
      <t xml:space="preserve">(2028</t>
    </r>
    <r>
      <rPr>
        <sz val="9"/>
        <color rgb="FF000000"/>
        <rFont val="Noto Sans CJK SC"/>
        <family val="2"/>
      </rPr>
      <t xml:space="preserve">년 검토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</si>
  <si>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14"/>
        <color rgb="FFEB002C"/>
        <rFont val="Arial"/>
        <family val="0"/>
        <charset val="1"/>
      </rPr>
      <t xml:space="preserve">06_Report_Summary | PPT </t>
    </r>
    <r>
      <rPr>
        <b val="true"/>
        <sz val="14"/>
        <color rgb="FFEB002C"/>
        <rFont val="Noto Sans CJK SC"/>
        <family val="2"/>
      </rPr>
      <t xml:space="preserve">사용 수치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차트 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다른 시트 참조 수식</t>
    </r>
    <r>
      <rPr>
        <b val="true"/>
        <sz val="14"/>
        <color rgb="FFEB002C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</si>
  <si>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PPT </t>
    </r>
    <r>
      <rPr>
        <i val="true"/>
        <sz val="9"/>
        <color rgb="FF7F7F7F"/>
        <rFont val="Noto Sans CJK SC"/>
        <family val="2"/>
      </rPr>
      <t xml:space="preserve">본문 수치는 이 시트 값과 일치해야 함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</si>
  <si>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핵심 수치 </t>
    </r>
    <r>
      <rPr>
        <b val="true"/>
        <i val="true"/>
        <sz val="9"/>
        <color rgb="FFEB002C"/>
        <rFont val="Arial"/>
        <family val="0"/>
        <charset val="1"/>
      </rPr>
      <t xml:space="preserve">(KPI)</t>
    </r>
  </si>
  <si>
    <t xml:space="preserve">출처 시트</t>
  </si>
  <si>
    <t xml:space="preserve">01</t>
  </si>
  <si>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</si>
  <si>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t xml:space="preserve">03</t>
  </si>
  <si>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반올림 정수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생산량</t>
    </r>
  </si>
  <si>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역산 간격</t>
    </r>
  </si>
  <si>
    <r>
      <rPr>
        <sz val="9"/>
        <color rgb="FF000000"/>
        <rFont val="Noto Sans CJK SC"/>
        <family val="2"/>
      </rPr>
      <t xml:space="preserve">월 평균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(26.2</t>
    </r>
    <r>
      <rPr>
        <sz val="9"/>
        <color rgb="FF000000"/>
        <rFont val="Noto Sans CJK SC"/>
        <family val="2"/>
      </rPr>
      <t xml:space="preserve">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</si>
  <si>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경로 확인 </t>
    </r>
    <r>
      <rPr>
        <sz val="9"/>
        <color rgb="FF000000"/>
        <rFont val="Arial"/>
        <family val="0"/>
        <charset val="1"/>
      </rPr>
      <t xml:space="preserve">Lead Time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</si>
  <si>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경로 확인 </t>
    </r>
    <r>
      <rPr>
        <sz val="9"/>
        <color rgb="FF000000"/>
        <rFont val="Arial"/>
        <family val="0"/>
        <charset val="1"/>
      </rPr>
      <t xml:space="preserve">Lead Time</t>
    </r>
  </si>
  <si>
    <r>
      <rPr>
        <sz val="9"/>
        <color rgb="FF000000"/>
        <rFont val="Arial"/>
        <family val="0"/>
        <charset val="1"/>
      </rPr>
      <t xml:space="preserve">Lead Time </t>
    </r>
    <r>
      <rPr>
        <sz val="9"/>
        <color rgb="FF000000"/>
        <rFont val="Noto Sans CJK SC"/>
        <family val="2"/>
      </rPr>
      <t xml:space="preserve">미확인 항목 수</t>
    </r>
  </si>
  <si>
    <t xml:space="preserve">개</t>
  </si>
  <si>
    <r>
      <rPr>
        <sz val="9"/>
        <color rgb="FF000000"/>
        <rFont val="Noto Sans CJK SC"/>
        <family val="2"/>
      </rPr>
      <t xml:space="preserve">이론 월 정수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</si>
  <si>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Noto Sans CJK SC"/>
        <family val="2"/>
      </rPr>
      <t xml:space="preserve">이론 월말 이월 </t>
    </r>
    <r>
      <rPr>
        <sz val="9"/>
        <color rgb="FF000000"/>
        <rFont val="Arial"/>
        <family val="0"/>
        <charset val="1"/>
      </rPr>
      <t xml:space="preserve">h</t>
    </r>
  </si>
  <si>
    <t xml:space="preserve">이론 월 생산량</t>
  </si>
  <si>
    <r>
      <rPr>
        <sz val="9"/>
        <color rgb="FF000000"/>
        <rFont val="Noto Sans CJK SC"/>
        <family val="2"/>
      </rPr>
      <t xml:space="preserve">이론 연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달력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</si>
  <si>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이론 연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</si>
  <si>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이론 단순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배 생산량</t>
    </r>
  </si>
  <si>
    <r>
      <rPr>
        <sz val="9"/>
        <color rgb="FF000000"/>
        <rFont val="Arial"/>
        <family val="0"/>
        <charset val="1"/>
      </rPr>
      <t xml:space="preserve">11 Batch </t>
    </r>
    <r>
      <rPr>
        <sz val="9"/>
        <color rgb="FF000000"/>
        <rFont val="Noto Sans CJK SC"/>
        <family val="2"/>
      </rPr>
      <t xml:space="preserve">정제시간</t>
    </r>
  </si>
  <si>
    <r>
      <rPr>
        <sz val="9"/>
        <color rgb="FF000000"/>
        <rFont val="Arial"/>
        <family val="0"/>
        <charset val="1"/>
      </rPr>
      <t xml:space="preserve">11 Batch 720 h </t>
    </r>
    <r>
      <rPr>
        <sz val="9"/>
        <color rgb="FF000000"/>
        <rFont val="Noto Sans CJK SC"/>
        <family val="2"/>
      </rPr>
      <t xml:space="preserve">차이</t>
    </r>
  </si>
  <si>
    <r>
      <rPr>
        <sz val="9"/>
        <color rgb="FF000000"/>
        <rFont val="Arial"/>
        <family val="0"/>
        <charset val="1"/>
      </rPr>
      <t xml:space="preserve">11 Batch </t>
    </r>
    <r>
      <rPr>
        <sz val="9"/>
        <color rgb="FF000000"/>
        <rFont val="Noto Sans CJK SC"/>
        <family val="2"/>
      </rPr>
      <t xml:space="preserve">실효시간</t>
    </r>
  </si>
  <si>
    <r>
      <rPr>
        <sz val="9"/>
        <color rgb="FF000000"/>
        <rFont val="Arial"/>
        <family val="0"/>
        <charset val="1"/>
      </rPr>
      <t xml:space="preserve">11 Batch </t>
    </r>
    <r>
      <rPr>
        <sz val="9"/>
        <color rgb="FF000000"/>
        <rFont val="Noto Sans CJK SC"/>
        <family val="2"/>
      </rPr>
      <t xml:space="preserve">실효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Noto Sans CJK SC"/>
        <family val="2"/>
      </rPr>
      <t xml:space="preserve">정제 차이</t>
    </r>
  </si>
  <si>
    <r>
      <rPr>
        <sz val="9"/>
        <color rgb="FF000000"/>
        <rFont val="Arial"/>
        <family val="0"/>
        <charset val="1"/>
      </rPr>
      <t xml:space="preserve">11 Batch </t>
    </r>
    <r>
      <rPr>
        <sz val="9"/>
        <color rgb="FF000000"/>
        <rFont val="Noto Sans CJK SC"/>
        <family val="2"/>
      </rPr>
      <t xml:space="preserve">월 생산량</t>
    </r>
  </si>
  <si>
    <r>
      <rPr>
        <sz val="9"/>
        <color rgb="FF000000"/>
        <rFont val="Arial"/>
        <family val="0"/>
        <charset val="1"/>
      </rPr>
      <t xml:space="preserve">11 Batch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</si>
  <si>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Arial"/>
        <family val="0"/>
        <charset val="1"/>
      </rPr>
      <t xml:space="preserve">11 Batch </t>
    </r>
    <r>
      <rPr>
        <sz val="9"/>
        <color rgb="FF000000"/>
        <rFont val="Noto Sans CJK SC"/>
        <family val="2"/>
      </rPr>
      <t xml:space="preserve">달력 연속</t>
    </r>
  </si>
  <si>
    <t xml:space="preserve">관측 추정 간격</t>
  </si>
  <si>
    <t xml:space="preserve">관측 추정 하한</t>
  </si>
  <si>
    <t xml:space="preserve">관측 추정 상한</t>
  </si>
  <si>
    <t xml:space="preserve">관측 경과일수</t>
  </si>
  <si>
    <t xml:space="preserve">관측 간격 수</t>
  </si>
  <si>
    <t xml:space="preserve">관측 비정제 시간</t>
  </si>
  <si>
    <r>
      <rPr>
        <sz val="9"/>
        <color rgb="FF000000"/>
        <rFont val="Noto Sans CJK SC"/>
        <family val="2"/>
      </rPr>
      <t xml:space="preserve">관측 월 </t>
    </r>
    <r>
      <rPr>
        <sz val="9"/>
        <color rgb="FF000000"/>
        <rFont val="Arial"/>
        <family val="0"/>
        <charset val="1"/>
      </rPr>
      <t xml:space="preserve">Batch 30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</si>
  <si>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Noto Sans CJK SC"/>
        <family val="2"/>
      </rPr>
      <t xml:space="preserve">관측 월 </t>
    </r>
    <r>
      <rPr>
        <sz val="9"/>
        <color rgb="FF000000"/>
        <rFont val="Arial"/>
        <family val="0"/>
        <charset val="1"/>
      </rPr>
      <t xml:space="preserve">Batch 31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</si>
  <si>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Noto Sans CJK SC"/>
        <family val="2"/>
      </rPr>
      <t xml:space="preserve">관측 연 </t>
    </r>
    <r>
      <rPr>
        <sz val="9"/>
        <color rgb="FF000000"/>
        <rFont val="Arial"/>
        <family val="0"/>
        <charset val="1"/>
      </rPr>
      <t xml:space="preserve">Batch</t>
    </r>
  </si>
  <si>
    <t xml:space="preserve">관측 연 생산량</t>
  </si>
  <si>
    <r>
      <rPr>
        <sz val="9"/>
        <color rgb="FF000000"/>
        <rFont val="Noto Sans CJK SC"/>
        <family val="2"/>
      </rPr>
      <t xml:space="preserve">관측 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 간격 비중</t>
    </r>
  </si>
  <si>
    <r>
      <rPr>
        <sz val="9"/>
        <color rgb="FF000000"/>
        <rFont val="Noto Sans CJK SC"/>
        <family val="2"/>
      </rPr>
      <t xml:space="preserve">관측 중앙값 </t>
    </r>
    <r>
      <rPr>
        <sz val="9"/>
        <color rgb="FF000000"/>
        <rFont val="Arial"/>
        <family val="0"/>
        <charset val="1"/>
      </rPr>
      <t xml:space="preserve">h</t>
    </r>
  </si>
  <si>
    <r>
      <rPr>
        <sz val="9"/>
        <color rgb="FF000000"/>
        <rFont val="Arial"/>
        <family val="0"/>
        <charset val="1"/>
      </rPr>
      <t xml:space="preserve">#37 </t>
    </r>
    <r>
      <rPr>
        <sz val="9"/>
        <color rgb="FF000000"/>
        <rFont val="Noto Sans CJK SC"/>
        <family val="2"/>
      </rPr>
      <t xml:space="preserve">포함 평균</t>
    </r>
  </si>
  <si>
    <r>
      <rPr>
        <sz val="9"/>
        <color rgb="FF000000"/>
        <rFont val="Arial"/>
        <family val="0"/>
        <charset val="1"/>
      </rPr>
      <t xml:space="preserve">Total </t>
    </r>
    <r>
      <rPr>
        <sz val="9"/>
        <color rgb="FF000000"/>
        <rFont val="Noto Sans CJK SC"/>
        <family val="2"/>
      </rPr>
      <t xml:space="preserve">기준 간격</t>
    </r>
  </si>
  <si>
    <r>
      <rPr>
        <sz val="9"/>
        <color rgb="FF000000"/>
        <rFont val="Arial"/>
        <family val="0"/>
        <charset val="1"/>
      </rPr>
      <t xml:space="preserve">57 h </t>
    </r>
    <r>
      <rPr>
        <sz val="9"/>
        <color rgb="FF000000"/>
        <rFont val="Noto Sans CJK SC"/>
        <family val="2"/>
      </rPr>
      <t xml:space="preserve">정합 확인 구간 수</t>
    </r>
  </si>
  <si>
    <t xml:space="preserve">02</t>
  </si>
  <si>
    <t xml:space="preserve">대조 차이 건수</t>
  </si>
  <si>
    <t xml:space="preserve">건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</si>
  <si>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등가 간격</t>
    </r>
  </si>
  <si>
    <r>
      <rPr>
        <sz val="9"/>
        <color rgb="FF000000"/>
        <rFont val="Arial"/>
        <family val="0"/>
        <charset val="1"/>
      </rPr>
      <t xml:space="preserve">Tank 1</t>
    </r>
    <r>
      <rPr>
        <sz val="9"/>
        <color rgb="FF000000"/>
        <rFont val="Noto Sans CJK SC"/>
        <family val="2"/>
      </rPr>
      <t xml:space="preserve">교대 여유 </t>
    </r>
    <r>
      <rPr>
        <sz val="9"/>
        <color rgb="FF000000"/>
        <rFont val="Arial"/>
        <family val="0"/>
        <charset val="1"/>
      </rPr>
      <t xml:space="preserve">vs 57</t>
    </r>
  </si>
  <si>
    <r>
      <rPr>
        <sz val="9"/>
        <color rgb="FF000000"/>
        <rFont val="Arial"/>
        <family val="0"/>
        <charset val="1"/>
      </rPr>
      <t xml:space="preserve">Tank 1</t>
    </r>
    <r>
      <rPr>
        <sz val="9"/>
        <color rgb="FF000000"/>
        <rFont val="Noto Sans CJK SC"/>
        <family val="2"/>
      </rPr>
      <t xml:space="preserve">교대 여유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관측</t>
    </r>
  </si>
  <si>
    <r>
      <rPr>
        <sz val="9"/>
        <color rgb="FF000000"/>
        <rFont val="Arial"/>
        <family val="0"/>
        <charset val="1"/>
      </rPr>
      <t xml:space="preserve">Tank 1</t>
    </r>
    <r>
      <rPr>
        <sz val="9"/>
        <color rgb="FF000000"/>
        <rFont val="Noto Sans CJK SC"/>
        <family val="2"/>
      </rPr>
      <t xml:space="preserve">교대 여유 </t>
    </r>
    <r>
      <rPr>
        <sz val="9"/>
        <color rgb="FF000000"/>
        <rFont val="Arial"/>
        <family val="0"/>
        <charset val="1"/>
      </rPr>
      <t xml:space="preserve">vs 47.2</t>
    </r>
  </si>
  <si>
    <r>
      <rPr>
        <sz val="9"/>
        <color rgb="FF000000"/>
        <rFont val="Arial"/>
        <family val="0"/>
        <charset val="1"/>
      </rPr>
      <t xml:space="preserve">Tank 2</t>
    </r>
    <r>
      <rPr>
        <sz val="9"/>
        <color rgb="FF000000"/>
        <rFont val="Noto Sans CJK SC"/>
        <family val="2"/>
      </rPr>
      <t xml:space="preserve">교대 여유 </t>
    </r>
    <r>
      <rPr>
        <sz val="9"/>
        <color rgb="FF000000"/>
        <rFont val="Arial"/>
        <family val="0"/>
        <charset val="1"/>
      </rPr>
      <t xml:space="preserve">vs 47.2</t>
    </r>
  </si>
  <si>
    <r>
      <rPr>
        <sz val="9"/>
        <color rgb="FF000000"/>
        <rFont val="Arial"/>
        <family val="0"/>
        <charset val="1"/>
      </rPr>
      <t xml:space="preserve">Tank </t>
    </r>
    <r>
      <rPr>
        <sz val="9"/>
        <color rgb="FF000000"/>
        <rFont val="Noto Sans CJK SC"/>
        <family val="2"/>
      </rPr>
      <t xml:space="preserve">점유 확인분</t>
    </r>
  </si>
  <si>
    <r>
      <rPr>
        <sz val="9"/>
        <color rgb="FF000000"/>
        <rFont val="Arial"/>
        <family val="0"/>
        <charset val="1"/>
      </rPr>
      <t xml:space="preserve">2026 5 Gal </t>
    </r>
    <r>
      <rPr>
        <sz val="9"/>
        <color rgb="FF000000"/>
        <rFont val="Noto Sans CJK SC"/>
        <family val="2"/>
      </rPr>
      <t xml:space="preserve">월 최대 작업</t>
    </r>
  </si>
  <si>
    <t xml:space="preserve">04</t>
  </si>
  <si>
    <r>
      <rPr>
        <sz val="9"/>
        <color rgb="FF000000"/>
        <rFont val="Arial"/>
        <family val="0"/>
        <charset val="1"/>
      </rPr>
      <t xml:space="preserve">2027 5 Gal </t>
    </r>
    <r>
      <rPr>
        <sz val="9"/>
        <color rgb="FF000000"/>
        <rFont val="Noto Sans CJK SC"/>
        <family val="2"/>
      </rPr>
      <t xml:space="preserve">월 최대 작업</t>
    </r>
  </si>
  <si>
    <r>
      <rPr>
        <sz val="9"/>
        <color rgb="FF000000"/>
        <rFont val="Arial"/>
        <family val="0"/>
        <charset val="1"/>
      </rPr>
      <t xml:space="preserve">2027 200 L </t>
    </r>
    <r>
      <rPr>
        <sz val="9"/>
        <color rgb="FF000000"/>
        <rFont val="Noto Sans CJK SC"/>
        <family val="2"/>
      </rPr>
      <t xml:space="preserve">월 최대 작업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</si>
  <si>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교대 가용 </t>
    </r>
    <r>
      <rPr>
        <sz val="9"/>
        <color rgb="FF000000"/>
        <rFont val="Arial"/>
        <family val="0"/>
        <charset val="1"/>
      </rPr>
      <t xml:space="preserve">h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</si>
  <si>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교대 가용 </t>
    </r>
    <r>
      <rPr>
        <sz val="9"/>
        <color rgb="FF000000"/>
        <rFont val="Arial"/>
        <family val="0"/>
        <charset val="1"/>
      </rPr>
      <t xml:space="preserve">h</t>
    </r>
  </si>
  <si>
    <r>
      <rPr>
        <sz val="9"/>
        <color rgb="FF000000"/>
        <rFont val="Arial"/>
        <family val="0"/>
        <charset val="1"/>
      </rPr>
      <t xml:space="preserve">2027 5 Gal </t>
    </r>
    <r>
      <rPr>
        <sz val="9"/>
        <color rgb="FF000000"/>
        <rFont val="Noto Sans CJK SC"/>
        <family val="2"/>
      </rPr>
      <t xml:space="preserve">부하율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교대</t>
    </r>
  </si>
  <si>
    <r>
      <rPr>
        <sz val="9"/>
        <color rgb="FF000000"/>
        <rFont val="Arial"/>
        <family val="0"/>
        <charset val="1"/>
      </rPr>
      <t xml:space="preserve">2027 5 Gal </t>
    </r>
    <r>
      <rPr>
        <sz val="9"/>
        <color rgb="FF000000"/>
        <rFont val="Noto Sans CJK SC"/>
        <family val="2"/>
      </rPr>
      <t xml:space="preserve">부하율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교대</t>
    </r>
  </si>
  <si>
    <r>
      <rPr>
        <sz val="9"/>
        <color rgb="FF000000"/>
        <rFont val="Arial"/>
        <family val="0"/>
        <charset val="1"/>
      </rPr>
      <t xml:space="preserve">2026 5 Gal </t>
    </r>
    <r>
      <rPr>
        <sz val="9"/>
        <color rgb="FF000000"/>
        <rFont val="Noto Sans CJK SC"/>
        <family val="2"/>
      </rPr>
      <t xml:space="preserve">부하율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교대</t>
    </r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</si>
  <si>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제시 출하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</si>
  <si>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합계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</si>
  <si>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하이닉스</t>
    </r>
  </si>
  <si>
    <t xml:space="preserve">2027 CXMT</t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</si>
  <si>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이지켐</t>
    </r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</si>
  <si>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생산 가능량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선택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</si>
  <si>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생산 가능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</si>
  <si>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생산 가능량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부분합계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</si>
  <si>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리플럭스 후 </t>
    </r>
    <r>
      <rPr>
        <sz val="9"/>
        <color rgb="FF000000"/>
        <rFont val="Arial"/>
        <family val="0"/>
        <charset val="1"/>
      </rPr>
      <t xml:space="preserve">Capa.</t>
    </r>
  </si>
  <si>
    <t xml:space="preserve">105℃ Capa.</t>
  </si>
  <si>
    <r>
      <rPr>
        <sz val="9"/>
        <color rgb="FF000000"/>
        <rFont val="Arial"/>
        <family val="0"/>
        <charset val="1"/>
      </rPr>
      <t xml:space="preserve">47.2 </t>
    </r>
    <r>
      <rPr>
        <sz val="9"/>
        <color rgb="FF000000"/>
        <rFont val="Noto Sans CJK SC"/>
        <family val="2"/>
      </rPr>
      <t xml:space="preserve">월 환산</t>
    </r>
  </si>
  <si>
    <r>
      <rPr>
        <sz val="9"/>
        <color rgb="FF000000"/>
        <rFont val="Arial"/>
        <family val="0"/>
        <charset val="1"/>
      </rPr>
      <t xml:space="preserve">t/</t>
    </r>
    <r>
      <rPr>
        <sz val="9"/>
        <color rgb="FF000000"/>
        <rFont val="Noto Sans CJK SC"/>
        <family val="2"/>
      </rPr>
      <t xml:space="preserve">월</t>
    </r>
  </si>
  <si>
    <t xml:space="preserve">05</t>
  </si>
  <si>
    <r>
      <rPr>
        <sz val="9"/>
        <color rgb="FF000000"/>
        <rFont val="Arial"/>
        <family val="0"/>
        <charset val="1"/>
      </rPr>
      <t xml:space="preserve">47.2 Batch </t>
    </r>
    <r>
      <rPr>
        <sz val="9"/>
        <color rgb="FF000000"/>
        <rFont val="Noto Sans CJK SC"/>
        <family val="2"/>
      </rPr>
      <t xml:space="preserve">상당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</si>
  <si>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S1 2027 </t>
    </r>
    <r>
      <rPr>
        <sz val="9"/>
        <color rgb="FF000000"/>
        <rFont val="Noto Sans CJK SC"/>
        <family val="2"/>
      </rPr>
      <t xml:space="preserve">생산</t>
    </r>
  </si>
  <si>
    <r>
      <rPr>
        <sz val="9"/>
        <color rgb="FF000000"/>
        <rFont val="Arial"/>
        <family val="0"/>
        <charset val="1"/>
      </rPr>
      <t xml:space="preserve">S2 2027 </t>
    </r>
    <r>
      <rPr>
        <sz val="9"/>
        <color rgb="FF000000"/>
        <rFont val="Noto Sans CJK SC"/>
        <family val="2"/>
      </rPr>
      <t xml:space="preserve">생산</t>
    </r>
  </si>
  <si>
    <r>
      <rPr>
        <sz val="9"/>
        <color rgb="FF000000"/>
        <rFont val="Arial"/>
        <family val="0"/>
        <charset val="1"/>
      </rPr>
      <t xml:space="preserve">S3 2027 </t>
    </r>
    <r>
      <rPr>
        <sz val="9"/>
        <color rgb="FF000000"/>
        <rFont val="Noto Sans CJK SC"/>
        <family val="2"/>
      </rPr>
      <t xml:space="preserve">생산</t>
    </r>
  </si>
  <si>
    <r>
      <rPr>
        <sz val="9"/>
        <color rgb="FF000000"/>
        <rFont val="Arial"/>
        <family val="0"/>
        <charset val="1"/>
      </rPr>
      <t xml:space="preserve">S1 </t>
    </r>
    <r>
      <rPr>
        <sz val="9"/>
        <color rgb="FF000000"/>
        <rFont val="Noto Sans CJK SC"/>
        <family val="2"/>
      </rPr>
      <t xml:space="preserve">연간 차이</t>
    </r>
  </si>
  <si>
    <r>
      <rPr>
        <sz val="9"/>
        <color rgb="FF000000"/>
        <rFont val="Arial"/>
        <family val="0"/>
        <charset val="1"/>
      </rPr>
      <t xml:space="preserve">S2 </t>
    </r>
    <r>
      <rPr>
        <sz val="9"/>
        <color rgb="FF000000"/>
        <rFont val="Noto Sans CJK SC"/>
        <family val="2"/>
      </rPr>
      <t xml:space="preserve">연간 차이</t>
    </r>
  </si>
  <si>
    <r>
      <rPr>
        <sz val="9"/>
        <color rgb="FF000000"/>
        <rFont val="Arial"/>
        <family val="0"/>
        <charset val="1"/>
      </rPr>
      <t xml:space="preserve">S3 </t>
    </r>
    <r>
      <rPr>
        <sz val="9"/>
        <color rgb="FF000000"/>
        <rFont val="Noto Sans CJK SC"/>
        <family val="2"/>
      </rPr>
      <t xml:space="preserve">연간 차이</t>
    </r>
  </si>
  <si>
    <r>
      <rPr>
        <sz val="9"/>
        <color rgb="FF000000"/>
        <rFont val="Arial"/>
        <family val="0"/>
        <charset val="1"/>
      </rPr>
      <t xml:space="preserve">S1 </t>
    </r>
    <r>
      <rPr>
        <sz val="9"/>
        <color rgb="FF000000"/>
        <rFont val="Noto Sans CJK SC"/>
        <family val="2"/>
      </rPr>
      <t xml:space="preserve">필요 선행재고</t>
    </r>
  </si>
  <si>
    <r>
      <rPr>
        <sz val="9"/>
        <color rgb="FF000000"/>
        <rFont val="Arial"/>
        <family val="0"/>
        <charset val="1"/>
      </rPr>
      <t xml:space="preserve">S2 </t>
    </r>
    <r>
      <rPr>
        <sz val="9"/>
        <color rgb="FF000000"/>
        <rFont val="Noto Sans CJK SC"/>
        <family val="2"/>
      </rPr>
      <t xml:space="preserve">필요 선행재고</t>
    </r>
  </si>
  <si>
    <r>
      <rPr>
        <sz val="9"/>
        <color rgb="FF000000"/>
        <rFont val="Arial"/>
        <family val="0"/>
        <charset val="1"/>
      </rPr>
      <t xml:space="preserve">S3 </t>
    </r>
    <r>
      <rPr>
        <sz val="9"/>
        <color rgb="FF000000"/>
        <rFont val="Noto Sans CJK SC"/>
        <family val="2"/>
      </rPr>
      <t xml:space="preserve">필요 선행재고</t>
    </r>
  </si>
  <si>
    <r>
      <rPr>
        <sz val="9"/>
        <color rgb="FF000000"/>
        <rFont val="Arial"/>
        <family val="0"/>
        <charset val="1"/>
      </rPr>
      <t xml:space="preserve">S1 </t>
    </r>
    <r>
      <rPr>
        <sz val="9"/>
        <color rgb="FF000000"/>
        <rFont val="Noto Sans CJK SC"/>
        <family val="2"/>
      </rPr>
      <t xml:space="preserve">최대 부족 월</t>
    </r>
  </si>
  <si>
    <r>
      <rPr>
        <sz val="9"/>
        <color rgb="FF000000"/>
        <rFont val="Arial"/>
        <family val="0"/>
        <charset val="1"/>
      </rPr>
      <t xml:space="preserve">S2 </t>
    </r>
    <r>
      <rPr>
        <sz val="9"/>
        <color rgb="FF000000"/>
        <rFont val="Noto Sans CJK SC"/>
        <family val="2"/>
      </rPr>
      <t xml:space="preserve">최대 부족 월</t>
    </r>
  </si>
  <si>
    <r>
      <rPr>
        <sz val="9"/>
        <color rgb="FF000000"/>
        <rFont val="Arial"/>
        <family val="0"/>
        <charset val="1"/>
      </rPr>
      <t xml:space="preserve">S3 </t>
    </r>
    <r>
      <rPr>
        <sz val="9"/>
        <color rgb="FF000000"/>
        <rFont val="Noto Sans CJK SC"/>
        <family val="2"/>
      </rPr>
      <t xml:space="preserve">최대 부족 월</t>
    </r>
  </si>
  <si>
    <r>
      <rPr>
        <sz val="9"/>
        <color rgb="FF000000"/>
        <rFont val="Arial"/>
        <family val="0"/>
        <charset val="1"/>
      </rPr>
      <t xml:space="preserve">2027 1</t>
    </r>
    <r>
      <rPr>
        <sz val="9"/>
        <color rgb="FF000000"/>
        <rFont val="Noto Sans CJK SC"/>
        <family val="2"/>
      </rPr>
      <t xml:space="preserve">월 생산 가능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</si>
  <si>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Arial"/>
        <family val="0"/>
        <charset val="1"/>
      </rPr>
      <t xml:space="preserve">2027 1</t>
    </r>
    <r>
      <rPr>
        <sz val="9"/>
        <color rgb="FF000000"/>
        <rFont val="Noto Sans CJK SC"/>
        <family val="2"/>
      </rPr>
      <t xml:space="preserve">월 생산 가능량</t>
    </r>
  </si>
  <si>
    <t xml:space="preserve">현재 조건 적용 간격</t>
  </si>
  <si>
    <r>
      <rPr>
        <sz val="9"/>
        <color rgb="FF000000"/>
        <rFont val="Arial"/>
        <family val="0"/>
        <charset val="1"/>
      </rPr>
      <t xml:space="preserve">2027 H1 </t>
    </r>
    <r>
      <rPr>
        <sz val="9"/>
        <color rgb="FF000000"/>
        <rFont val="Noto Sans CJK SC"/>
        <family val="2"/>
      </rPr>
      <t xml:space="preserve">출하</t>
    </r>
  </si>
  <si>
    <r>
      <rPr>
        <sz val="9"/>
        <color rgb="FF000000"/>
        <rFont val="Arial"/>
        <family val="0"/>
        <charset val="1"/>
      </rPr>
      <t xml:space="preserve">2027 H2 </t>
    </r>
    <r>
      <rPr>
        <sz val="9"/>
        <color rgb="FF000000"/>
        <rFont val="Noto Sans CJK SC"/>
        <family val="2"/>
      </rPr>
      <t xml:space="preserve">출하</t>
    </r>
  </si>
  <si>
    <r>
      <rPr>
        <sz val="9"/>
        <color rgb="FF000000"/>
        <rFont val="Arial"/>
        <family val="0"/>
        <charset val="1"/>
      </rPr>
      <t xml:space="preserve">7~12</t>
    </r>
    <r>
      <rPr>
        <sz val="9"/>
        <color rgb="FF000000"/>
        <rFont val="Noto Sans CJK SC"/>
        <family val="2"/>
      </rPr>
      <t xml:space="preserve">월 월 평균 필요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</si>
  <si>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Arial"/>
        <family val="0"/>
        <charset val="1"/>
      </rPr>
      <t xml:space="preserve">7~12</t>
    </r>
    <r>
      <rPr>
        <sz val="9"/>
        <color rgb="FF000000"/>
        <rFont val="Noto Sans CJK SC"/>
        <family val="2"/>
      </rPr>
      <t xml:space="preserve">월 필요 간격</t>
    </r>
  </si>
  <si>
    <r>
      <rPr>
        <sz val="9"/>
        <color rgb="FF000000"/>
        <rFont val="Arial"/>
        <family val="0"/>
        <charset val="1"/>
      </rPr>
      <t xml:space="preserve">7~12</t>
    </r>
    <r>
      <rPr>
        <sz val="9"/>
        <color rgb="FF000000"/>
        <rFont val="Noto Sans CJK SC"/>
        <family val="2"/>
      </rPr>
      <t xml:space="preserve">월 필요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</si>
  <si>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Arial"/>
        <family val="0"/>
        <charset val="1"/>
      </rPr>
      <t xml:space="preserve">2027 5 Gal </t>
    </r>
    <r>
      <rPr>
        <sz val="9"/>
        <color rgb="FF000000"/>
        <rFont val="Noto Sans CJK SC"/>
        <family val="2"/>
      </rPr>
      <t xml:space="preserve">월 병수 </t>
    </r>
    <r>
      <rPr>
        <sz val="9"/>
        <color rgb="FF000000"/>
        <rFont val="Arial"/>
        <family val="0"/>
        <charset val="1"/>
      </rPr>
      <t xml:space="preserve">(4</t>
    </r>
    <r>
      <rPr>
        <sz val="9"/>
        <color rgb="FF000000"/>
        <rFont val="Noto Sans CJK SC"/>
        <family val="2"/>
      </rPr>
      <t xml:space="preserve">월</t>
    </r>
    <r>
      <rPr>
        <sz val="9"/>
        <color rgb="FF000000"/>
        <rFont val="Arial"/>
        <family val="0"/>
        <charset val="1"/>
      </rPr>
      <t xml:space="preserve">~)</t>
    </r>
  </si>
  <si>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</si>
  <si>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2027 200 L </t>
    </r>
    <r>
      <rPr>
        <sz val="9"/>
        <color rgb="FF000000"/>
        <rFont val="Noto Sans CJK SC"/>
        <family val="2"/>
      </rPr>
      <t xml:space="preserve">월 용기</t>
    </r>
  </si>
  <si>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</si>
  <si>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2026 5 Gal </t>
    </r>
    <r>
      <rPr>
        <sz val="9"/>
        <color rgb="FF000000"/>
        <rFont val="Noto Sans CJK SC"/>
        <family val="2"/>
      </rPr>
      <t xml:space="preserve">월 최대 병수</t>
    </r>
  </si>
  <si>
    <r>
      <rPr>
        <b val="true"/>
        <i val="true"/>
        <sz val="9"/>
        <color rgb="FFEB002C"/>
        <rFont val="Arial"/>
        <family val="0"/>
        <charset val="1"/>
      </rPr>
      <t xml:space="preserve">2. </t>
    </r>
    <r>
      <rPr>
        <b val="true"/>
        <i val="true"/>
        <sz val="9"/>
        <color rgb="FFEB002C"/>
        <rFont val="Noto Sans CJK SC"/>
        <family val="2"/>
      </rPr>
      <t xml:space="preserve">이론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과거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추정 생산능력 비교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연 생산량 </t>
    </r>
    <r>
      <rPr>
        <b val="true"/>
        <i val="true"/>
        <sz val="9"/>
        <color rgb="FFEB002C"/>
        <rFont val="Arial"/>
        <family val="0"/>
        <charset val="1"/>
      </rPr>
      <t xml:space="preserve">t, </t>
    </r>
    <r>
      <rPr>
        <b val="true"/>
        <i val="true"/>
        <sz val="9"/>
        <color rgb="FFEB002C"/>
        <rFont val="Noto Sans CJK SC"/>
        <family val="2"/>
      </rPr>
      <t xml:space="preserve">달력 연속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</si>
  <si>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</si>
  <si>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 (30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</si>
  <si>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 생산량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</si>
  <si>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Arial"/>
        <family val="0"/>
        <charset val="1"/>
      </rPr>
      <t xml:space="preserve">26.2</t>
    </r>
    <r>
      <rPr>
        <b val="true"/>
        <sz val="9"/>
        <color rgb="FFFFFFFF"/>
        <rFont val="Noto Sans CJK SC"/>
        <family val="2"/>
      </rPr>
      <t xml:space="preserve">톤 대비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</si>
  <si>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i val="true"/>
        <sz val="9"/>
        <color rgb="FFEB002C"/>
        <rFont val="Arial"/>
        <family val="0"/>
        <charset val="1"/>
      </rPr>
      <t xml:space="preserve">3. </t>
    </r>
    <r>
      <rPr>
        <b val="true"/>
        <i val="true"/>
        <sz val="9"/>
        <color rgb="FFEB002C"/>
        <rFont val="Noto Sans CJK SC"/>
        <family val="2"/>
      </rPr>
      <t xml:space="preserve">월별 생산 가능량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출하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재고 증감 </t>
    </r>
    <r>
      <rPr>
        <b val="true"/>
        <i val="true"/>
        <sz val="9"/>
        <color rgb="FFEB002C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</si>
  <si>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생산 가능
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</si>
  <si>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양품 생산
가능량</t>
  </si>
  <si>
    <t xml:space="preserve">출하 합계</t>
  </si>
  <si>
    <t xml:space="preserve">생산−출하</t>
  </si>
  <si>
    <r>
      <rPr>
        <b val="true"/>
        <sz val="9"/>
        <color rgb="FFFFFFFF"/>
        <rFont val="Noto Sans CJK SC"/>
        <family val="2"/>
      </rPr>
      <t xml:space="preserve">누적 증감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기초재고 제외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</si>
  <si>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과거계획
</t>
    </r>
    <r>
      <rPr>
        <b val="true"/>
        <sz val="9"/>
        <color rgb="FFFFFFFF"/>
        <rFont val="Arial"/>
        <family val="0"/>
        <charset val="1"/>
      </rPr>
      <t xml:space="preserve">Total</t>
    </r>
  </si>
  <si>
    <t xml:space="preserve">기말재고</t>
  </si>
  <si>
    <r>
      <rPr>
        <b val="true"/>
        <i val="true"/>
        <sz val="9"/>
        <color rgb="FFEB002C"/>
        <rFont val="Arial"/>
        <family val="0"/>
        <charset val="1"/>
      </rPr>
      <t xml:space="preserve">4. </t>
    </r>
    <r>
      <rPr>
        <b val="true"/>
        <i val="true"/>
        <sz val="9"/>
        <color rgb="FFEB002C"/>
        <rFont val="Noto Sans CJK SC"/>
        <family val="2"/>
      </rPr>
      <t xml:space="preserve">과거 </t>
    </r>
    <r>
      <rPr>
        <b val="true"/>
        <i val="true"/>
        <sz val="9"/>
        <color rgb="FFEB002C"/>
        <rFont val="Arial"/>
        <family val="0"/>
        <charset val="1"/>
      </rPr>
      <t xml:space="preserve">Batch </t>
    </r>
    <r>
      <rPr>
        <b val="true"/>
        <i val="true"/>
        <sz val="9"/>
        <color rgb="FFEB002C"/>
        <rFont val="Noto Sans CJK SC"/>
        <family val="2"/>
      </rPr>
      <t xml:space="preserve">표시일자 간격 분포 </t>
    </r>
    <r>
      <rPr>
        <b val="true"/>
        <i val="true"/>
        <sz val="9"/>
        <color rgb="FFEB002C"/>
        <rFont val="Arial"/>
        <family val="0"/>
        <charset val="1"/>
      </rPr>
      <t xml:space="preserve">(#39~#92)</t>
    </r>
  </si>
  <si>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</si>
  <si>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건수</t>
  </si>
  <si>
    <r>
      <rPr>
        <b val="true"/>
        <sz val="9"/>
        <color rgb="FFFFFFFF"/>
        <rFont val="Noto Sans CJK SC"/>
        <family val="2"/>
      </rPr>
      <t xml:space="preserve">명목 </t>
    </r>
    <r>
      <rPr>
        <b val="true"/>
        <sz val="9"/>
        <color rgb="FFFFFFFF"/>
        <rFont val="Arial"/>
        <family val="0"/>
        <charset val="1"/>
      </rPr>
      <t xml:space="preserve">h</t>
    </r>
  </si>
  <si>
    <r>
      <rPr>
        <b val="true"/>
        <sz val="9"/>
        <color rgb="FFFFFFFF"/>
        <rFont val="Noto Sans CJK SC"/>
        <family val="2"/>
      </rPr>
      <t xml:space="preserve">가능 경과 범위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</si>
  <si>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일</t>
    </r>
  </si>
  <si>
    <t xml:space="preserve">0~48</t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</si>
  <si>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</t>
    </r>
  </si>
  <si>
    <t xml:space="preserve">24~72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</si>
  <si>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</t>
    </r>
  </si>
  <si>
    <t xml:space="preserve">48~96</t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</si>
  <si>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일</t>
    </r>
  </si>
  <si>
    <t xml:space="preserve">72~120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</si>
  <si>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일</t>
    </r>
  </si>
  <si>
    <t xml:space="preserve">96~144</t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</si>
  <si>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일 이상</t>
    </r>
  </si>
  <si>
    <t xml:space="preserve">≥144</t>
  </si>
  <si>
    <t xml:space="preserve">≥120</t>
  </si>
  <si>
    <r>
      <rPr>
        <b val="true"/>
        <i val="true"/>
        <sz val="9"/>
        <color rgb="FFEB002C"/>
        <rFont val="Arial"/>
        <family val="0"/>
        <charset val="1"/>
      </rPr>
      <t xml:space="preserve">5. </t>
    </r>
    <r>
      <rPr>
        <b val="true"/>
        <i val="true"/>
        <sz val="9"/>
        <color rgb="FFEB002C"/>
        <rFont val="Noto Sans CJK SC"/>
        <family val="2"/>
      </rPr>
      <t xml:space="preserve">투자 일정 </t>
    </r>
    <r>
      <rPr>
        <b val="true"/>
        <i val="true"/>
        <sz val="9"/>
        <color rgb="FFEB002C"/>
        <rFont val="Arial"/>
        <family val="0"/>
        <charset val="1"/>
      </rPr>
      <t xml:space="preserve">· Capa. </t>
    </r>
    <r>
      <rPr>
        <b val="true"/>
        <i val="true"/>
        <sz val="9"/>
        <color rgb="FFEB002C"/>
        <rFont val="Noto Sans CJK SC"/>
        <family val="2"/>
      </rPr>
      <t xml:space="preserve">로드맵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</si>
  <si>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운영 시작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계획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</si>
  <si>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Capa. 26.2 → 47.2 → (</t>
    </r>
    <r>
      <rPr>
        <sz val="9"/>
        <color rgb="FF000000"/>
        <rFont val="Noto Sans CJK SC"/>
        <family val="2"/>
      </rPr>
      <t xml:space="preserve">검토안</t>
    </r>
    <r>
      <rPr>
        <sz val="9"/>
        <color rgb="FF000000"/>
        <rFont val="Arial"/>
        <family val="0"/>
        <charset val="1"/>
      </rPr>
      <t xml:space="preserve">) 50.2 t/</t>
    </r>
    <r>
      <rPr>
        <sz val="9"/>
        <color rgb="FF000000"/>
        <rFont val="Noto Sans CJK SC"/>
        <family val="2"/>
      </rPr>
      <t xml:space="preserve">년</t>
    </r>
  </si>
  <si>
    <r>
      <rPr>
        <b val="true"/>
        <i val="true"/>
        <sz val="9"/>
        <color rgb="FFEB002C"/>
        <rFont val="Arial"/>
        <family val="0"/>
        <charset val="1"/>
      </rPr>
      <t xml:space="preserve">6. </t>
    </r>
    <r>
      <rPr>
        <b val="true"/>
        <i val="true"/>
        <sz val="9"/>
        <color rgb="FFEB002C"/>
        <rFont val="Noto Sans CJK SC"/>
        <family val="2"/>
      </rPr>
      <t xml:space="preserve">주요 미확인 사항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담당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</si>
  <si>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확인사항</t>
  </si>
  <si>
    <t xml:space="preserve">담당</t>
  </si>
  <si>
    <t xml:space="preserve">영향</t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</si>
  <si>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표시일자 의미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투입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정제 시작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완료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출하</t>
    </r>
    <r>
      <rPr>
        <sz val="9"/>
        <color rgb="FF000000"/>
        <rFont val="Arial"/>
        <family val="0"/>
        <charset val="1"/>
      </rPr>
      <t xml:space="preserve">) · </t>
    </r>
    <r>
      <rPr>
        <sz val="9"/>
        <color rgb="FF000000"/>
        <rFont val="Noto Sans CJK SC"/>
        <family val="2"/>
      </rPr>
      <t xml:space="preserve">실제 시각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계획 대비 실적</t>
    </r>
  </si>
  <si>
    <t xml:space="preserve">생산</t>
  </si>
  <si>
    <r>
      <rPr>
        <sz val="9"/>
        <color rgb="FF000000"/>
        <rFont val="Noto Sans CJK SC"/>
        <family val="2"/>
      </rPr>
      <t xml:space="preserve">실효 간격 </t>
    </r>
    <r>
      <rPr>
        <sz val="9"/>
        <color rgb="FF000000"/>
        <rFont val="Arial"/>
        <family val="0"/>
        <charset val="1"/>
      </rPr>
      <t xml:space="preserve">67.5 h </t>
    </r>
    <r>
      <rPr>
        <sz val="9"/>
        <color rgb="FF000000"/>
        <rFont val="Noto Sans CJK SC"/>
        <family val="2"/>
      </rPr>
      <t xml:space="preserve">추정의 전제</t>
    </r>
  </si>
  <si>
    <r>
      <rPr>
        <sz val="9"/>
        <color rgb="FF000000"/>
        <rFont val="Noto Sans CJK SC"/>
        <family val="2"/>
      </rPr>
      <t xml:space="preserve">원자료 </t>
    </r>
    <r>
      <rPr>
        <sz val="9"/>
        <color rgb="FF000000"/>
        <rFont val="Arial"/>
        <family val="0"/>
        <charset val="1"/>
      </rPr>
      <t xml:space="preserve">Total(46) vs </t>
    </r>
    <r>
      <rPr>
        <sz val="9"/>
        <color rgb="FF000000"/>
        <rFont val="Noto Sans CJK SC"/>
        <family val="2"/>
      </rPr>
      <t xml:space="preserve">번호 개수</t>
    </r>
    <r>
      <rPr>
        <sz val="9"/>
        <color rgb="FF000000"/>
        <rFont val="Arial"/>
        <family val="0"/>
        <charset val="1"/>
      </rPr>
      <t xml:space="preserve">(54) </t>
    </r>
    <r>
      <rPr>
        <sz val="9"/>
        <color rgb="FF000000"/>
        <rFont val="Noto Sans CJK SC"/>
        <family val="2"/>
      </rPr>
      <t xml:space="preserve">집계 기준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색상 의미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원본 이미지 대조</t>
    </r>
  </si>
  <si>
    <r>
      <rPr>
        <sz val="9"/>
        <color rgb="FF000000"/>
        <rFont val="Noto Sans CJK SC"/>
        <family val="2"/>
      </rPr>
      <t xml:space="preserve">완료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수 확정</t>
    </r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</si>
  <si>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57 h </t>
    </r>
    <r>
      <rPr>
        <sz val="9"/>
        <color rgb="FF000000"/>
        <rFont val="Noto Sans CJK SC"/>
        <family val="2"/>
      </rPr>
      <t xml:space="preserve">포함 범위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가열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냉각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배출</t>
    </r>
    <r>
      <rPr>
        <sz val="9"/>
        <color rgb="FF000000"/>
        <rFont val="Arial"/>
        <family val="0"/>
        <charset val="1"/>
      </rPr>
      <t xml:space="preserve">) · </t>
    </r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 시간</t>
    </r>
  </si>
  <si>
    <r>
      <rPr>
        <sz val="9"/>
        <color rgb="FF000000"/>
        <rFont val="Noto Sans CJK SC"/>
        <family val="2"/>
      </rPr>
      <t xml:space="preserve">비정제 시간 약 </t>
    </r>
    <r>
      <rPr>
        <sz val="9"/>
        <color rgb="FF000000"/>
        <rFont val="Arial"/>
        <family val="0"/>
        <charset val="1"/>
      </rPr>
      <t xml:space="preserve">10.5 h </t>
    </r>
    <r>
      <rPr>
        <sz val="9"/>
        <color rgb="FF000000"/>
        <rFont val="Noto Sans CJK SC"/>
        <family val="2"/>
      </rPr>
      <t xml:space="preserve">구성</t>
    </r>
  </si>
  <si>
    <r>
      <rPr>
        <sz val="9"/>
        <color rgb="FF000000"/>
        <rFont val="Arial"/>
        <family val="0"/>
        <charset val="1"/>
      </rPr>
      <t xml:space="preserve">190 kg = </t>
    </r>
    <r>
      <rPr>
        <sz val="9"/>
        <color rgb="FF000000"/>
        <rFont val="Noto Sans CJK SC"/>
        <family val="2"/>
      </rPr>
      <t xml:space="preserve">정제 회수량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양품량 여부 </t>
    </r>
    <r>
      <rPr>
        <sz val="9"/>
        <color rgb="FF000000"/>
        <rFont val="Arial"/>
        <family val="0"/>
        <charset val="1"/>
      </rPr>
      <t xml:space="preserve">· 8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(160 kg)</t>
    </r>
    <r>
      <rPr>
        <sz val="9"/>
        <color rgb="FF000000"/>
        <rFont val="Noto Sans CJK SC"/>
        <family val="2"/>
      </rPr>
      <t xml:space="preserve">과 </t>
    </r>
    <r>
      <rPr>
        <sz val="9"/>
        <color rgb="FF000000"/>
        <rFont val="Arial"/>
        <family val="0"/>
        <charset val="1"/>
      </rPr>
      <t xml:space="preserve">30 kg </t>
    </r>
    <r>
      <rPr>
        <sz val="9"/>
        <color rgb="FF000000"/>
        <rFont val="Noto Sans CJK SC"/>
        <family val="2"/>
      </rPr>
      <t xml:space="preserve">차이 처리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</si>
  <si>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</si>
  <si>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t xml:space="preserve">출하 가능량</t>
  </si>
  <si>
    <r>
      <rPr>
        <sz val="9"/>
        <color rgb="FF000000"/>
        <rFont val="Arial"/>
        <family val="0"/>
        <charset val="1"/>
      </rPr>
      <t xml:space="preserve">IQC </t>
    </r>
    <r>
      <rPr>
        <sz val="9"/>
        <color rgb="FF000000"/>
        <rFont val="Noto Sans CJK SC"/>
        <family val="2"/>
      </rPr>
      <t xml:space="preserve">적용 단위 </t>
    </r>
    <r>
      <rPr>
        <sz val="9"/>
        <color rgb="FF000000"/>
        <rFont val="Arial"/>
        <family val="0"/>
        <charset val="1"/>
      </rPr>
      <t xml:space="preserve">· 200 L 8 h </t>
    </r>
    <r>
      <rPr>
        <sz val="9"/>
        <color rgb="FF000000"/>
        <rFont val="Noto Sans CJK SC"/>
        <family val="2"/>
      </rPr>
      <t xml:space="preserve">적용 단위 </t>
    </r>
    <r>
      <rPr>
        <sz val="9"/>
        <color rgb="FF000000"/>
        <rFont val="Arial"/>
        <family val="0"/>
        <charset val="1"/>
      </rPr>
      <t xml:space="preserve">· OQC </t>
    </r>
    <r>
      <rPr>
        <sz val="9"/>
        <color rgb="FF000000"/>
        <rFont val="Noto Sans CJK SC"/>
        <family val="2"/>
      </rPr>
      <t xml:space="preserve">적용 단위</t>
    </r>
  </si>
  <si>
    <r>
      <rPr>
        <sz val="9"/>
        <color rgb="FF000000"/>
        <rFont val="Noto Sans CJK SC"/>
        <family val="2"/>
      </rPr>
      <t xml:space="preserve">품질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생산</t>
    </r>
  </si>
  <si>
    <t xml:space="preserve">후공정 작업량</t>
  </si>
  <si>
    <r>
      <rPr>
        <sz val="9"/>
        <color rgb="FF000000"/>
        <rFont val="Noto Sans CJK SC"/>
        <family val="2"/>
      </rPr>
      <t xml:space="preserve">글로브 박스 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교대 </t>
    </r>
    <r>
      <rPr>
        <sz val="9"/>
        <color rgb="FF000000"/>
        <rFont val="Arial"/>
        <family val="0"/>
        <charset val="1"/>
      </rPr>
      <t xml:space="preserve">· Product Tank </t>
    </r>
    <r>
      <rPr>
        <sz val="9"/>
        <color rgb="FF000000"/>
        <rFont val="Noto Sans CJK SC"/>
        <family val="2"/>
      </rPr>
      <t xml:space="preserve">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용량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검사 가용시간</t>
    </r>
  </si>
  <si>
    <r>
      <rPr>
        <sz val="9"/>
        <color rgb="FF000000"/>
        <rFont val="Noto Sans CJK SC"/>
        <family val="2"/>
      </rPr>
      <t xml:space="preserve">후공정 병목 </t>
    </r>
    <r>
      <rPr>
        <sz val="9"/>
        <color rgb="FF000000"/>
        <rFont val="Arial"/>
        <family val="0"/>
        <charset val="1"/>
      </rPr>
      <t xml:space="preserve">(2027 5 Gal 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248 h/</t>
    </r>
    <r>
      <rPr>
        <sz val="9"/>
        <color rgb="FF000000"/>
        <rFont val="Noto Sans CJK SC"/>
        <family val="2"/>
      </rPr>
      <t xml:space="preserve">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</si>
  <si>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공사 중 정제기 가동 여부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시운전 양품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안정화 기간</t>
    </r>
  </si>
  <si>
    <r>
      <rPr>
        <sz val="9"/>
        <color rgb="FF000000"/>
        <rFont val="Noto Sans CJK SC"/>
        <family val="2"/>
      </rPr>
      <t xml:space="preserve">설비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공무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</si>
  <si>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부족 규모 좌우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</si>
  <si>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리플럭스 후 정제시간 </t>
    </r>
    <r>
      <rPr>
        <sz val="9"/>
        <color rgb="FF000000"/>
        <rFont val="Arial"/>
        <family val="0"/>
        <charset val="1"/>
      </rPr>
      <t xml:space="preserve">· Batch</t>
    </r>
    <r>
      <rPr>
        <sz val="9"/>
        <color rgb="FF000000"/>
        <rFont val="Noto Sans CJK SC"/>
        <family val="2"/>
      </rPr>
      <t xml:space="preserve">량</t>
    </r>
  </si>
  <si>
    <r>
      <rPr>
        <sz val="9"/>
        <color rgb="FF000000"/>
        <rFont val="Noto Sans CJK SC"/>
        <family val="2"/>
      </rPr>
      <t xml:space="preserve">설비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생산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</si>
  <si>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달성 조건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등가 약 </t>
    </r>
    <r>
      <rPr>
        <sz val="9"/>
        <color rgb="FF000000"/>
        <rFont val="Arial"/>
        <family val="0"/>
        <charset val="1"/>
      </rPr>
      <t xml:space="preserve">35 h/Batch)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</si>
  <si>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목표재고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고객별 합격률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이지켐 색도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</si>
  <si>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생산관리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</si>
  <si>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월별 재고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부족량</t>
    </r>
  </si>
  <si>
    <r>
      <rPr>
        <sz val="9"/>
        <color rgb="FF000000"/>
        <rFont val="Arial"/>
        <family val="0"/>
        <charset val="1"/>
      </rPr>
      <t xml:space="preserve">2026 CXMT </t>
    </r>
    <r>
      <rPr>
        <sz val="9"/>
        <color rgb="FF000000"/>
        <rFont val="Noto Sans CJK SC"/>
        <family val="2"/>
      </rPr>
      <t xml:space="preserve">출하량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하이닉스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</t>
    </r>
  </si>
  <si>
    <t xml:space="preserve">영업</t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</si>
  <si>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출하 합계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</si>
  <si>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운영 개시일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(Capa. </t>
    </r>
    <r>
      <rPr>
        <sz val="9"/>
        <color rgb="FF000000"/>
        <rFont val="Noto Sans CJK SC"/>
        <family val="2"/>
      </rPr>
      <t xml:space="preserve">미가산</t>
    </r>
    <r>
      <rPr>
        <sz val="9"/>
        <color rgb="FF000000"/>
        <rFont val="Arial"/>
        <family val="0"/>
        <charset val="1"/>
      </rPr>
      <t xml:space="preserve">)</t>
    </r>
  </si>
  <si>
    <t xml:space="preserve">설비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</si>
  <si>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작업시간</t>
    </r>
  </si>
  <si>
    <r>
      <rPr>
        <sz val="9"/>
        <color rgb="FF000000"/>
        <rFont val="Arial"/>
        <family val="0"/>
        <charset val="1"/>
      </rPr>
      <t xml:space="preserve">105℃: </t>
    </r>
    <r>
      <rPr>
        <sz val="9"/>
        <color rgb="FF000000"/>
        <rFont val="Noto Sans CJK SC"/>
        <family val="2"/>
      </rPr>
      <t xml:space="preserve">열 안정성 </t>
    </r>
    <r>
      <rPr>
        <sz val="9"/>
        <color rgb="FF000000"/>
        <rFont val="Arial"/>
        <family val="0"/>
        <charset val="1"/>
      </rPr>
      <t xml:space="preserve">· Dimer · Unknown impurity · </t>
    </r>
    <r>
      <rPr>
        <sz val="9"/>
        <color rgb="FF000000"/>
        <rFont val="Noto Sans CJK SC"/>
        <family val="2"/>
      </rPr>
      <t xml:space="preserve">수율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</t>
    </r>
  </si>
  <si>
    <r>
      <rPr>
        <sz val="9"/>
        <color rgb="FF000000"/>
        <rFont val="Noto Sans CJK SC"/>
        <family val="2"/>
      </rPr>
      <t xml:space="preserve">품질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기술</t>
    </r>
  </si>
  <si>
    <r>
      <rPr>
        <sz val="9"/>
        <color rgb="FF000000"/>
        <rFont val="Arial"/>
        <family val="0"/>
        <charset val="1"/>
      </rPr>
      <t xml:space="preserve">50.2</t>
    </r>
    <r>
      <rPr>
        <sz val="9"/>
        <color rgb="FF000000"/>
        <rFont val="Noto Sans CJK SC"/>
        <family val="2"/>
      </rPr>
      <t xml:space="preserve">톤 검토안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</si>
</sst>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0.0;[RED]\-0.0"/>
    <numFmt numFmtId="167" formatCode="#,##0;[RED]\-#,##0;\0"/>
    <numFmt numFmtId="168" formatCode="0.00"/>
    <numFmt numFmtId="169" formatCode="yyyy\-mm\-dd"/>
    <numFmt numFmtId="170" formatCode="#,##0.0;[RED]\-#,##0.0;\0"/>
    <numFmt numFmtId="171" formatCode="m\/d"/>
    <numFmt numFmtId="172" formatCode="General"/>
    <numFmt numFmtId="173" formatCode="0.000"/>
    <numFmt numFmtId="174" formatCode="0.0%"/>
    <numFmt numFmtId="175" formatCode="yyyy\-mm"/>
    <numFmt numFmtId="176" formatCode="0.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B002C"/>
      <name val="Arial"/>
      <family val="0"/>
      <charset val="1"/>
    </font>
    <font>
      <b val="true"/>
      <sz val="14"/>
      <color rgb="FFEB002C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7F7F7F"/>
      <name val="Noto Sans CJK SC"/>
      <family val="2"/>
    </font>
    <font>
      <sz val="8"/>
      <color rgb="FF7F7F7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000000"/>
      <name val="Noto Sans CJK SC"/>
      <family val="2"/>
    </font>
    <font>
      <sz val="9"/>
      <color rgb="FF000000"/>
      <name val="Noto Sans CJK SC"/>
      <family val="2"/>
    </font>
    <font>
      <b val="true"/>
      <sz val="11"/>
      <color rgb="FFEB002C"/>
      <name val="Noto Sans CJK SC"/>
      <family val="2"/>
    </font>
    <font>
      <b val="true"/>
      <sz val="11"/>
      <color rgb="FFEB00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Noto Sans CJK SC"/>
      <family val="2"/>
    </font>
    <font>
      <b val="true"/>
      <i val="true"/>
      <sz val="9"/>
      <color rgb="FFEB002C"/>
      <name val="Noto Sans CJK SC"/>
      <family val="2"/>
    </font>
    <font>
      <b val="true"/>
      <i val="true"/>
      <sz val="9"/>
      <color rgb="FFEB002C"/>
      <name val="Arial"/>
      <family val="0"/>
      <charset val="1"/>
    </font>
    <font>
      <sz val="9"/>
      <color rgb="FF008000"/>
      <name val="Arial"/>
      <family val="0"/>
      <charset val="1"/>
    </font>
    <font>
      <sz val="7"/>
      <color rgb="FF7F7F7F"/>
      <name val="Arial"/>
      <family val="0"/>
      <charset val="1"/>
    </font>
    <font>
      <sz val="6"/>
      <color rgb="FFFFFFFF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FF2CC"/>
        <bgColor rgb="FFFDE9E7"/>
      </patternFill>
    </fill>
    <fill>
      <patternFill patternType="solid">
        <fgColor rgb="FFFCE4D6"/>
        <bgColor rgb="FFFDE9E7"/>
      </patternFill>
    </fill>
    <fill>
      <patternFill patternType="solid">
        <fgColor rgb="FFE4DFEC"/>
        <bgColor rgb="FFD9D9D9"/>
      </patternFill>
    </fill>
    <fill>
      <patternFill patternType="solid">
        <fgColor rgb="FFFDE9E7"/>
        <bgColor rgb="FFFCE4D6"/>
      </patternFill>
    </fill>
    <fill>
      <patternFill patternType="solid">
        <fgColor rgb="FF404040"/>
        <bgColor rgb="FF333300"/>
      </patternFill>
    </fill>
    <fill>
      <patternFill patternType="solid">
        <fgColor rgb="FFF2F2F2"/>
        <bgColor rgb="FFEDEDED"/>
      </patternFill>
    </fill>
    <fill>
      <patternFill patternType="solid">
        <fgColor rgb="FFC55A11"/>
        <bgColor rgb="FFC0504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D9D9D9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40404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ont>
        <color rgb="FFEB002C"/>
      </font>
      <fill>
        <patternFill>
          <bgColor rgb="FFEB002C"/>
        </patternFill>
      </fill>
    </dxf>
    <dxf>
      <font>
        <color rgb="FFBFBFBF"/>
      </font>
      <fill>
        <patternFill>
          <bgColor rgb="FFBFBFBF"/>
        </patternFill>
      </fill>
    </dxf>
    <dxf>
      <font>
        <color rgb="FF2E75B6"/>
      </font>
      <fill>
        <patternFill>
          <bgColor rgb="FF2E75B6"/>
        </patternFill>
      </fill>
    </dxf>
    <dxf>
      <font>
        <color rgb="FF70AD47"/>
      </font>
      <fill>
        <patternFill>
          <bgColor rgb="FF70AD47"/>
        </patternFill>
      </fill>
    </dxf>
    <dxf>
      <font>
        <color rgb="FF7F7F7F"/>
      </font>
      <fill>
        <patternFill>
          <bgColor rgb="FF7F7F7F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i val="1"/>
        <color rgb="FFC55A11"/>
      </font>
      <fill>
        <patternFill>
          <bgColor rgb="FFEDEDED"/>
        </patternFill>
      </fill>
    </dxf>
  </dxfs>
  <colors>
    <indexedColors>
      <rgbColor rgb="FF000000"/>
      <rgbColor rgb="FFFFFFFF"/>
      <rgbColor rgb="FFEB002C"/>
      <rgbColor rgb="FF00FF00"/>
      <rgbColor rgb="FF0000FF"/>
      <rgbColor rgb="FFF9F9F9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EB9C"/>
      <rgbColor rgb="FFE4DFEC"/>
      <rgbColor rgb="FFFCE4D6"/>
      <rgbColor rgb="FFFDE9E7"/>
      <rgbColor rgb="FFFFC7CE"/>
      <rgbColor rgb="FF2E75B6"/>
      <rgbColor rgb="FF33CCCC"/>
      <rgbColor rgb="FF99CC00"/>
      <rgbColor rgb="FFFFCC00"/>
      <rgbColor rgb="FFFF9900"/>
      <rgbColor rgb="FFFF7900"/>
      <rgbColor rgb="FF4F81BD"/>
      <rgbColor rgb="FF878787"/>
      <rgbColor rgb="FF003366"/>
      <rgbColor rgb="FF70AD47"/>
      <rgbColor rgb="FF003300"/>
      <rgbColor rgb="FF333300"/>
      <rgbColor rgb="FFC55A11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연 생산량 비교 (t/년, 190 kg/Batch)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06_Report_Summary!D95</c:f>
              <c:strCache>
                <c:ptCount val="1"/>
                <c:pt idx="0">
                  <c:v>연 생산량 (t)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06_Report_Summary!$A$96:$A$100</c:f>
              <c:strCache>
                <c:ptCount val="5"/>
                <c:pt idx="0">
                  <c:v>① 이론 (정제 57 h만)</c:v>
                </c:pt>
                <c:pt idx="1">
                  <c:v>현재 Capa. 26.2톤 역산</c:v>
                </c:pt>
                <c:pt idx="2">
                  <c:v>② 과거 월 최대 11 Batch</c:v>
                </c:pt>
                <c:pt idx="3">
                  <c:v>③ 과거 일정 관측 추정</c:v>
                </c:pt>
                <c:pt idx="4">
                  <c:v>참고: 원자료 Total 기준</c:v>
                </c:pt>
              </c:strCache>
            </c:strRef>
          </c:cat>
          <c:val>
            <c:numRef>
              <c:f>06_Report_Summary!$D$96:$D$100</c:f>
              <c:numCache>
                <c:formatCode>0.00</c:formatCode>
                <c:ptCount val="5"/>
                <c:pt idx="0">
                  <c:v>29.07</c:v>
                </c:pt>
                <c:pt idx="1">
                  <c:v>26.03</c:v>
                </c:pt>
                <c:pt idx="2">
                  <c:v>25.27</c:v>
                </c:pt>
                <c:pt idx="3">
                  <c:v>24.51</c:v>
                </c:pt>
                <c:pt idx="4">
                  <c:v>20.71</c:v>
                </c:pt>
              </c:numCache>
            </c:numRef>
          </c:val>
        </c:ser>
        <c:gapWidth val="150"/>
        <c:overlap val="0"/>
        <c:axId val="59979984"/>
        <c:axId val="95936741"/>
      </c:barChart>
      <c:catAx>
        <c:axId val="5997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36741"/>
        <c:crosses val="autoZero"/>
        <c:auto val="1"/>
        <c:lblAlgn val="ctr"/>
        <c:lblOffset val="100"/>
        <c:noMultiLvlLbl val="0"/>
      </c:catAx>
      <c:valAx>
        <c:axId val="959367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9799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2026~2027 월별 출하 합계 vs 생산 가능량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06_Report_Summary!D110</c:f>
              <c:strCache>
                <c:ptCount val="1"/>
                <c:pt idx="0">
                  <c:v>양품 생산
가능량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06_Report_Summary!$A$111:$A$134</c:f>
              <c:strCache>
                <c:ptCount val="24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</c:strCache>
            </c:strRef>
          </c:cat>
          <c:val>
            <c:numRef>
              <c:f>06_Report_Summary!$D$111:$D$134</c:f>
              <c:numCache>
                <c:formatCode>#,##0;[RED]\-#,##0;\0</c:formatCode>
                <c:ptCount val="24"/>
                <c:pt idx="0">
                  <c:v>2090</c:v>
                </c:pt>
                <c:pt idx="1">
                  <c:v>1710</c:v>
                </c:pt>
                <c:pt idx="2">
                  <c:v>2280</c:v>
                </c:pt>
                <c:pt idx="3">
                  <c:v>1900</c:v>
                </c:pt>
                <c:pt idx="4">
                  <c:v>2090</c:v>
                </c:pt>
                <c:pt idx="5">
                  <c:v>2090</c:v>
                </c:pt>
                <c:pt idx="6">
                  <c:v>2090</c:v>
                </c:pt>
                <c:pt idx="7">
                  <c:v>2090</c:v>
                </c:pt>
                <c:pt idx="8">
                  <c:v>2090</c:v>
                </c:pt>
                <c:pt idx="9">
                  <c:v>2090</c:v>
                </c:pt>
                <c:pt idx="10">
                  <c:v>1900</c:v>
                </c:pt>
                <c:pt idx="11">
                  <c:v>2090</c:v>
                </c:pt>
                <c:pt idx="12">
                  <c:v>2090</c:v>
                </c:pt>
              </c:numCache>
            </c:numRef>
          </c:val>
        </c:ser>
        <c:ser>
          <c:idx val="1"/>
          <c:order val="1"/>
          <c:tx>
            <c:strRef>
              <c:f>06_Report_Summary!H110</c:f>
              <c:strCache>
                <c:ptCount val="1"/>
                <c:pt idx="0">
                  <c:v>출하 합계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06_Report_Summary!$A$111:$A$134</c:f>
              <c:strCache>
                <c:ptCount val="24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</c:strCache>
            </c:strRef>
          </c:cat>
          <c:val>
            <c:numRef>
              <c:f>06_Report_Summary!$H$111:$H$134</c:f>
              <c:numCache>
                <c:formatCode>#,##0.0;[RED]\-#,##0.0;\0</c:formatCode>
                <c:ptCount val="24"/>
                <c:pt idx="0">
                  <c:v>1600</c:v>
                </c:pt>
                <c:pt idx="1">
                  <c:v>1420</c:v>
                </c:pt>
                <c:pt idx="2">
                  <c:v>1440</c:v>
                </c:pt>
                <c:pt idx="3">
                  <c:v>1580</c:v>
                </c:pt>
                <c:pt idx="4">
                  <c:v>1200</c:v>
                </c:pt>
                <c:pt idx="5">
                  <c:v>1200</c:v>
                </c:pt>
                <c:pt idx="6">
                  <c:v>1360</c:v>
                </c:pt>
                <c:pt idx="7">
                  <c:v>1420</c:v>
                </c:pt>
                <c:pt idx="8">
                  <c:v>1940</c:v>
                </c:pt>
                <c:pt idx="9">
                  <c:v>2040</c:v>
                </c:pt>
                <c:pt idx="10">
                  <c:v>2040</c:v>
                </c:pt>
                <c:pt idx="11">
                  <c:v>1980</c:v>
                </c:pt>
                <c:pt idx="12">
                  <c:v>2733.33333333333</c:v>
                </c:pt>
                <c:pt idx="13">
                  <c:v>2733.33333333333</c:v>
                </c:pt>
                <c:pt idx="14">
                  <c:v>2733.33333333333</c:v>
                </c:pt>
                <c:pt idx="15">
                  <c:v>3313.33333333333</c:v>
                </c:pt>
                <c:pt idx="16">
                  <c:v>3313.33333333333</c:v>
                </c:pt>
                <c:pt idx="17">
                  <c:v>3313.33333333333</c:v>
                </c:pt>
                <c:pt idx="18">
                  <c:v>3313.33333333333</c:v>
                </c:pt>
                <c:pt idx="19">
                  <c:v>3313.33333333333</c:v>
                </c:pt>
                <c:pt idx="20">
                  <c:v>3313.33333333333</c:v>
                </c:pt>
                <c:pt idx="21">
                  <c:v>3313.33333333333</c:v>
                </c:pt>
                <c:pt idx="22">
                  <c:v>3313.33333333333</c:v>
                </c:pt>
                <c:pt idx="23">
                  <c:v>3313.33333333333</c:v>
                </c:pt>
              </c:numCache>
            </c:numRef>
          </c:val>
        </c:ser>
        <c:gapWidth val="150"/>
        <c:overlap val="0"/>
        <c:axId val="63474788"/>
        <c:axId val="53603559"/>
      </c:barChart>
      <c:catAx>
        <c:axId val="63474788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03559"/>
        <c:crosses val="autoZero"/>
        <c:auto val="1"/>
        <c:lblAlgn val="ctr"/>
        <c:lblOffset val="100"/>
        <c:noMultiLvlLbl val="0"/>
      </c:catAx>
      <c:valAx>
        <c:axId val="536035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;\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747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Batch 표시일자 간격 분포 (건수)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06_Report_Summary!B137</c:f>
              <c:strCache>
                <c:ptCount val="1"/>
                <c:pt idx="0">
                  <c:v>건수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06_Report_Summary!$A$138:$A$143</c:f>
              <c:strCache>
                <c:ptCount val="6"/>
                <c:pt idx="0">
                  <c:v>1일</c:v>
                </c:pt>
                <c:pt idx="1">
                  <c:v>2일</c:v>
                </c:pt>
                <c:pt idx="2">
                  <c:v>3일</c:v>
                </c:pt>
                <c:pt idx="3">
                  <c:v>4일</c:v>
                </c:pt>
                <c:pt idx="4">
                  <c:v>5일</c:v>
                </c:pt>
                <c:pt idx="5">
                  <c:v>6일 이상</c:v>
                </c:pt>
              </c:strCache>
            </c:strRef>
          </c:cat>
          <c:val>
            <c:numRef>
              <c:f>06_Report_Summary!$B$138:$B$143</c:f>
              <c:numCache>
                <c:formatCode>0</c:formatCode>
                <c:ptCount val="6"/>
                <c:pt idx="0">
                  <c:v>1</c:v>
                </c:pt>
                <c:pt idx="1">
                  <c:v>11</c:v>
                </c:pt>
                <c:pt idx="2">
                  <c:v>39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13491955"/>
        <c:axId val="62444965"/>
      </c:barChart>
      <c:catAx>
        <c:axId val="134919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444965"/>
        <c:crosses val="autoZero"/>
        <c:auto val="1"/>
        <c:lblAlgn val="ctr"/>
        <c:lblOffset val="100"/>
        <c:noMultiLvlLbl val="0"/>
      </c:catAx>
      <c:valAx>
        <c:axId val="624449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919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92</xdr:row>
      <xdr:rowOff>146880</xdr:rowOff>
    </xdr:from>
    <xdr:to>
      <xdr:col>11</xdr:col>
      <xdr:colOff>425520</xdr:colOff>
      <xdr:row>104</xdr:row>
      <xdr:rowOff>189720</xdr:rowOff>
    </xdr:to>
    <xdr:graphicFrame>
      <xdr:nvGraphicFramePr>
        <xdr:cNvPr id="0" name="Chart 1"/>
        <xdr:cNvGraphicFramePr/>
      </xdr:nvGraphicFramePr>
      <xdr:xfrm>
        <a:off x="9601200" y="18097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109</xdr:row>
      <xdr:rowOff>146880</xdr:rowOff>
    </xdr:from>
    <xdr:to>
      <xdr:col>27</xdr:col>
      <xdr:colOff>253800</xdr:colOff>
      <xdr:row>123</xdr:row>
      <xdr:rowOff>168840</xdr:rowOff>
    </xdr:to>
    <xdr:graphicFrame>
      <xdr:nvGraphicFramePr>
        <xdr:cNvPr id="1" name="Chart 2"/>
        <xdr:cNvGraphicFramePr/>
      </xdr:nvGraphicFramePr>
      <xdr:xfrm>
        <a:off x="20891520" y="21526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134</xdr:row>
      <xdr:rowOff>146520</xdr:rowOff>
    </xdr:from>
    <xdr:to>
      <xdr:col>10</xdr:col>
      <xdr:colOff>52560</xdr:colOff>
      <xdr:row>145</xdr:row>
      <xdr:rowOff>20160</xdr:rowOff>
    </xdr:to>
    <xdr:graphicFrame>
      <xdr:nvGraphicFramePr>
        <xdr:cNvPr id="2" name="Chart 3"/>
        <xdr:cNvGraphicFramePr/>
      </xdr:nvGraphicFramePr>
      <xdr:xfrm>
        <a:off x="9601200" y="26479440"/>
        <a:ext cx="431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10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6" min="6" style="0" width="20"/>
    <col collapsed="false" customWidth="true" hidden="false" outlineLevel="0" max="7" min="7" style="0" width="34"/>
    <col collapsed="false" customWidth="true" hidden="false" outlineLevel="0" max="14" min="8" style="0" width="10"/>
    <col collapsed="false" customWidth="true" hidden="false" outlineLevel="0" max="15" min="15" style="0" width="12"/>
    <col collapsed="false" customWidth="true" hidden="false" outlineLevel="0" max="16" min="16" style="0" width="18"/>
    <col collapsed="false" customWidth="true" hidden="false" outlineLevel="0" max="17" min="17" style="0" width="22"/>
    <col collapsed="false" customWidth="true" hidden="false" outlineLevel="0" max="18" min="18" style="0" width="3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</row>
    <row r="5" customFormat="false" ht="30" hidden="false" customHeight="true" outlineLevel="0" collapsed="false">
      <c r="A5" s="10" t="s">
        <v>9</v>
      </c>
      <c r="B5" s="10" t="s">
        <v>10</v>
      </c>
      <c r="C5" s="10" t="s">
        <v>11</v>
      </c>
      <c r="D5" s="10" t="s">
        <v>12</v>
      </c>
      <c r="E5" s="10" t="s">
        <v>13</v>
      </c>
      <c r="F5" s="10" t="s">
        <v>14</v>
      </c>
      <c r="G5" s="10" t="s">
        <v>15</v>
      </c>
    </row>
    <row r="6" customFormat="false" ht="15" hidden="false" customHeight="false" outlineLevel="0" collapsed="false">
      <c r="A6" s="11" t="s">
        <v>16</v>
      </c>
      <c r="B6" s="11"/>
      <c r="C6" s="11"/>
      <c r="D6" s="11"/>
      <c r="E6" s="11"/>
      <c r="F6" s="11"/>
      <c r="G6" s="11"/>
    </row>
    <row r="7" customFormat="false" ht="15" hidden="false" customHeight="false" outlineLevel="0" collapsed="false">
      <c r="A7" s="8" t="s">
        <v>17</v>
      </c>
      <c r="B7" s="12" t="n">
        <v>1</v>
      </c>
      <c r="C7" s="13" t="s">
        <v>18</v>
      </c>
      <c r="D7" s="13" t="s">
        <v>19</v>
      </c>
      <c r="E7" s="13" t="s">
        <v>20</v>
      </c>
      <c r="F7" s="13" t="s">
        <v>21</v>
      </c>
      <c r="G7" s="13" t="s">
        <v>22</v>
      </c>
    </row>
    <row r="8" customFormat="false" ht="15" hidden="false" customHeight="false" outlineLevel="0" collapsed="false">
      <c r="A8" s="13" t="s">
        <v>23</v>
      </c>
      <c r="B8" s="12" t="n">
        <v>103</v>
      </c>
      <c r="C8" s="8" t="s">
        <v>24</v>
      </c>
      <c r="D8" s="13" t="s">
        <v>25</v>
      </c>
      <c r="E8" s="13" t="s">
        <v>20</v>
      </c>
      <c r="F8" s="13" t="s">
        <v>21</v>
      </c>
      <c r="G8" s="8"/>
    </row>
    <row r="9" customFormat="false" ht="15" hidden="false" customHeight="false" outlineLevel="0" collapsed="false">
      <c r="A9" s="13" t="s">
        <v>26</v>
      </c>
      <c r="B9" s="12" t="n">
        <v>30</v>
      </c>
      <c r="C9" s="13" t="s">
        <v>27</v>
      </c>
      <c r="D9" s="13" t="s">
        <v>28</v>
      </c>
      <c r="E9" s="13" t="s">
        <v>20</v>
      </c>
      <c r="F9" s="13" t="s">
        <v>21</v>
      </c>
      <c r="G9" s="8" t="s">
        <v>29</v>
      </c>
    </row>
    <row r="10" customFormat="false" ht="15" hidden="false" customHeight="false" outlineLevel="0" collapsed="false">
      <c r="A10" s="13" t="s">
        <v>30</v>
      </c>
      <c r="B10" s="14" t="n">
        <f aca="false">B9*24</f>
        <v>720</v>
      </c>
      <c r="C10" s="8" t="s">
        <v>31</v>
      </c>
      <c r="D10" s="13" t="s">
        <v>32</v>
      </c>
      <c r="E10" s="13" t="s">
        <v>33</v>
      </c>
      <c r="F10" s="13" t="s">
        <v>33</v>
      </c>
      <c r="G10" s="8"/>
    </row>
    <row r="11" customFormat="false" ht="15" hidden="false" customHeight="false" outlineLevel="0" collapsed="false">
      <c r="A11" s="13" t="s">
        <v>34</v>
      </c>
      <c r="B11" s="15" t="n">
        <f aca="false">365*24</f>
        <v>8760</v>
      </c>
      <c r="C11" s="8" t="s">
        <v>35</v>
      </c>
      <c r="D11" s="13" t="s">
        <v>36</v>
      </c>
      <c r="E11" s="13" t="s">
        <v>33</v>
      </c>
      <c r="F11" s="13" t="s">
        <v>33</v>
      </c>
      <c r="G11" s="13" t="s">
        <v>37</v>
      </c>
    </row>
    <row r="12" customFormat="false" ht="15" hidden="false" customHeight="false" outlineLevel="0" collapsed="false">
      <c r="A12" s="13" t="s">
        <v>38</v>
      </c>
      <c r="B12" s="5"/>
      <c r="C12" s="8" t="s">
        <v>31</v>
      </c>
      <c r="D12" s="13" t="s">
        <v>39</v>
      </c>
      <c r="E12" s="13" t="s">
        <v>40</v>
      </c>
      <c r="F12" s="8" t="s">
        <v>41</v>
      </c>
      <c r="G12" s="13" t="s">
        <v>42</v>
      </c>
    </row>
    <row r="13" customFormat="false" ht="15" hidden="false" customHeight="false" outlineLevel="0" collapsed="false">
      <c r="A13" s="11" t="s">
        <v>43</v>
      </c>
      <c r="B13" s="11"/>
      <c r="C13" s="11"/>
      <c r="D13" s="11"/>
      <c r="E13" s="11"/>
      <c r="F13" s="11"/>
      <c r="G13" s="11"/>
    </row>
    <row r="14" customFormat="false" ht="15" hidden="false" customHeight="false" outlineLevel="0" collapsed="false">
      <c r="A14" s="8" t="s">
        <v>44</v>
      </c>
      <c r="B14" s="16" t="n">
        <v>2</v>
      </c>
      <c r="C14" s="8" t="s">
        <v>45</v>
      </c>
      <c r="D14" s="13" t="s">
        <v>46</v>
      </c>
      <c r="E14" s="13" t="s">
        <v>20</v>
      </c>
      <c r="F14" s="13" t="s">
        <v>21</v>
      </c>
      <c r="G14" s="8" t="s">
        <v>47</v>
      </c>
    </row>
    <row r="15" customFormat="false" ht="15" hidden="false" customHeight="false" outlineLevel="0" collapsed="false">
      <c r="A15" s="8" t="s">
        <v>48</v>
      </c>
      <c r="B15" s="5"/>
      <c r="C15" s="8" t="s">
        <v>49</v>
      </c>
      <c r="D15" s="13" t="s">
        <v>50</v>
      </c>
      <c r="E15" s="13" t="s">
        <v>40</v>
      </c>
      <c r="F15" s="8" t="s">
        <v>41</v>
      </c>
      <c r="G15" s="13" t="s">
        <v>51</v>
      </c>
    </row>
    <row r="16" customFormat="false" ht="15" hidden="false" customHeight="false" outlineLevel="0" collapsed="false">
      <c r="A16" s="13" t="s">
        <v>52</v>
      </c>
      <c r="B16" s="5"/>
      <c r="C16" s="8" t="s">
        <v>53</v>
      </c>
      <c r="D16" s="13" t="s">
        <v>54</v>
      </c>
      <c r="E16" s="13" t="s">
        <v>40</v>
      </c>
      <c r="F16" s="8" t="s">
        <v>41</v>
      </c>
      <c r="G16" s="13" t="s">
        <v>55</v>
      </c>
    </row>
    <row r="17" customFormat="false" ht="15" hidden="false" customHeight="false" outlineLevel="0" collapsed="false">
      <c r="A17" s="13" t="s">
        <v>56</v>
      </c>
      <c r="B17" s="16" t="n">
        <v>57</v>
      </c>
      <c r="C17" s="8" t="s">
        <v>53</v>
      </c>
      <c r="D17" s="13" t="s">
        <v>57</v>
      </c>
      <c r="E17" s="13" t="s">
        <v>20</v>
      </c>
      <c r="F17" s="13" t="s">
        <v>21</v>
      </c>
      <c r="G17" s="13" t="s">
        <v>58</v>
      </c>
    </row>
    <row r="18" customFormat="false" ht="15" hidden="false" customHeight="false" outlineLevel="0" collapsed="false">
      <c r="A18" s="8" t="s">
        <v>59</v>
      </c>
      <c r="B18" s="5"/>
      <c r="C18" s="8" t="s">
        <v>53</v>
      </c>
      <c r="D18" s="8"/>
      <c r="E18" s="13" t="s">
        <v>40</v>
      </c>
      <c r="F18" s="8" t="s">
        <v>41</v>
      </c>
      <c r="G18" s="8"/>
    </row>
    <row r="19" customFormat="false" ht="15" hidden="false" customHeight="false" outlineLevel="0" collapsed="false">
      <c r="A19" s="8" t="s">
        <v>60</v>
      </c>
      <c r="B19" s="5"/>
      <c r="C19" s="8" t="s">
        <v>53</v>
      </c>
      <c r="D19" s="8"/>
      <c r="E19" s="13" t="s">
        <v>40</v>
      </c>
      <c r="F19" s="8" t="s">
        <v>41</v>
      </c>
      <c r="G19" s="8"/>
    </row>
    <row r="20" customFormat="false" ht="15" hidden="false" customHeight="false" outlineLevel="0" collapsed="false">
      <c r="A20" s="8" t="s">
        <v>61</v>
      </c>
      <c r="B20" s="16" t="n">
        <v>2</v>
      </c>
      <c r="C20" s="8" t="s">
        <v>53</v>
      </c>
      <c r="D20" s="13" t="s">
        <v>62</v>
      </c>
      <c r="E20" s="13" t="s">
        <v>20</v>
      </c>
      <c r="F20" s="13" t="s">
        <v>21</v>
      </c>
      <c r="G20" s="8" t="s">
        <v>63</v>
      </c>
    </row>
    <row r="21" customFormat="false" ht="15" hidden="false" customHeight="false" outlineLevel="0" collapsed="false">
      <c r="A21" s="8" t="s">
        <v>64</v>
      </c>
      <c r="B21" s="5"/>
      <c r="C21" s="8" t="s">
        <v>53</v>
      </c>
      <c r="D21" s="13" t="s">
        <v>65</v>
      </c>
      <c r="E21" s="13" t="s">
        <v>40</v>
      </c>
      <c r="F21" s="8" t="s">
        <v>41</v>
      </c>
      <c r="G21" s="8"/>
    </row>
    <row r="22" customFormat="false" ht="15" hidden="false" customHeight="false" outlineLevel="0" collapsed="false">
      <c r="A22" s="13" t="s">
        <v>66</v>
      </c>
      <c r="B22" s="5"/>
      <c r="C22" s="8" t="s">
        <v>45</v>
      </c>
      <c r="D22" s="8"/>
      <c r="E22" s="13" t="s">
        <v>40</v>
      </c>
      <c r="F22" s="8" t="s">
        <v>41</v>
      </c>
      <c r="G22" s="8"/>
    </row>
    <row r="23" customFormat="false" ht="15" hidden="false" customHeight="false" outlineLevel="0" collapsed="false">
      <c r="A23" s="8" t="s">
        <v>67</v>
      </c>
      <c r="B23" s="16" t="n">
        <v>2</v>
      </c>
      <c r="C23" s="8" t="s">
        <v>68</v>
      </c>
      <c r="D23" s="13" t="s">
        <v>69</v>
      </c>
      <c r="E23" s="13" t="s">
        <v>20</v>
      </c>
      <c r="F23" s="13" t="s">
        <v>21</v>
      </c>
      <c r="G23" s="13" t="s">
        <v>70</v>
      </c>
    </row>
    <row r="24" customFormat="false" ht="15" hidden="false" customHeight="false" outlineLevel="0" collapsed="false">
      <c r="A24" s="8" t="s">
        <v>71</v>
      </c>
      <c r="B24" s="12" t="n">
        <v>8</v>
      </c>
      <c r="C24" s="13" t="s">
        <v>72</v>
      </c>
      <c r="D24" s="13" t="s">
        <v>73</v>
      </c>
      <c r="E24" s="13" t="s">
        <v>20</v>
      </c>
      <c r="F24" s="13" t="s">
        <v>21</v>
      </c>
      <c r="G24" s="8" t="s">
        <v>74</v>
      </c>
    </row>
    <row r="25" customFormat="false" ht="26.85" hidden="false" customHeight="false" outlineLevel="0" collapsed="false">
      <c r="A25" s="8" t="s">
        <v>75</v>
      </c>
      <c r="B25" s="16" t="n">
        <v>16</v>
      </c>
      <c r="C25" s="8" t="s">
        <v>53</v>
      </c>
      <c r="D25" s="13" t="s">
        <v>76</v>
      </c>
      <c r="E25" s="13" t="s">
        <v>20</v>
      </c>
      <c r="F25" s="13" t="s">
        <v>21</v>
      </c>
      <c r="G25" s="8"/>
    </row>
    <row r="26" customFormat="false" ht="15" hidden="false" customHeight="false" outlineLevel="0" collapsed="false">
      <c r="A26" s="8" t="s">
        <v>77</v>
      </c>
      <c r="B26" s="14" t="n">
        <f aca="false">B24*B23</f>
        <v>16</v>
      </c>
      <c r="C26" s="8" t="s">
        <v>53</v>
      </c>
      <c r="D26" s="8" t="s">
        <v>78</v>
      </c>
      <c r="E26" s="13" t="s">
        <v>33</v>
      </c>
      <c r="F26" s="13" t="s">
        <v>33</v>
      </c>
      <c r="G26" s="8"/>
    </row>
    <row r="27" customFormat="false" ht="15" hidden="false" customHeight="false" outlineLevel="0" collapsed="false">
      <c r="A27" s="8" t="s">
        <v>79</v>
      </c>
      <c r="B27" s="16" t="n">
        <v>8</v>
      </c>
      <c r="C27" s="8" t="s">
        <v>80</v>
      </c>
      <c r="D27" s="13" t="s">
        <v>81</v>
      </c>
      <c r="E27" s="13" t="s">
        <v>20</v>
      </c>
      <c r="F27" s="13" t="s">
        <v>21</v>
      </c>
      <c r="G27" s="13" t="s">
        <v>82</v>
      </c>
    </row>
    <row r="28" customFormat="false" ht="15" hidden="false" customHeight="false" outlineLevel="0" collapsed="false">
      <c r="A28" s="8" t="s">
        <v>83</v>
      </c>
      <c r="B28" s="17" t="n">
        <v>1</v>
      </c>
      <c r="C28" s="13" t="s">
        <v>84</v>
      </c>
      <c r="D28" s="8" t="s">
        <v>85</v>
      </c>
      <c r="E28" s="13" t="s">
        <v>86</v>
      </c>
      <c r="F28" s="13" t="s">
        <v>87</v>
      </c>
      <c r="G28" s="13" t="s">
        <v>88</v>
      </c>
    </row>
    <row r="29" customFormat="false" ht="15" hidden="false" customHeight="false" outlineLevel="0" collapsed="false">
      <c r="A29" s="8" t="s">
        <v>89</v>
      </c>
      <c r="B29" s="5"/>
      <c r="C29" s="8" t="s">
        <v>90</v>
      </c>
      <c r="D29" s="8" t="s">
        <v>91</v>
      </c>
      <c r="E29" s="13" t="s">
        <v>40</v>
      </c>
      <c r="F29" s="8" t="s">
        <v>41</v>
      </c>
      <c r="G29" s="13" t="s">
        <v>92</v>
      </c>
    </row>
    <row r="30" customFormat="false" ht="15" hidden="false" customHeight="false" outlineLevel="0" collapsed="false">
      <c r="A30" s="8" t="s">
        <v>93</v>
      </c>
      <c r="B30" s="16" t="n">
        <v>2</v>
      </c>
      <c r="C30" s="8" t="s">
        <v>45</v>
      </c>
      <c r="D30" s="13" t="s">
        <v>94</v>
      </c>
      <c r="E30" s="13" t="s">
        <v>20</v>
      </c>
      <c r="F30" s="13" t="s">
        <v>21</v>
      </c>
      <c r="G30" s="8"/>
    </row>
    <row r="31" customFormat="false" ht="15" hidden="false" customHeight="false" outlineLevel="0" collapsed="false">
      <c r="A31" s="11" t="s">
        <v>95</v>
      </c>
      <c r="B31" s="11"/>
      <c r="C31" s="11"/>
      <c r="D31" s="11"/>
      <c r="E31" s="11"/>
      <c r="F31" s="11"/>
      <c r="G31" s="11"/>
    </row>
    <row r="32" customFormat="false" ht="15" hidden="false" customHeight="false" outlineLevel="0" collapsed="false">
      <c r="A32" s="8" t="s">
        <v>96</v>
      </c>
      <c r="B32" s="18" t="n">
        <v>190</v>
      </c>
      <c r="C32" s="8" t="s">
        <v>97</v>
      </c>
      <c r="D32" s="13" t="s">
        <v>98</v>
      </c>
      <c r="E32" s="13" t="s">
        <v>20</v>
      </c>
      <c r="F32" s="13" t="s">
        <v>21</v>
      </c>
      <c r="G32" s="8"/>
    </row>
    <row r="33" customFormat="false" ht="15" hidden="false" customHeight="false" outlineLevel="0" collapsed="false">
      <c r="A33" s="8" t="s">
        <v>99</v>
      </c>
      <c r="B33" s="18" t="n">
        <v>20</v>
      </c>
      <c r="C33" s="8" t="s">
        <v>100</v>
      </c>
      <c r="D33" s="13" t="s">
        <v>101</v>
      </c>
      <c r="E33" s="13" t="s">
        <v>20</v>
      </c>
      <c r="F33" s="13" t="s">
        <v>21</v>
      </c>
      <c r="G33" s="8"/>
    </row>
    <row r="34" customFormat="false" ht="15" hidden="false" customHeight="false" outlineLevel="0" collapsed="false">
      <c r="A34" s="8" t="s">
        <v>102</v>
      </c>
      <c r="B34" s="12" t="n">
        <v>19</v>
      </c>
      <c r="C34" s="8" t="s">
        <v>103</v>
      </c>
      <c r="D34" s="8"/>
      <c r="E34" s="13" t="s">
        <v>20</v>
      </c>
      <c r="F34" s="13" t="s">
        <v>21</v>
      </c>
      <c r="G34" s="8"/>
    </row>
    <row r="35" customFormat="false" ht="15" hidden="false" customHeight="false" outlineLevel="0" collapsed="false">
      <c r="A35" s="8" t="s">
        <v>104</v>
      </c>
      <c r="B35" s="18" t="n">
        <v>140</v>
      </c>
      <c r="C35" s="8" t="s">
        <v>105</v>
      </c>
      <c r="D35" s="13" t="s">
        <v>106</v>
      </c>
      <c r="E35" s="13" t="s">
        <v>20</v>
      </c>
      <c r="F35" s="13" t="s">
        <v>21</v>
      </c>
      <c r="G35" s="8"/>
    </row>
    <row r="36" customFormat="false" ht="15" hidden="false" customHeight="false" outlineLevel="0" collapsed="false">
      <c r="A36" s="13" t="s">
        <v>107</v>
      </c>
      <c r="B36" s="5"/>
      <c r="C36" s="8" t="s">
        <v>97</v>
      </c>
      <c r="D36" s="8" t="s">
        <v>108</v>
      </c>
      <c r="E36" s="13" t="s">
        <v>40</v>
      </c>
      <c r="F36" s="8" t="s">
        <v>41</v>
      </c>
      <c r="G36" s="13" t="s">
        <v>109</v>
      </c>
    </row>
    <row r="37" customFormat="false" ht="15" hidden="false" customHeight="false" outlineLevel="0" collapsed="false">
      <c r="A37" s="11" t="s">
        <v>110</v>
      </c>
      <c r="B37" s="11"/>
      <c r="C37" s="11"/>
      <c r="D37" s="11"/>
      <c r="E37" s="11"/>
      <c r="F37" s="11"/>
      <c r="G37" s="11"/>
    </row>
    <row r="38" customFormat="false" ht="15" hidden="false" customHeight="false" outlineLevel="0" collapsed="false">
      <c r="A38" s="13" t="s">
        <v>111</v>
      </c>
      <c r="B38" s="19" t="n">
        <v>26.2</v>
      </c>
      <c r="C38" s="8" t="s">
        <v>112</v>
      </c>
      <c r="D38" s="13" t="s">
        <v>113</v>
      </c>
      <c r="E38" s="13" t="s">
        <v>20</v>
      </c>
      <c r="F38" s="13" t="s">
        <v>21</v>
      </c>
      <c r="G38" s="13" t="s">
        <v>114</v>
      </c>
    </row>
    <row r="39" customFormat="false" ht="15" hidden="false" customHeight="false" outlineLevel="0" collapsed="false">
      <c r="A39" s="13" t="s">
        <v>115</v>
      </c>
      <c r="B39" s="19" t="n">
        <v>21</v>
      </c>
      <c r="C39" s="8" t="s">
        <v>112</v>
      </c>
      <c r="D39" s="8" t="s">
        <v>116</v>
      </c>
      <c r="E39" s="13" t="s">
        <v>20</v>
      </c>
      <c r="F39" s="13" t="s">
        <v>21</v>
      </c>
      <c r="G39" s="8"/>
    </row>
    <row r="40" customFormat="false" ht="15" hidden="false" customHeight="false" outlineLevel="0" collapsed="false">
      <c r="A40" s="13" t="s">
        <v>117</v>
      </c>
      <c r="B40" s="20" t="n">
        <f aca="false">B38+B39</f>
        <v>47.2</v>
      </c>
      <c r="C40" s="8" t="s">
        <v>112</v>
      </c>
      <c r="D40" s="13" t="s">
        <v>118</v>
      </c>
      <c r="E40" s="13" t="s">
        <v>33</v>
      </c>
      <c r="F40" s="13" t="s">
        <v>33</v>
      </c>
      <c r="G40" s="8" t="s">
        <v>119</v>
      </c>
    </row>
    <row r="41" customFormat="false" ht="15" hidden="false" customHeight="false" outlineLevel="0" collapsed="false">
      <c r="A41" s="8" t="s">
        <v>120</v>
      </c>
      <c r="B41" s="21" t="n">
        <v>3</v>
      </c>
      <c r="C41" s="8" t="s">
        <v>112</v>
      </c>
      <c r="D41" s="8" t="s">
        <v>121</v>
      </c>
      <c r="E41" s="13" t="s">
        <v>122</v>
      </c>
      <c r="F41" s="13" t="s">
        <v>21</v>
      </c>
      <c r="G41" s="13" t="s">
        <v>123</v>
      </c>
    </row>
    <row r="42" customFormat="false" ht="15" hidden="false" customHeight="false" outlineLevel="0" collapsed="false">
      <c r="A42" s="8" t="s">
        <v>124</v>
      </c>
      <c r="B42" s="20" t="n">
        <f aca="false">B40+B41</f>
        <v>50.2</v>
      </c>
      <c r="C42" s="8" t="s">
        <v>112</v>
      </c>
      <c r="D42" s="13" t="s">
        <v>125</v>
      </c>
      <c r="E42" s="13" t="s">
        <v>33</v>
      </c>
      <c r="F42" s="13" t="s">
        <v>33</v>
      </c>
      <c r="G42" s="8" t="s">
        <v>119</v>
      </c>
    </row>
    <row r="43" customFormat="false" ht="15" hidden="false" customHeight="false" outlineLevel="0" collapsed="false">
      <c r="A43" s="13" t="s">
        <v>126</v>
      </c>
      <c r="B43" s="19" t="n">
        <v>50</v>
      </c>
      <c r="C43" s="8" t="s">
        <v>112</v>
      </c>
      <c r="D43" s="8" t="s">
        <v>127</v>
      </c>
      <c r="E43" s="13" t="s">
        <v>128</v>
      </c>
      <c r="F43" s="13" t="s">
        <v>21</v>
      </c>
      <c r="G43" s="8"/>
    </row>
    <row r="44" customFormat="false" ht="15" hidden="false" customHeight="false" outlineLevel="0" collapsed="false">
      <c r="A44" s="13" t="s">
        <v>129</v>
      </c>
      <c r="B44" s="12" t="n">
        <v>11</v>
      </c>
      <c r="C44" s="8" t="s">
        <v>130</v>
      </c>
      <c r="D44" s="13" t="s">
        <v>131</v>
      </c>
      <c r="E44" s="13" t="s">
        <v>20</v>
      </c>
      <c r="F44" s="13" t="s">
        <v>21</v>
      </c>
      <c r="G44" s="8"/>
    </row>
    <row r="45" customFormat="false" ht="15" hidden="false" customHeight="false" outlineLevel="0" collapsed="false">
      <c r="A45" s="13" t="s">
        <v>132</v>
      </c>
      <c r="B45" s="5"/>
      <c r="C45" s="8" t="s">
        <v>53</v>
      </c>
      <c r="D45" s="8" t="s">
        <v>108</v>
      </c>
      <c r="E45" s="13" t="s">
        <v>40</v>
      </c>
      <c r="F45" s="8" t="s">
        <v>41</v>
      </c>
      <c r="G45" s="13" t="s">
        <v>133</v>
      </c>
    </row>
    <row r="46" customFormat="false" ht="15" hidden="false" customHeight="false" outlineLevel="0" collapsed="false">
      <c r="A46" s="13" t="s">
        <v>134</v>
      </c>
      <c r="B46" s="5"/>
      <c r="C46" s="8" t="s">
        <v>53</v>
      </c>
      <c r="D46" s="8" t="s">
        <v>108</v>
      </c>
      <c r="E46" s="13" t="s">
        <v>40</v>
      </c>
      <c r="F46" s="8" t="s">
        <v>41</v>
      </c>
      <c r="G46" s="13" t="s">
        <v>135</v>
      </c>
    </row>
    <row r="47" customFormat="false" ht="15" hidden="false" customHeight="false" outlineLevel="0" collapsed="false">
      <c r="A47" s="13" t="s">
        <v>136</v>
      </c>
      <c r="B47" s="22" t="n">
        <v>105</v>
      </c>
      <c r="C47" s="8" t="s">
        <v>24</v>
      </c>
      <c r="D47" s="8" t="s">
        <v>137</v>
      </c>
      <c r="E47" s="13" t="s">
        <v>122</v>
      </c>
      <c r="F47" s="13" t="s">
        <v>21</v>
      </c>
      <c r="G47" s="13" t="s">
        <v>138</v>
      </c>
    </row>
    <row r="48" customFormat="false" ht="15" hidden="false" customHeight="false" outlineLevel="0" collapsed="false">
      <c r="A48" s="8" t="s">
        <v>139</v>
      </c>
      <c r="B48" s="5"/>
      <c r="C48" s="13" t="s">
        <v>140</v>
      </c>
      <c r="D48" s="8"/>
      <c r="E48" s="13" t="s">
        <v>40</v>
      </c>
      <c r="F48" s="8" t="s">
        <v>41</v>
      </c>
      <c r="G48" s="13" t="s">
        <v>123</v>
      </c>
    </row>
    <row r="49" customFormat="false" ht="15" hidden="false" customHeight="false" outlineLevel="0" collapsed="false">
      <c r="A49" s="11" t="s">
        <v>141</v>
      </c>
      <c r="B49" s="11"/>
      <c r="C49" s="11"/>
      <c r="D49" s="11"/>
      <c r="E49" s="11"/>
      <c r="F49" s="11"/>
      <c r="G49" s="11"/>
    </row>
    <row r="50" customFormat="false" ht="15" hidden="false" customHeight="false" outlineLevel="0" collapsed="false">
      <c r="A50" s="8" t="s">
        <v>142</v>
      </c>
      <c r="B50" s="23" t="n">
        <v>46387</v>
      </c>
      <c r="C50" s="13" t="s">
        <v>140</v>
      </c>
      <c r="D50" s="8" t="s">
        <v>143</v>
      </c>
      <c r="E50" s="13" t="s">
        <v>128</v>
      </c>
      <c r="F50" s="13" t="s">
        <v>21</v>
      </c>
      <c r="G50" s="13" t="s">
        <v>144</v>
      </c>
    </row>
    <row r="51" customFormat="false" ht="15" hidden="false" customHeight="false" outlineLevel="0" collapsed="false">
      <c r="A51" s="8" t="s">
        <v>145</v>
      </c>
      <c r="B51" s="23" t="n">
        <v>46388</v>
      </c>
      <c r="C51" s="13" t="s">
        <v>140</v>
      </c>
      <c r="D51" s="8" t="s">
        <v>143</v>
      </c>
      <c r="E51" s="13" t="s">
        <v>128</v>
      </c>
      <c r="F51" s="13" t="s">
        <v>21</v>
      </c>
      <c r="G51" s="13" t="s">
        <v>146</v>
      </c>
    </row>
    <row r="52" customFormat="false" ht="15" hidden="false" customHeight="false" outlineLevel="0" collapsed="false">
      <c r="A52" s="13" t="s">
        <v>147</v>
      </c>
      <c r="B52" s="23" t="n">
        <v>46419</v>
      </c>
      <c r="C52" s="13" t="s">
        <v>140</v>
      </c>
      <c r="D52" s="8"/>
      <c r="E52" s="13" t="s">
        <v>128</v>
      </c>
      <c r="F52" s="13" t="s">
        <v>21</v>
      </c>
      <c r="G52" s="8" t="s">
        <v>148</v>
      </c>
    </row>
    <row r="53" customFormat="false" ht="15" hidden="false" customHeight="false" outlineLevel="0" collapsed="false">
      <c r="A53" s="13" t="s">
        <v>149</v>
      </c>
      <c r="B53" s="23" t="n">
        <v>46538</v>
      </c>
      <c r="C53" s="13" t="s">
        <v>140</v>
      </c>
      <c r="D53" s="8"/>
      <c r="E53" s="13" t="s">
        <v>128</v>
      </c>
      <c r="F53" s="13" t="s">
        <v>21</v>
      </c>
      <c r="G53" s="8"/>
    </row>
    <row r="54" customFormat="false" ht="15" hidden="false" customHeight="false" outlineLevel="0" collapsed="false">
      <c r="A54" s="13" t="s">
        <v>150</v>
      </c>
      <c r="B54" s="23" t="n">
        <v>46539</v>
      </c>
      <c r="C54" s="13" t="s">
        <v>140</v>
      </c>
      <c r="D54" s="8"/>
      <c r="E54" s="13" t="s">
        <v>128</v>
      </c>
      <c r="F54" s="13" t="s">
        <v>21</v>
      </c>
      <c r="G54" s="8" t="s">
        <v>151</v>
      </c>
    </row>
    <row r="55" customFormat="false" ht="15" hidden="false" customHeight="false" outlineLevel="0" collapsed="false">
      <c r="A55" s="13" t="s">
        <v>152</v>
      </c>
      <c r="B55" s="23" t="n">
        <v>46569</v>
      </c>
      <c r="C55" s="13" t="s">
        <v>140</v>
      </c>
      <c r="D55" s="8"/>
      <c r="E55" s="13" t="s">
        <v>128</v>
      </c>
      <c r="F55" s="13" t="s">
        <v>21</v>
      </c>
      <c r="G55" s="8"/>
    </row>
    <row r="56" customFormat="false" ht="15" hidden="false" customHeight="false" outlineLevel="0" collapsed="false">
      <c r="A56" s="13" t="s">
        <v>153</v>
      </c>
      <c r="B56" s="23" t="n">
        <v>46934</v>
      </c>
      <c r="C56" s="13" t="s">
        <v>140</v>
      </c>
      <c r="D56" s="8" t="s">
        <v>154</v>
      </c>
      <c r="E56" s="13" t="s">
        <v>128</v>
      </c>
      <c r="F56" s="13" t="s">
        <v>21</v>
      </c>
      <c r="G56" s="8"/>
    </row>
    <row r="57" customFormat="false" ht="15" hidden="false" customHeight="false" outlineLevel="0" collapsed="false">
      <c r="A57" s="13" t="s">
        <v>155</v>
      </c>
      <c r="B57" s="5"/>
      <c r="C57" s="8" t="s">
        <v>31</v>
      </c>
      <c r="D57" s="8" t="s">
        <v>156</v>
      </c>
      <c r="E57" s="13" t="s">
        <v>40</v>
      </c>
      <c r="F57" s="8" t="s">
        <v>41</v>
      </c>
      <c r="G57" s="8" t="s">
        <v>157</v>
      </c>
    </row>
    <row r="58" customFormat="false" ht="15" hidden="false" customHeight="false" outlineLevel="0" collapsed="false">
      <c r="A58" s="13" t="s">
        <v>158</v>
      </c>
      <c r="B58" s="5"/>
      <c r="C58" s="8" t="s">
        <v>130</v>
      </c>
      <c r="D58" s="8" t="s">
        <v>159</v>
      </c>
      <c r="E58" s="13" t="s">
        <v>40</v>
      </c>
      <c r="F58" s="8" t="s">
        <v>41</v>
      </c>
      <c r="G58" s="8"/>
    </row>
    <row r="59" customFormat="false" ht="15" hidden="false" customHeight="false" outlineLevel="0" collapsed="false">
      <c r="A59" s="13" t="s">
        <v>160</v>
      </c>
      <c r="B59" s="5"/>
      <c r="C59" s="13" t="s">
        <v>161</v>
      </c>
      <c r="D59" s="8" t="s">
        <v>108</v>
      </c>
      <c r="E59" s="13" t="s">
        <v>40</v>
      </c>
      <c r="F59" s="8" t="s">
        <v>41</v>
      </c>
      <c r="G59" s="8"/>
    </row>
    <row r="60" customFormat="false" ht="15" hidden="false" customHeight="false" outlineLevel="0" collapsed="false">
      <c r="A60" s="11" t="s">
        <v>162</v>
      </c>
      <c r="B60" s="11"/>
      <c r="C60" s="11"/>
      <c r="D60" s="11"/>
      <c r="E60" s="11"/>
      <c r="F60" s="11"/>
      <c r="G60" s="11"/>
    </row>
    <row r="61" customFormat="false" ht="15" hidden="false" customHeight="false" outlineLevel="0" collapsed="false">
      <c r="A61" s="13" t="s">
        <v>163</v>
      </c>
      <c r="B61" s="5"/>
      <c r="C61" s="13" t="s">
        <v>18</v>
      </c>
      <c r="D61" s="13" t="s">
        <v>164</v>
      </c>
      <c r="E61" s="13" t="s">
        <v>40</v>
      </c>
      <c r="F61" s="8" t="s">
        <v>41</v>
      </c>
      <c r="G61" s="8"/>
    </row>
    <row r="62" customFormat="false" ht="15" hidden="false" customHeight="false" outlineLevel="0" collapsed="false">
      <c r="A62" s="13" t="s">
        <v>165</v>
      </c>
      <c r="B62" s="5"/>
      <c r="C62" s="8" t="s">
        <v>31</v>
      </c>
      <c r="D62" s="13" t="s">
        <v>166</v>
      </c>
      <c r="E62" s="13" t="s">
        <v>40</v>
      </c>
      <c r="F62" s="8" t="s">
        <v>41</v>
      </c>
      <c r="G62" s="13" t="s">
        <v>167</v>
      </c>
    </row>
    <row r="63" customFormat="false" ht="15" hidden="false" customHeight="false" outlineLevel="0" collapsed="false">
      <c r="A63" s="8" t="s">
        <v>168</v>
      </c>
      <c r="B63" s="5"/>
      <c r="C63" s="8" t="s">
        <v>31</v>
      </c>
      <c r="D63" s="8"/>
      <c r="E63" s="13" t="s">
        <v>40</v>
      </c>
      <c r="F63" s="8" t="s">
        <v>41</v>
      </c>
      <c r="G63" s="8"/>
    </row>
    <row r="64" customFormat="false" ht="15" hidden="false" customHeight="false" outlineLevel="0" collapsed="false">
      <c r="A64" s="13" t="s">
        <v>169</v>
      </c>
      <c r="B64" s="5"/>
      <c r="C64" s="8" t="s">
        <v>31</v>
      </c>
      <c r="D64" s="8" t="s">
        <v>170</v>
      </c>
      <c r="E64" s="13" t="s">
        <v>40</v>
      </c>
      <c r="F64" s="8" t="s">
        <v>41</v>
      </c>
      <c r="G64" s="8"/>
    </row>
    <row r="65" customFormat="false" ht="15" hidden="false" customHeight="false" outlineLevel="0" collapsed="false">
      <c r="A65" s="8" t="s">
        <v>171</v>
      </c>
      <c r="B65" s="5"/>
      <c r="C65" s="13" t="s">
        <v>172</v>
      </c>
      <c r="D65" s="8"/>
      <c r="E65" s="13" t="s">
        <v>40</v>
      </c>
      <c r="F65" s="8" t="s">
        <v>41</v>
      </c>
      <c r="G65" s="8" t="s">
        <v>173</v>
      </c>
    </row>
    <row r="66" customFormat="false" ht="15" hidden="false" customHeight="false" outlineLevel="0" collapsed="false">
      <c r="A66" s="8" t="s">
        <v>174</v>
      </c>
      <c r="B66" s="5"/>
      <c r="C66" s="8" t="s">
        <v>175</v>
      </c>
      <c r="D66" s="8"/>
      <c r="E66" s="13" t="s">
        <v>40</v>
      </c>
      <c r="F66" s="8" t="s">
        <v>41</v>
      </c>
      <c r="G66" s="8"/>
    </row>
    <row r="67" customFormat="false" ht="15" hidden="false" customHeight="false" outlineLevel="0" collapsed="false">
      <c r="A67" s="13" t="s">
        <v>176</v>
      </c>
      <c r="B67" s="6" t="n">
        <v>22</v>
      </c>
      <c r="C67" s="13" t="s">
        <v>27</v>
      </c>
      <c r="D67" s="8" t="s">
        <v>177</v>
      </c>
      <c r="E67" s="13" t="s">
        <v>86</v>
      </c>
      <c r="F67" s="13" t="s">
        <v>178</v>
      </c>
      <c r="G67" s="13" t="s">
        <v>179</v>
      </c>
    </row>
    <row r="68" customFormat="false" ht="15" hidden="false" customHeight="false" outlineLevel="0" collapsed="false">
      <c r="A68" s="13" t="s">
        <v>180</v>
      </c>
      <c r="B68" s="6" t="n">
        <v>8</v>
      </c>
      <c r="C68" s="8" t="s">
        <v>181</v>
      </c>
      <c r="D68" s="8" t="s">
        <v>177</v>
      </c>
      <c r="E68" s="13" t="s">
        <v>86</v>
      </c>
      <c r="F68" s="13" t="s">
        <v>178</v>
      </c>
      <c r="G68" s="13" t="s">
        <v>179</v>
      </c>
    </row>
    <row r="69" customFormat="false" ht="15" hidden="false" customHeight="false" outlineLevel="0" collapsed="false">
      <c r="A69" s="13" t="s">
        <v>182</v>
      </c>
      <c r="B69" s="6" t="n">
        <v>16</v>
      </c>
      <c r="C69" s="8" t="s">
        <v>181</v>
      </c>
      <c r="D69" s="8" t="s">
        <v>177</v>
      </c>
      <c r="E69" s="13" t="s">
        <v>86</v>
      </c>
      <c r="F69" s="13" t="s">
        <v>178</v>
      </c>
      <c r="G69" s="13" t="s">
        <v>179</v>
      </c>
    </row>
    <row r="70" customFormat="false" ht="15" hidden="false" customHeight="false" outlineLevel="0" collapsed="false">
      <c r="A70" s="13" t="s">
        <v>183</v>
      </c>
      <c r="B70" s="6" t="n">
        <v>24</v>
      </c>
      <c r="C70" s="8" t="s">
        <v>181</v>
      </c>
      <c r="D70" s="8" t="s">
        <v>184</v>
      </c>
      <c r="E70" s="13" t="s">
        <v>86</v>
      </c>
      <c r="F70" s="13" t="s">
        <v>178</v>
      </c>
      <c r="G70" s="13" t="s">
        <v>179</v>
      </c>
    </row>
    <row r="71" customFormat="false" ht="15" hidden="false" customHeight="false" outlineLevel="0" collapsed="false">
      <c r="A71" s="11" t="s">
        <v>185</v>
      </c>
      <c r="B71" s="11"/>
      <c r="C71" s="11"/>
      <c r="D71" s="11"/>
      <c r="E71" s="11"/>
      <c r="F71" s="11"/>
      <c r="G71" s="11"/>
    </row>
    <row r="72" customFormat="false" ht="15" hidden="false" customHeight="false" outlineLevel="0" collapsed="false">
      <c r="A72" s="13" t="s">
        <v>186</v>
      </c>
      <c r="B72" s="17" t="n">
        <v>39</v>
      </c>
      <c r="C72" s="8" t="s">
        <v>187</v>
      </c>
      <c r="D72" s="8" t="s">
        <v>188</v>
      </c>
      <c r="E72" s="13" t="s">
        <v>86</v>
      </c>
      <c r="F72" s="13" t="s">
        <v>189</v>
      </c>
      <c r="G72" s="8" t="s">
        <v>190</v>
      </c>
    </row>
    <row r="73" customFormat="false" ht="15" hidden="false" customHeight="false" outlineLevel="0" collapsed="false">
      <c r="A73" s="13" t="s">
        <v>191</v>
      </c>
      <c r="B73" s="17" t="n">
        <v>92</v>
      </c>
      <c r="C73" s="8" t="s">
        <v>187</v>
      </c>
      <c r="D73" s="8" t="s">
        <v>192</v>
      </c>
      <c r="E73" s="13" t="s">
        <v>86</v>
      </c>
      <c r="F73" s="13" t="s">
        <v>189</v>
      </c>
      <c r="G73" s="8"/>
    </row>
    <row r="74" customFormat="false" ht="15" hidden="false" customHeight="false" outlineLevel="0" collapsed="false">
      <c r="A74" s="13" t="s">
        <v>193</v>
      </c>
      <c r="B74" s="17" t="n">
        <v>4</v>
      </c>
      <c r="C74" s="13" t="s">
        <v>194</v>
      </c>
      <c r="D74" s="13" t="s">
        <v>195</v>
      </c>
      <c r="E74" s="13" t="s">
        <v>86</v>
      </c>
      <c r="F74" s="13" t="s">
        <v>189</v>
      </c>
      <c r="G74" s="8"/>
    </row>
    <row r="75" customFormat="false" ht="26.85" hidden="false" customHeight="false" outlineLevel="0" collapsed="false">
      <c r="A75" s="13" t="s">
        <v>196</v>
      </c>
      <c r="B75" s="17" t="n">
        <v>3</v>
      </c>
      <c r="C75" s="8" t="s">
        <v>197</v>
      </c>
      <c r="D75" s="8" t="s">
        <v>198</v>
      </c>
      <c r="E75" s="13" t="s">
        <v>86</v>
      </c>
      <c r="F75" s="13" t="s">
        <v>189</v>
      </c>
      <c r="G75" s="8" t="s">
        <v>199</v>
      </c>
    </row>
    <row r="76" customFormat="false" ht="26.85" hidden="false" customHeight="false" outlineLevel="0" collapsed="false">
      <c r="A76" s="13" t="s">
        <v>200</v>
      </c>
      <c r="B76" s="17" t="n">
        <v>2026</v>
      </c>
      <c r="C76" s="13" t="s">
        <v>201</v>
      </c>
      <c r="D76" s="13" t="s">
        <v>202</v>
      </c>
      <c r="E76" s="13" t="s">
        <v>86</v>
      </c>
      <c r="F76" s="13" t="s">
        <v>203</v>
      </c>
      <c r="G76" s="13" t="s">
        <v>204</v>
      </c>
    </row>
    <row r="77" customFormat="false" ht="15" hidden="false" customHeight="false" outlineLevel="0" collapsed="false">
      <c r="A77" s="11" t="s">
        <v>205</v>
      </c>
      <c r="B77" s="11"/>
      <c r="C77" s="11"/>
      <c r="D77" s="11"/>
      <c r="E77" s="11"/>
      <c r="F77" s="11"/>
      <c r="G77" s="11"/>
    </row>
    <row r="78" customFormat="false" ht="15" hidden="false" customHeight="false" outlineLevel="0" collapsed="false">
      <c r="A78" s="13" t="s">
        <v>206</v>
      </c>
      <c r="B78" s="5"/>
      <c r="C78" s="8" t="s">
        <v>175</v>
      </c>
      <c r="D78" s="13" t="s">
        <v>207</v>
      </c>
      <c r="E78" s="13" t="s">
        <v>40</v>
      </c>
      <c r="F78" s="8" t="s">
        <v>41</v>
      </c>
      <c r="G78" s="13" t="s">
        <v>208</v>
      </c>
    </row>
    <row r="79" customFormat="false" ht="15" hidden="false" customHeight="false" outlineLevel="0" collapsed="false">
      <c r="A79" s="13" t="s">
        <v>209</v>
      </c>
      <c r="B79" s="5"/>
      <c r="C79" s="8" t="s">
        <v>175</v>
      </c>
      <c r="D79" s="13" t="s">
        <v>210</v>
      </c>
      <c r="E79" s="13" t="s">
        <v>40</v>
      </c>
      <c r="F79" s="8" t="s">
        <v>41</v>
      </c>
      <c r="G79" s="13" t="s">
        <v>211</v>
      </c>
    </row>
    <row r="80" customFormat="false" ht="15" hidden="false" customHeight="false" outlineLevel="0" collapsed="false">
      <c r="A80" s="13" t="s">
        <v>212</v>
      </c>
      <c r="B80" s="5"/>
      <c r="C80" s="8" t="s">
        <v>175</v>
      </c>
      <c r="D80" s="8"/>
      <c r="E80" s="13" t="s">
        <v>40</v>
      </c>
      <c r="F80" s="8" t="s">
        <v>41</v>
      </c>
      <c r="G80" s="8"/>
    </row>
    <row r="81" customFormat="false" ht="15" hidden="false" customHeight="false" outlineLevel="0" collapsed="false">
      <c r="A81" s="13" t="s">
        <v>213</v>
      </c>
      <c r="B81" s="5"/>
      <c r="C81" s="8" t="s">
        <v>214</v>
      </c>
      <c r="D81" s="13" t="s">
        <v>215</v>
      </c>
      <c r="E81" s="13" t="s">
        <v>40</v>
      </c>
      <c r="F81" s="8" t="s">
        <v>41</v>
      </c>
      <c r="G81" s="13" t="s">
        <v>216</v>
      </c>
    </row>
    <row r="82" customFormat="false" ht="15" hidden="false" customHeight="false" outlineLevel="0" collapsed="false">
      <c r="A82" s="13" t="s">
        <v>217</v>
      </c>
      <c r="B82" s="5"/>
      <c r="C82" s="8" t="s">
        <v>214</v>
      </c>
      <c r="D82" s="8"/>
      <c r="E82" s="13" t="s">
        <v>40</v>
      </c>
      <c r="F82" s="8" t="s">
        <v>41</v>
      </c>
      <c r="G82" s="8"/>
    </row>
    <row r="83" customFormat="false" ht="15" hidden="false" customHeight="false" outlineLevel="0" collapsed="false">
      <c r="A83" s="8" t="s">
        <v>218</v>
      </c>
      <c r="B83" s="5"/>
      <c r="C83" s="8" t="s">
        <v>214</v>
      </c>
      <c r="D83" s="8"/>
      <c r="E83" s="13" t="s">
        <v>40</v>
      </c>
      <c r="F83" s="8" t="s">
        <v>41</v>
      </c>
      <c r="G83" s="8"/>
    </row>
    <row r="84" customFormat="false" ht="15" hidden="false" customHeight="false" outlineLevel="0" collapsed="false">
      <c r="A84" s="13" t="s">
        <v>219</v>
      </c>
      <c r="B84" s="5"/>
      <c r="C84" s="8" t="s">
        <v>214</v>
      </c>
      <c r="D84" s="8"/>
      <c r="E84" s="13" t="s">
        <v>40</v>
      </c>
      <c r="F84" s="8" t="s">
        <v>41</v>
      </c>
      <c r="G84" s="8"/>
    </row>
    <row r="85" customFormat="false" ht="15" hidden="false" customHeight="false" outlineLevel="0" collapsed="false">
      <c r="A85" s="11" t="s">
        <v>220</v>
      </c>
      <c r="B85" s="11"/>
      <c r="C85" s="11"/>
      <c r="D85" s="11"/>
      <c r="E85" s="11"/>
      <c r="F85" s="11"/>
      <c r="G85" s="11"/>
    </row>
    <row r="86" customFormat="false" ht="15" hidden="false" customHeight="false" outlineLevel="0" collapsed="false">
      <c r="A86" s="13" t="s">
        <v>221</v>
      </c>
      <c r="B86" s="18" t="n">
        <v>22720</v>
      </c>
      <c r="C86" s="8" t="s">
        <v>222</v>
      </c>
      <c r="D86" s="13" t="s">
        <v>223</v>
      </c>
      <c r="E86" s="13" t="s">
        <v>128</v>
      </c>
      <c r="F86" s="13" t="s">
        <v>21</v>
      </c>
      <c r="G86" s="13" t="s">
        <v>224</v>
      </c>
    </row>
    <row r="87" customFormat="false" ht="15" hidden="false" customHeight="false" outlineLevel="0" collapsed="false">
      <c r="A87" s="8" t="s">
        <v>225</v>
      </c>
      <c r="B87" s="18" t="n">
        <v>580</v>
      </c>
      <c r="C87" s="8" t="s">
        <v>226</v>
      </c>
      <c r="D87" s="13" t="s">
        <v>227</v>
      </c>
      <c r="E87" s="13" t="s">
        <v>128</v>
      </c>
      <c r="F87" s="13" t="s">
        <v>21</v>
      </c>
      <c r="G87" s="8" t="s">
        <v>228</v>
      </c>
    </row>
    <row r="88" customFormat="false" ht="15" hidden="false" customHeight="false" outlineLevel="0" collapsed="false">
      <c r="A88" s="8" t="s">
        <v>229</v>
      </c>
      <c r="B88" s="12" t="n">
        <v>4</v>
      </c>
      <c r="C88" s="13" t="s">
        <v>230</v>
      </c>
      <c r="D88" s="8"/>
      <c r="E88" s="13" t="s">
        <v>128</v>
      </c>
      <c r="F88" s="13" t="s">
        <v>21</v>
      </c>
      <c r="G88" s="8" t="s">
        <v>231</v>
      </c>
    </row>
    <row r="89" customFormat="false" ht="15" hidden="false" customHeight="false" outlineLevel="0" collapsed="false">
      <c r="A89" s="13" t="s">
        <v>232</v>
      </c>
      <c r="B89" s="18" t="n">
        <v>840</v>
      </c>
      <c r="C89" s="8" t="s">
        <v>226</v>
      </c>
      <c r="D89" s="8" t="s">
        <v>233</v>
      </c>
      <c r="E89" s="13" t="s">
        <v>128</v>
      </c>
      <c r="F89" s="13" t="s">
        <v>21</v>
      </c>
      <c r="G89" s="8" t="s">
        <v>234</v>
      </c>
    </row>
    <row r="91" customFormat="false" ht="17.15" hidden="false" customHeight="false" outlineLevel="0" collapsed="false">
      <c r="A91" s="24" t="s">
        <v>235</v>
      </c>
    </row>
    <row r="92" customFormat="false" ht="30" hidden="false" customHeight="true" outlineLevel="0" collapsed="false">
      <c r="A92" s="10" t="s">
        <v>236</v>
      </c>
      <c r="B92" s="10" t="s">
        <v>237</v>
      </c>
      <c r="C92" s="25" t="s">
        <v>238</v>
      </c>
      <c r="D92" s="25" t="s">
        <v>239</v>
      </c>
      <c r="E92" s="25" t="s">
        <v>240</v>
      </c>
      <c r="F92" s="25" t="s">
        <v>241</v>
      </c>
      <c r="G92" s="25" t="s">
        <v>242</v>
      </c>
      <c r="H92" s="25" t="s">
        <v>243</v>
      </c>
      <c r="I92" s="25" t="s">
        <v>244</v>
      </c>
      <c r="J92" s="25" t="s">
        <v>245</v>
      </c>
      <c r="K92" s="25" t="s">
        <v>246</v>
      </c>
      <c r="L92" s="25" t="s">
        <v>247</v>
      </c>
      <c r="M92" s="25" t="s">
        <v>248</v>
      </c>
      <c r="N92" s="25" t="s">
        <v>249</v>
      </c>
      <c r="O92" s="10" t="s">
        <v>250</v>
      </c>
      <c r="P92" s="10" t="s">
        <v>251</v>
      </c>
      <c r="Q92" s="10" t="s">
        <v>14</v>
      </c>
      <c r="R92" s="10" t="s">
        <v>15</v>
      </c>
    </row>
    <row r="93" customFormat="false" ht="15" hidden="false" customHeight="false" outlineLevel="0" collapsed="false">
      <c r="A93" s="13" t="s">
        <v>252</v>
      </c>
      <c r="B93" s="15" t="n">
        <v>2026</v>
      </c>
      <c r="C93" s="26" t="n">
        <v>1600</v>
      </c>
      <c r="D93" s="26" t="n">
        <v>1420</v>
      </c>
      <c r="E93" s="26" t="n">
        <v>1440</v>
      </c>
      <c r="F93" s="26" t="n">
        <v>1580</v>
      </c>
      <c r="G93" s="26" t="n">
        <v>1200</v>
      </c>
      <c r="H93" s="26" t="n">
        <v>1200</v>
      </c>
      <c r="I93" s="26" t="n">
        <v>1360</v>
      </c>
      <c r="J93" s="26" t="n">
        <v>1420</v>
      </c>
      <c r="K93" s="26" t="n">
        <v>1380</v>
      </c>
      <c r="L93" s="26" t="n">
        <v>1480</v>
      </c>
      <c r="M93" s="26" t="n">
        <v>1480</v>
      </c>
      <c r="N93" s="26" t="n">
        <v>1420</v>
      </c>
      <c r="O93" s="27" t="n">
        <f aca="false">IF(COUNT(C93:N93)=0,"미제시",SUM(C93:N93))</f>
        <v>16980</v>
      </c>
      <c r="P93" s="13" t="s">
        <v>253</v>
      </c>
      <c r="Q93" s="13" t="s">
        <v>21</v>
      </c>
      <c r="R93" s="8"/>
    </row>
    <row r="94" customFormat="false" ht="15" hidden="false" customHeight="false" outlineLevel="0" collapsed="false">
      <c r="A94" s="8" t="s">
        <v>254</v>
      </c>
      <c r="B94" s="15" t="n">
        <v>2026</v>
      </c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7" t="str">
        <f aca="false">IF(COUNT(C94:N94)=0,"미제시",SUM(C94:N94))</f>
        <v>미제시</v>
      </c>
      <c r="P94" s="13" t="s">
        <v>255</v>
      </c>
      <c r="Q94" s="13" t="s">
        <v>21</v>
      </c>
      <c r="R94" s="8" t="s">
        <v>256</v>
      </c>
    </row>
    <row r="95" customFormat="false" ht="15" hidden="false" customHeight="false" outlineLevel="0" collapsed="false">
      <c r="A95" s="13" t="s">
        <v>106</v>
      </c>
      <c r="B95" s="15" t="n">
        <v>2026</v>
      </c>
      <c r="C95" s="2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560</v>
      </c>
      <c r="L95" s="26" t="n">
        <v>560</v>
      </c>
      <c r="M95" s="26" t="n">
        <v>560</v>
      </c>
      <c r="N95" s="26" t="n">
        <v>560</v>
      </c>
      <c r="O95" s="27" t="n">
        <f aca="false">IF(COUNT(C95:N95)=0,"미제시",SUM(C95:N95))</f>
        <v>2240</v>
      </c>
      <c r="P95" s="13" t="s">
        <v>253</v>
      </c>
      <c r="Q95" s="13" t="s">
        <v>21</v>
      </c>
      <c r="R95" s="8" t="s">
        <v>257</v>
      </c>
    </row>
    <row r="96" customFormat="false" ht="15" hidden="false" customHeight="false" outlineLevel="0" collapsed="false">
      <c r="A96" s="13" t="s">
        <v>252</v>
      </c>
      <c r="B96" s="15" t="n">
        <v>2027</v>
      </c>
      <c r="C96" s="29" t="n">
        <f aca="false">01_Inputs!$B$86/12</f>
        <v>1893.33333333333</v>
      </c>
      <c r="D96" s="29" t="n">
        <f aca="false">01_Inputs!$B$86/12</f>
        <v>1893.33333333333</v>
      </c>
      <c r="E96" s="29" t="n">
        <f aca="false">01_Inputs!$B$86/12</f>
        <v>1893.33333333333</v>
      </c>
      <c r="F96" s="29" t="n">
        <f aca="false">01_Inputs!$B$86/12</f>
        <v>1893.33333333333</v>
      </c>
      <c r="G96" s="29" t="n">
        <f aca="false">01_Inputs!$B$86/12</f>
        <v>1893.33333333333</v>
      </c>
      <c r="H96" s="29" t="n">
        <f aca="false">01_Inputs!$B$86/12</f>
        <v>1893.33333333333</v>
      </c>
      <c r="I96" s="29" t="n">
        <f aca="false">01_Inputs!$B$86/12</f>
        <v>1893.33333333333</v>
      </c>
      <c r="J96" s="29" t="n">
        <f aca="false">01_Inputs!$B$86/12</f>
        <v>1893.33333333333</v>
      </c>
      <c r="K96" s="29" t="n">
        <f aca="false">01_Inputs!$B$86/12</f>
        <v>1893.33333333333</v>
      </c>
      <c r="L96" s="29" t="n">
        <f aca="false">01_Inputs!$B$86/12</f>
        <v>1893.33333333333</v>
      </c>
      <c r="M96" s="29" t="n">
        <f aca="false">01_Inputs!$B$86/12</f>
        <v>1893.33333333333</v>
      </c>
      <c r="N96" s="29" t="n">
        <f aca="false">01_Inputs!$B$86/12</f>
        <v>1893.33333333333</v>
      </c>
      <c r="O96" s="27" t="n">
        <f aca="false">SUM(C96:N96)</f>
        <v>22720</v>
      </c>
      <c r="P96" s="13" t="s">
        <v>128</v>
      </c>
      <c r="Q96" s="13" t="s">
        <v>21</v>
      </c>
      <c r="R96" s="8" t="s">
        <v>258</v>
      </c>
    </row>
    <row r="97" customFormat="false" ht="15" hidden="false" customHeight="false" outlineLevel="0" collapsed="false">
      <c r="A97" s="8" t="s">
        <v>254</v>
      </c>
      <c r="B97" s="15" t="n">
        <v>2027</v>
      </c>
      <c r="C97" s="29" t="n">
        <f aca="false">IF(1&gt;=01_Inputs!$B$88,01_Inputs!$B$87,0)</f>
        <v>0</v>
      </c>
      <c r="D97" s="29" t="n">
        <f aca="false">IF(2&gt;=01_Inputs!$B$88,01_Inputs!$B$87,0)</f>
        <v>0</v>
      </c>
      <c r="E97" s="29" t="n">
        <f aca="false">IF(3&gt;=01_Inputs!$B$88,01_Inputs!$B$87,0)</f>
        <v>0</v>
      </c>
      <c r="F97" s="29" t="n">
        <f aca="false">IF(4&gt;=01_Inputs!$B$88,01_Inputs!$B$87,0)</f>
        <v>580</v>
      </c>
      <c r="G97" s="29" t="n">
        <f aca="false">IF(5&gt;=01_Inputs!$B$88,01_Inputs!$B$87,0)</f>
        <v>580</v>
      </c>
      <c r="H97" s="29" t="n">
        <f aca="false">IF(6&gt;=01_Inputs!$B$88,01_Inputs!$B$87,0)</f>
        <v>580</v>
      </c>
      <c r="I97" s="29" t="n">
        <f aca="false">IF(7&gt;=01_Inputs!$B$88,01_Inputs!$B$87,0)</f>
        <v>580</v>
      </c>
      <c r="J97" s="29" t="n">
        <f aca="false">IF(8&gt;=01_Inputs!$B$88,01_Inputs!$B$87,0)</f>
        <v>580</v>
      </c>
      <c r="K97" s="29" t="n">
        <f aca="false">IF(9&gt;=01_Inputs!$B$88,01_Inputs!$B$87,0)</f>
        <v>580</v>
      </c>
      <c r="L97" s="29" t="n">
        <f aca="false">IF(10&gt;=01_Inputs!$B$88,01_Inputs!$B$87,0)</f>
        <v>580</v>
      </c>
      <c r="M97" s="29" t="n">
        <f aca="false">IF(11&gt;=01_Inputs!$B$88,01_Inputs!$B$87,0)</f>
        <v>580</v>
      </c>
      <c r="N97" s="29" t="n">
        <f aca="false">IF(12&gt;=01_Inputs!$B$88,01_Inputs!$B$87,0)</f>
        <v>580</v>
      </c>
      <c r="O97" s="27" t="n">
        <f aca="false">SUM(C97:N97)</f>
        <v>5220</v>
      </c>
      <c r="P97" s="13" t="s">
        <v>128</v>
      </c>
      <c r="Q97" s="13" t="s">
        <v>21</v>
      </c>
      <c r="R97" s="8" t="s">
        <v>259</v>
      </c>
    </row>
    <row r="98" customFormat="false" ht="15" hidden="false" customHeight="false" outlineLevel="0" collapsed="false">
      <c r="A98" s="13" t="s">
        <v>106</v>
      </c>
      <c r="B98" s="15" t="n">
        <v>2027</v>
      </c>
      <c r="C98" s="29" t="n">
        <f aca="false">01_Inputs!$B$89</f>
        <v>840</v>
      </c>
      <c r="D98" s="29" t="n">
        <f aca="false">01_Inputs!$B$89</f>
        <v>840</v>
      </c>
      <c r="E98" s="29" t="n">
        <f aca="false">01_Inputs!$B$89</f>
        <v>840</v>
      </c>
      <c r="F98" s="29" t="n">
        <f aca="false">01_Inputs!$B$89</f>
        <v>840</v>
      </c>
      <c r="G98" s="29" t="n">
        <f aca="false">01_Inputs!$B$89</f>
        <v>840</v>
      </c>
      <c r="H98" s="29" t="n">
        <f aca="false">01_Inputs!$B$89</f>
        <v>840</v>
      </c>
      <c r="I98" s="29" t="n">
        <f aca="false">01_Inputs!$B$89</f>
        <v>840</v>
      </c>
      <c r="J98" s="29" t="n">
        <f aca="false">01_Inputs!$B$89</f>
        <v>840</v>
      </c>
      <c r="K98" s="29" t="n">
        <f aca="false">01_Inputs!$B$89</f>
        <v>840</v>
      </c>
      <c r="L98" s="29" t="n">
        <f aca="false">01_Inputs!$B$89</f>
        <v>840</v>
      </c>
      <c r="M98" s="29" t="n">
        <f aca="false">01_Inputs!$B$89</f>
        <v>840</v>
      </c>
      <c r="N98" s="29" t="n">
        <f aca="false">01_Inputs!$B$89</f>
        <v>840</v>
      </c>
      <c r="O98" s="27" t="n">
        <f aca="false">SUM(C98:N98)</f>
        <v>10080</v>
      </c>
      <c r="P98" s="13" t="s">
        <v>128</v>
      </c>
      <c r="Q98" s="13" t="s">
        <v>21</v>
      </c>
      <c r="R98" s="8" t="s">
        <v>260</v>
      </c>
    </row>
    <row r="99" customFormat="false" ht="15" hidden="false" customHeight="false" outlineLevel="0" collapsed="false">
      <c r="A99" s="30" t="s">
        <v>261</v>
      </c>
      <c r="B99" s="15" t="n">
        <v>2026</v>
      </c>
      <c r="C99" s="27" t="n">
        <f aca="false">N(C93)+N(C94)+N(C95)</f>
        <v>1600</v>
      </c>
      <c r="D99" s="27" t="n">
        <f aca="false">N(D93)+N(D94)+N(D95)</f>
        <v>1420</v>
      </c>
      <c r="E99" s="27" t="n">
        <f aca="false">N(E93)+N(E94)+N(E95)</f>
        <v>1440</v>
      </c>
      <c r="F99" s="27" t="n">
        <f aca="false">N(F93)+N(F94)+N(F95)</f>
        <v>1580</v>
      </c>
      <c r="G99" s="27" t="n">
        <f aca="false">N(G93)+N(G94)+N(G95)</f>
        <v>1200</v>
      </c>
      <c r="H99" s="27" t="n">
        <f aca="false">N(H93)+N(H94)+N(H95)</f>
        <v>1200</v>
      </c>
      <c r="I99" s="27" t="n">
        <f aca="false">N(I93)+N(I94)+N(I95)</f>
        <v>1360</v>
      </c>
      <c r="J99" s="27" t="n">
        <f aca="false">N(J93)+N(J94)+N(J95)</f>
        <v>1420</v>
      </c>
      <c r="K99" s="27" t="n">
        <f aca="false">N(K93)+N(K94)+N(K95)</f>
        <v>1940</v>
      </c>
      <c r="L99" s="27" t="n">
        <f aca="false">N(L93)+N(L94)+N(L95)</f>
        <v>2040</v>
      </c>
      <c r="M99" s="27" t="n">
        <f aca="false">N(M93)+N(M94)+N(M95)</f>
        <v>2040</v>
      </c>
      <c r="N99" s="27" t="n">
        <f aca="false">N(N93)+N(N94)+N(N95)</f>
        <v>1980</v>
      </c>
      <c r="O99" s="27" t="n">
        <f aca="false">SUM(C99:N99)</f>
        <v>19220</v>
      </c>
      <c r="P99" s="13" t="s">
        <v>262</v>
      </c>
      <c r="Q99" s="13" t="s">
        <v>33</v>
      </c>
      <c r="R99" s="8" t="s">
        <v>263</v>
      </c>
    </row>
    <row r="100" customFormat="false" ht="15" hidden="false" customHeight="false" outlineLevel="0" collapsed="false">
      <c r="A100" s="30" t="s">
        <v>264</v>
      </c>
      <c r="B100" s="15" t="n">
        <v>2027</v>
      </c>
      <c r="C100" s="27" t="n">
        <f aca="false">N(C96)+N(C97)+N(C98)</f>
        <v>2733.33333333333</v>
      </c>
      <c r="D100" s="27" t="n">
        <f aca="false">N(D96)+N(D97)+N(D98)</f>
        <v>2733.33333333333</v>
      </c>
      <c r="E100" s="27" t="n">
        <f aca="false">N(E96)+N(E97)+N(E98)</f>
        <v>2733.33333333333</v>
      </c>
      <c r="F100" s="27" t="n">
        <f aca="false">N(F96)+N(F97)+N(F98)</f>
        <v>3313.33333333333</v>
      </c>
      <c r="G100" s="27" t="n">
        <f aca="false">N(G96)+N(G97)+N(G98)</f>
        <v>3313.33333333333</v>
      </c>
      <c r="H100" s="27" t="n">
        <f aca="false">N(H96)+N(H97)+N(H98)</f>
        <v>3313.33333333333</v>
      </c>
      <c r="I100" s="27" t="n">
        <f aca="false">N(I96)+N(I97)+N(I98)</f>
        <v>3313.33333333333</v>
      </c>
      <c r="J100" s="27" t="n">
        <f aca="false">N(J96)+N(J97)+N(J98)</f>
        <v>3313.33333333333</v>
      </c>
      <c r="K100" s="27" t="n">
        <f aca="false">N(K96)+N(K97)+N(K98)</f>
        <v>3313.33333333333</v>
      </c>
      <c r="L100" s="27" t="n">
        <f aca="false">N(L96)+N(L97)+N(L98)</f>
        <v>3313.33333333333</v>
      </c>
      <c r="M100" s="27" t="n">
        <f aca="false">N(M96)+N(M97)+N(M98)</f>
        <v>3313.33333333333</v>
      </c>
      <c r="N100" s="27" t="n">
        <f aca="false">N(N96)+N(N97)+N(N98)</f>
        <v>3313.33333333333</v>
      </c>
      <c r="O100" s="27" t="n">
        <f aca="false">SUM(C100:N100)</f>
        <v>38020</v>
      </c>
      <c r="P100" s="13" t="s">
        <v>262</v>
      </c>
      <c r="Q100" s="13" t="s">
        <v>33</v>
      </c>
      <c r="R100" s="13" t="s">
        <v>265</v>
      </c>
    </row>
    <row r="101" customFormat="false" ht="15" hidden="false" customHeight="false" outlineLevel="0" collapsed="false">
      <c r="A101" s="13" t="s">
        <v>266</v>
      </c>
      <c r="O101" s="9" t="str">
        <f aca="false">IF(ABS(O100-38020)&lt;0.001,"일치","불일치")</f>
        <v>일치</v>
      </c>
    </row>
  </sheetData>
  <autoFilter ref="A5:G8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Z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2" min="10" style="0" width="10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6"/>
    <col collapsed="false" customWidth="true" hidden="false" outlineLevel="0" max="16" min="16" style="0" width="9"/>
    <col collapsed="false" customWidth="true" hidden="false" outlineLevel="0" max="18" min="17" style="0" width="8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4" min="21" style="0" width="10"/>
    <col collapsed="false" customWidth="true" hidden="false" outlineLevel="0" max="25" min="25" style="0" width="13"/>
    <col collapsed="false" customWidth="true" hidden="false" outlineLevel="0" max="26" min="26" style="0" width="20"/>
  </cols>
  <sheetData>
    <row r="1" customFormat="false" ht="21.6" hidden="false" customHeight="false" outlineLevel="0" collapsed="false">
      <c r="A1" s="1" t="s">
        <v>267</v>
      </c>
    </row>
    <row r="2" customFormat="false" ht="15" hidden="false" customHeight="false" outlineLevel="0" collapsed="false">
      <c r="A2" s="31" t="s">
        <v>268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</row>
    <row r="5" customFormat="false" ht="42" hidden="false" customHeight="true" outlineLevel="0" collapsed="false">
      <c r="A5" s="25" t="s">
        <v>269</v>
      </c>
      <c r="B5" s="10" t="s">
        <v>270</v>
      </c>
      <c r="C5" s="10" t="s">
        <v>271</v>
      </c>
      <c r="D5" s="25" t="s">
        <v>272</v>
      </c>
      <c r="E5" s="10" t="s">
        <v>273</v>
      </c>
      <c r="F5" s="10" t="s">
        <v>274</v>
      </c>
      <c r="G5" s="10" t="s">
        <v>275</v>
      </c>
      <c r="H5" s="10" t="s">
        <v>276</v>
      </c>
      <c r="I5" s="10" t="s">
        <v>277</v>
      </c>
      <c r="J5" s="10" t="s">
        <v>278</v>
      </c>
      <c r="K5" s="10" t="s">
        <v>279</v>
      </c>
      <c r="L5" s="10" t="s">
        <v>280</v>
      </c>
      <c r="M5" s="10" t="s">
        <v>281</v>
      </c>
      <c r="N5" s="10" t="s">
        <v>282</v>
      </c>
      <c r="O5" s="32" t="s">
        <v>230</v>
      </c>
      <c r="P5" s="32" t="s">
        <v>283</v>
      </c>
      <c r="Q5" s="32" t="s">
        <v>284</v>
      </c>
      <c r="R5" s="32" t="s">
        <v>285</v>
      </c>
      <c r="S5" s="32" t="s">
        <v>286</v>
      </c>
      <c r="T5" s="32" t="s">
        <v>287</v>
      </c>
      <c r="U5" s="32" t="s">
        <v>288</v>
      </c>
      <c r="V5" s="32" t="s">
        <v>289</v>
      </c>
      <c r="W5" s="32" t="s">
        <v>290</v>
      </c>
      <c r="X5" s="32" t="s">
        <v>291</v>
      </c>
      <c r="Y5" s="32" t="s">
        <v>292</v>
      </c>
      <c r="Z5" s="33" t="s">
        <v>293</v>
      </c>
    </row>
    <row r="6" customFormat="false" ht="26.85" hidden="false" customHeight="false" outlineLevel="0" collapsed="false">
      <c r="A6" s="8" t="n">
        <v>1</v>
      </c>
      <c r="B6" s="8" t="s">
        <v>294</v>
      </c>
      <c r="C6" s="8" t="s">
        <v>295</v>
      </c>
      <c r="D6" s="3" t="n">
        <v>37</v>
      </c>
      <c r="E6" s="23" t="n">
        <v>46165</v>
      </c>
      <c r="F6" s="5"/>
      <c r="G6" s="5"/>
      <c r="H6" s="13" t="s">
        <v>296</v>
      </c>
      <c r="I6" s="34" t="s">
        <v>297</v>
      </c>
      <c r="J6" s="5"/>
      <c r="K6" s="3" t="s">
        <v>298</v>
      </c>
      <c r="L6" s="3" t="n">
        <v>23</v>
      </c>
      <c r="M6" s="23" t="n">
        <v>46165</v>
      </c>
      <c r="N6" s="13" t="str">
        <f aca="false">IF(AND(E6=M6,DAY(E6)=L6,K6=MONTH(E6)&amp;"/"&amp;DAY(E6)),"일치","차이 확인")</f>
        <v>일치</v>
      </c>
      <c r="O6" s="8" t="n">
        <f aca="false">MONTH(E6)</f>
        <v>5</v>
      </c>
      <c r="P6" s="8" t="n">
        <f aca="false">IF(AND(D6&gt;01_Inputs!$B$72,D6&lt;=01_Inputs!$B$73),1,0)</f>
        <v>0</v>
      </c>
      <c r="Q6" s="8" t="str">
        <f aca="false">"-"</f>
        <v>-</v>
      </c>
      <c r="R6" s="8" t="str">
        <f aca="false">IF(COUNTIF($D$6:$D$61,D6)&gt;1,"중복","-")</f>
        <v>-</v>
      </c>
      <c r="S6" s="15"/>
      <c r="T6" s="8"/>
      <c r="U6" s="15"/>
      <c r="V6" s="15"/>
      <c r="W6" s="15"/>
      <c r="X6" s="15" t="str">
        <f aca="false">IF(ROW()-6&gt;=01_Inputs!$B$74,E6-INDEX($E$6:$E$61,ROW()-6+1-01_Inputs!$B$74),"")</f>
        <v/>
      </c>
      <c r="Y6" s="14" t="str">
        <f aca="false">IF(ISNUMBER(X6),(X6+1)*24/01_Inputs!$B$74,"")</f>
        <v/>
      </c>
      <c r="Z6" s="8" t="str">
        <f aca="false">IF(ISNUMBER(Y6),IF(Y6&lt;01_Inputs!$B$17,"확인 필요: 57 h 미만",""),"")</f>
        <v/>
      </c>
    </row>
    <row r="7" customFormat="false" ht="26.85" hidden="false" customHeight="false" outlineLevel="0" collapsed="false">
      <c r="A7" s="8" t="n">
        <v>2</v>
      </c>
      <c r="B7" s="8" t="s">
        <v>294</v>
      </c>
      <c r="C7" s="8" t="s">
        <v>295</v>
      </c>
      <c r="D7" s="3" t="n">
        <v>38</v>
      </c>
      <c r="E7" s="23" t="n">
        <v>46168</v>
      </c>
      <c r="F7" s="5"/>
      <c r="G7" s="5"/>
      <c r="H7" s="13" t="s">
        <v>296</v>
      </c>
      <c r="I7" s="34" t="s">
        <v>297</v>
      </c>
      <c r="J7" s="5"/>
      <c r="K7" s="3" t="s">
        <v>299</v>
      </c>
      <c r="L7" s="3" t="n">
        <v>26</v>
      </c>
      <c r="M7" s="23" t="n">
        <v>46168</v>
      </c>
      <c r="N7" s="13" t="str">
        <f aca="false">IF(AND(E7=M7,DAY(E7)=L7,K7=MONTH(E7)&amp;"/"&amp;DAY(E7)),"일치","차이 확인")</f>
        <v>일치</v>
      </c>
      <c r="O7" s="8" t="n">
        <f aca="false">MONTH(E7)</f>
        <v>5</v>
      </c>
      <c r="P7" s="8" t="n">
        <f aca="false">IF(AND(D7&gt;01_Inputs!$B$72,D7&lt;=01_Inputs!$B$73),1,0)</f>
        <v>0</v>
      </c>
      <c r="Q7" s="8" t="str">
        <f aca="false">IF(D7-D6=1,"연속","확인")</f>
        <v>연속</v>
      </c>
      <c r="R7" s="8" t="str">
        <f aca="false">IF(COUNTIF($D$6:$D$61,D7)&gt;1,"중복","-")</f>
        <v>-</v>
      </c>
      <c r="S7" s="15" t="n">
        <f aca="false">E7-E6</f>
        <v>3</v>
      </c>
      <c r="T7" s="8" t="str">
        <f aca="false">IF(MONTH(E7)&lt;&gt;MONTH(E6),"월 경계","")</f>
        <v/>
      </c>
      <c r="U7" s="15" t="n">
        <f aca="false">S7*24</f>
        <v>72</v>
      </c>
      <c r="V7" s="15" t="n">
        <f aca="false">MAX(0,(S7-1)*24)</f>
        <v>48</v>
      </c>
      <c r="W7" s="15" t="n">
        <f aca="false">(S7+1)*24</f>
        <v>96</v>
      </c>
      <c r="X7" s="15" t="str">
        <f aca="false">IF(ROW()-6&gt;=01_Inputs!$B$74,E7-INDEX($E$6:$E$61,ROW()-6+1-01_Inputs!$B$74),"")</f>
        <v/>
      </c>
      <c r="Y7" s="14" t="str">
        <f aca="false">IF(ISNUMBER(X7),(X7+1)*24/01_Inputs!$B$74,"")</f>
        <v/>
      </c>
      <c r="Z7" s="8" t="str">
        <f aca="false">IF(ISNUMBER(Y7),IF(Y7&lt;01_Inputs!$B$17,"확인 필요: 57 h 미만",""),"")</f>
        <v/>
      </c>
    </row>
    <row r="8" customFormat="false" ht="26.85" hidden="false" customHeight="false" outlineLevel="0" collapsed="false">
      <c r="A8" s="8" t="n">
        <v>3</v>
      </c>
      <c r="B8" s="8" t="s">
        <v>294</v>
      </c>
      <c r="C8" s="8" t="s">
        <v>295</v>
      </c>
      <c r="D8" s="3" t="n">
        <v>39</v>
      </c>
      <c r="E8" s="23" t="n">
        <v>46175</v>
      </c>
      <c r="F8" s="5"/>
      <c r="G8" s="5"/>
      <c r="H8" s="13" t="s">
        <v>296</v>
      </c>
      <c r="I8" s="34" t="s">
        <v>300</v>
      </c>
      <c r="J8" s="5"/>
      <c r="K8" s="3" t="s">
        <v>301</v>
      </c>
      <c r="L8" s="3" t="n">
        <v>2</v>
      </c>
      <c r="M8" s="23" t="n">
        <v>46175</v>
      </c>
      <c r="N8" s="13" t="str">
        <f aca="false">IF(AND(E8=M8,DAY(E8)=L8,K8=MONTH(E8)&amp;"/"&amp;DAY(E8)),"일치","차이 확인")</f>
        <v>일치</v>
      </c>
      <c r="O8" s="8" t="n">
        <f aca="false">MONTH(E8)</f>
        <v>6</v>
      </c>
      <c r="P8" s="8" t="n">
        <f aca="false">IF(AND(D8&gt;01_Inputs!$B$72,D8&lt;=01_Inputs!$B$73),1,0)</f>
        <v>0</v>
      </c>
      <c r="Q8" s="8" t="str">
        <f aca="false">IF(D8-D7=1,"연속","확인")</f>
        <v>연속</v>
      </c>
      <c r="R8" s="8" t="str">
        <f aca="false">IF(COUNTIF($D$6:$D$61,D8)&gt;1,"중복","-")</f>
        <v>-</v>
      </c>
      <c r="S8" s="15" t="n">
        <f aca="false">E8-E7</f>
        <v>7</v>
      </c>
      <c r="T8" s="8" t="str">
        <f aca="false">IF(MONTH(E8)&lt;&gt;MONTH(E7),"월 경계","")</f>
        <v>월 경계</v>
      </c>
      <c r="U8" s="15" t="n">
        <f aca="false">S8*24</f>
        <v>168</v>
      </c>
      <c r="V8" s="15" t="n">
        <f aca="false">MAX(0,(S8-1)*24)</f>
        <v>144</v>
      </c>
      <c r="W8" s="15" t="n">
        <f aca="false">(S8+1)*24</f>
        <v>192</v>
      </c>
      <c r="X8" s="15" t="str">
        <f aca="false">IF(ROW()-6&gt;=01_Inputs!$B$74,E8-INDEX($E$6:$E$61,ROW()-6+1-01_Inputs!$B$74),"")</f>
        <v/>
      </c>
      <c r="Y8" s="14" t="str">
        <f aca="false">IF(ISNUMBER(X8),(X8+1)*24/01_Inputs!$B$74,"")</f>
        <v/>
      </c>
      <c r="Z8" s="8" t="str">
        <f aca="false">IF(ISNUMBER(Y8),IF(Y8&lt;01_Inputs!$B$17,"확인 필요: 57 h 미만",""),"")</f>
        <v/>
      </c>
    </row>
    <row r="9" customFormat="false" ht="26.85" hidden="false" customHeight="false" outlineLevel="0" collapsed="false">
      <c r="A9" s="8" t="n">
        <v>4</v>
      </c>
      <c r="B9" s="8" t="s">
        <v>294</v>
      </c>
      <c r="C9" s="8" t="s">
        <v>295</v>
      </c>
      <c r="D9" s="3" t="n">
        <v>40</v>
      </c>
      <c r="E9" s="23" t="n">
        <v>46178</v>
      </c>
      <c r="F9" s="5"/>
      <c r="G9" s="5"/>
      <c r="H9" s="13" t="s">
        <v>296</v>
      </c>
      <c r="I9" s="34" t="s">
        <v>300</v>
      </c>
      <c r="J9" s="5"/>
      <c r="K9" s="3" t="s">
        <v>302</v>
      </c>
      <c r="L9" s="3" t="n">
        <v>5</v>
      </c>
      <c r="M9" s="23" t="n">
        <v>46178</v>
      </c>
      <c r="N9" s="13" t="str">
        <f aca="false">IF(AND(E9=M9,DAY(E9)=L9,K9=MONTH(E9)&amp;"/"&amp;DAY(E9)),"일치","차이 확인")</f>
        <v>일치</v>
      </c>
      <c r="O9" s="8" t="n">
        <f aca="false">MONTH(E9)</f>
        <v>6</v>
      </c>
      <c r="P9" s="8" t="n">
        <f aca="false">IF(AND(D9&gt;01_Inputs!$B$72,D9&lt;=01_Inputs!$B$73),1,0)</f>
        <v>1</v>
      </c>
      <c r="Q9" s="8" t="str">
        <f aca="false">IF(D9-D8=1,"연속","확인")</f>
        <v>연속</v>
      </c>
      <c r="R9" s="8" t="str">
        <f aca="false">IF(COUNTIF($D$6:$D$61,D9)&gt;1,"중복","-")</f>
        <v>-</v>
      </c>
      <c r="S9" s="15" t="n">
        <f aca="false">E9-E8</f>
        <v>3</v>
      </c>
      <c r="T9" s="8" t="str">
        <f aca="false">IF(MONTH(E9)&lt;&gt;MONTH(E8),"월 경계","")</f>
        <v/>
      </c>
      <c r="U9" s="15" t="n">
        <f aca="false">S9*24</f>
        <v>72</v>
      </c>
      <c r="V9" s="15" t="n">
        <f aca="false">MAX(0,(S9-1)*24)</f>
        <v>48</v>
      </c>
      <c r="W9" s="15" t="n">
        <f aca="false">(S9+1)*24</f>
        <v>96</v>
      </c>
      <c r="X9" s="15" t="str">
        <f aca="false">IF(ROW()-6&gt;=01_Inputs!$B$74,E9-INDEX($E$6:$E$61,ROW()-6+1-01_Inputs!$B$74),"")</f>
        <v/>
      </c>
      <c r="Y9" s="14" t="str">
        <f aca="false">IF(ISNUMBER(X9),(X9+1)*24/01_Inputs!$B$74,"")</f>
        <v/>
      </c>
      <c r="Z9" s="8" t="str">
        <f aca="false">IF(ISNUMBER(Y9),IF(Y9&lt;01_Inputs!$B$17,"확인 필요: 57 h 미만",""),"")</f>
        <v/>
      </c>
    </row>
    <row r="10" customFormat="false" ht="26.85" hidden="false" customHeight="false" outlineLevel="0" collapsed="false">
      <c r="A10" s="8" t="n">
        <v>5</v>
      </c>
      <c r="B10" s="8" t="s">
        <v>294</v>
      </c>
      <c r="C10" s="8" t="s">
        <v>295</v>
      </c>
      <c r="D10" s="3" t="n">
        <v>41</v>
      </c>
      <c r="E10" s="23" t="n">
        <v>46181</v>
      </c>
      <c r="F10" s="5"/>
      <c r="G10" s="5"/>
      <c r="H10" s="13" t="s">
        <v>296</v>
      </c>
      <c r="I10" s="34" t="s">
        <v>300</v>
      </c>
      <c r="J10" s="5"/>
      <c r="K10" s="3" t="s">
        <v>303</v>
      </c>
      <c r="L10" s="3" t="n">
        <v>8</v>
      </c>
      <c r="M10" s="23" t="n">
        <v>46181</v>
      </c>
      <c r="N10" s="13" t="str">
        <f aca="false">IF(AND(E10=M10,DAY(E10)=L10,K10=MONTH(E10)&amp;"/"&amp;DAY(E10)),"일치","차이 확인")</f>
        <v>일치</v>
      </c>
      <c r="O10" s="8" t="n">
        <f aca="false">MONTH(E10)</f>
        <v>6</v>
      </c>
      <c r="P10" s="8" t="n">
        <f aca="false">IF(AND(D10&gt;01_Inputs!$B$72,D10&lt;=01_Inputs!$B$73),1,0)</f>
        <v>1</v>
      </c>
      <c r="Q10" s="8" t="str">
        <f aca="false">IF(D10-D9=1,"연속","확인")</f>
        <v>연속</v>
      </c>
      <c r="R10" s="8" t="str">
        <f aca="false">IF(COUNTIF($D$6:$D$61,D10)&gt;1,"중복","-")</f>
        <v>-</v>
      </c>
      <c r="S10" s="15" t="n">
        <f aca="false">E10-E9</f>
        <v>3</v>
      </c>
      <c r="T10" s="8" t="str">
        <f aca="false">IF(MONTH(E10)&lt;&gt;MONTH(E9),"월 경계","")</f>
        <v/>
      </c>
      <c r="U10" s="15" t="n">
        <f aca="false">S10*24</f>
        <v>72</v>
      </c>
      <c r="V10" s="15" t="n">
        <f aca="false">MAX(0,(S10-1)*24)</f>
        <v>48</v>
      </c>
      <c r="W10" s="15" t="n">
        <f aca="false">(S10+1)*24</f>
        <v>96</v>
      </c>
      <c r="X10" s="15" t="n">
        <f aca="false">IF(ROW()-6&gt;=01_Inputs!$B$74,E10-INDEX($E$6:$E$61,ROW()-6+1-01_Inputs!$B$74),"")</f>
        <v>16</v>
      </c>
      <c r="Y10" s="14" t="n">
        <f aca="false">IF(ISNUMBER(X10),(X10+1)*24/01_Inputs!$B$74,"")</f>
        <v>102</v>
      </c>
      <c r="Z10" s="8" t="str">
        <f aca="false">IF(ISNUMBER(Y10),IF(Y10&lt;01_Inputs!$B$17,"확인 필요: 57 h 미만",""),"")</f>
        <v/>
      </c>
    </row>
    <row r="11" customFormat="false" ht="26.85" hidden="false" customHeight="false" outlineLevel="0" collapsed="false">
      <c r="A11" s="8" t="n">
        <v>6</v>
      </c>
      <c r="B11" s="8" t="s">
        <v>294</v>
      </c>
      <c r="C11" s="8" t="s">
        <v>295</v>
      </c>
      <c r="D11" s="3" t="n">
        <v>42</v>
      </c>
      <c r="E11" s="23" t="n">
        <v>46184</v>
      </c>
      <c r="F11" s="5"/>
      <c r="G11" s="5"/>
      <c r="H11" s="13" t="s">
        <v>296</v>
      </c>
      <c r="I11" s="34" t="s">
        <v>300</v>
      </c>
      <c r="J11" s="5"/>
      <c r="K11" s="3" t="s">
        <v>304</v>
      </c>
      <c r="L11" s="3" t="n">
        <v>11</v>
      </c>
      <c r="M11" s="23" t="n">
        <v>46184</v>
      </c>
      <c r="N11" s="13" t="str">
        <f aca="false">IF(AND(E11=M11,DAY(E11)=L11,K11=MONTH(E11)&amp;"/"&amp;DAY(E11)),"일치","차이 확인")</f>
        <v>일치</v>
      </c>
      <c r="O11" s="8" t="n">
        <f aca="false">MONTH(E11)</f>
        <v>6</v>
      </c>
      <c r="P11" s="8" t="n">
        <f aca="false">IF(AND(D11&gt;01_Inputs!$B$72,D11&lt;=01_Inputs!$B$73),1,0)</f>
        <v>1</v>
      </c>
      <c r="Q11" s="8" t="str">
        <f aca="false">IF(D11-D10=1,"연속","확인")</f>
        <v>연속</v>
      </c>
      <c r="R11" s="8" t="str">
        <f aca="false">IF(COUNTIF($D$6:$D$61,D11)&gt;1,"중복","-")</f>
        <v>-</v>
      </c>
      <c r="S11" s="15" t="n">
        <f aca="false">E11-E10</f>
        <v>3</v>
      </c>
      <c r="T11" s="8" t="str">
        <f aca="false">IF(MONTH(E11)&lt;&gt;MONTH(E10),"월 경계","")</f>
        <v/>
      </c>
      <c r="U11" s="15" t="n">
        <f aca="false">S11*24</f>
        <v>72</v>
      </c>
      <c r="V11" s="15" t="n">
        <f aca="false">MAX(0,(S11-1)*24)</f>
        <v>48</v>
      </c>
      <c r="W11" s="15" t="n">
        <f aca="false">(S11+1)*24</f>
        <v>96</v>
      </c>
      <c r="X11" s="15" t="n">
        <f aca="false">IF(ROW()-6&gt;=01_Inputs!$B$74,E11-INDEX($E$6:$E$61,ROW()-6+1-01_Inputs!$B$74),"")</f>
        <v>16</v>
      </c>
      <c r="Y11" s="14" t="n">
        <f aca="false">IF(ISNUMBER(X11),(X11+1)*24/01_Inputs!$B$74,"")</f>
        <v>102</v>
      </c>
      <c r="Z11" s="8" t="str">
        <f aca="false">IF(ISNUMBER(Y11),IF(Y11&lt;01_Inputs!$B$17,"확인 필요: 57 h 미만",""),"")</f>
        <v/>
      </c>
    </row>
    <row r="12" customFormat="false" ht="26.85" hidden="false" customHeight="false" outlineLevel="0" collapsed="false">
      <c r="A12" s="8" t="n">
        <v>7</v>
      </c>
      <c r="B12" s="8" t="s">
        <v>294</v>
      </c>
      <c r="C12" s="8" t="s">
        <v>295</v>
      </c>
      <c r="D12" s="3" t="n">
        <v>43</v>
      </c>
      <c r="E12" s="23" t="n">
        <v>46187</v>
      </c>
      <c r="F12" s="5"/>
      <c r="G12" s="5"/>
      <c r="H12" s="13" t="s">
        <v>296</v>
      </c>
      <c r="I12" s="34" t="s">
        <v>300</v>
      </c>
      <c r="J12" s="5"/>
      <c r="K12" s="3" t="s">
        <v>305</v>
      </c>
      <c r="L12" s="3" t="n">
        <v>14</v>
      </c>
      <c r="M12" s="23" t="n">
        <v>46187</v>
      </c>
      <c r="N12" s="13" t="str">
        <f aca="false">IF(AND(E12=M12,DAY(E12)=L12,K12=MONTH(E12)&amp;"/"&amp;DAY(E12)),"일치","차이 확인")</f>
        <v>일치</v>
      </c>
      <c r="O12" s="8" t="n">
        <f aca="false">MONTH(E12)</f>
        <v>6</v>
      </c>
      <c r="P12" s="8" t="n">
        <f aca="false">IF(AND(D12&gt;01_Inputs!$B$72,D12&lt;=01_Inputs!$B$73),1,0)</f>
        <v>1</v>
      </c>
      <c r="Q12" s="8" t="str">
        <f aca="false">IF(D12-D11=1,"연속","확인")</f>
        <v>연속</v>
      </c>
      <c r="R12" s="8" t="str">
        <f aca="false">IF(COUNTIF($D$6:$D$61,D12)&gt;1,"중복","-")</f>
        <v>-</v>
      </c>
      <c r="S12" s="15" t="n">
        <f aca="false">E12-E11</f>
        <v>3</v>
      </c>
      <c r="T12" s="8" t="str">
        <f aca="false">IF(MONTH(E12)&lt;&gt;MONTH(E11),"월 경계","")</f>
        <v/>
      </c>
      <c r="U12" s="15" t="n">
        <f aca="false">S12*24</f>
        <v>72</v>
      </c>
      <c r="V12" s="15" t="n">
        <f aca="false">MAX(0,(S12-1)*24)</f>
        <v>48</v>
      </c>
      <c r="W12" s="15" t="n">
        <f aca="false">(S12+1)*24</f>
        <v>96</v>
      </c>
      <c r="X12" s="15" t="n">
        <f aca="false">IF(ROW()-6&gt;=01_Inputs!$B$74,E12-INDEX($E$6:$E$61,ROW()-6+1-01_Inputs!$B$74),"")</f>
        <v>12</v>
      </c>
      <c r="Y12" s="14" t="n">
        <f aca="false">IF(ISNUMBER(X12),(X12+1)*24/01_Inputs!$B$74,"")</f>
        <v>78</v>
      </c>
      <c r="Z12" s="8" t="str">
        <f aca="false">IF(ISNUMBER(Y12),IF(Y12&lt;01_Inputs!$B$17,"확인 필요: 57 h 미만",""),"")</f>
        <v/>
      </c>
    </row>
    <row r="13" customFormat="false" ht="26.85" hidden="false" customHeight="false" outlineLevel="0" collapsed="false">
      <c r="A13" s="8" t="n">
        <v>8</v>
      </c>
      <c r="B13" s="8" t="s">
        <v>294</v>
      </c>
      <c r="C13" s="8" t="s">
        <v>295</v>
      </c>
      <c r="D13" s="3" t="n">
        <v>44</v>
      </c>
      <c r="E13" s="23" t="n">
        <v>46190</v>
      </c>
      <c r="F13" s="5"/>
      <c r="G13" s="5"/>
      <c r="H13" s="13" t="s">
        <v>296</v>
      </c>
      <c r="I13" s="34" t="s">
        <v>300</v>
      </c>
      <c r="J13" s="5"/>
      <c r="K13" s="3" t="s">
        <v>306</v>
      </c>
      <c r="L13" s="3" t="n">
        <v>17</v>
      </c>
      <c r="M13" s="23" t="n">
        <v>46190</v>
      </c>
      <c r="N13" s="13" t="str">
        <f aca="false">IF(AND(E13=M13,DAY(E13)=L13,K13=MONTH(E13)&amp;"/"&amp;DAY(E13)),"일치","차이 확인")</f>
        <v>일치</v>
      </c>
      <c r="O13" s="8" t="n">
        <f aca="false">MONTH(E13)</f>
        <v>6</v>
      </c>
      <c r="P13" s="8" t="n">
        <f aca="false">IF(AND(D13&gt;01_Inputs!$B$72,D13&lt;=01_Inputs!$B$73),1,0)</f>
        <v>1</v>
      </c>
      <c r="Q13" s="8" t="str">
        <f aca="false">IF(D13-D12=1,"연속","확인")</f>
        <v>연속</v>
      </c>
      <c r="R13" s="8" t="str">
        <f aca="false">IF(COUNTIF($D$6:$D$61,D13)&gt;1,"중복","-")</f>
        <v>-</v>
      </c>
      <c r="S13" s="15" t="n">
        <f aca="false">E13-E12</f>
        <v>3</v>
      </c>
      <c r="T13" s="8" t="str">
        <f aca="false">IF(MONTH(E13)&lt;&gt;MONTH(E12),"월 경계","")</f>
        <v/>
      </c>
      <c r="U13" s="15" t="n">
        <f aca="false">S13*24</f>
        <v>72</v>
      </c>
      <c r="V13" s="15" t="n">
        <f aca="false">MAX(0,(S13-1)*24)</f>
        <v>48</v>
      </c>
      <c r="W13" s="15" t="n">
        <f aca="false">(S13+1)*24</f>
        <v>96</v>
      </c>
      <c r="X13" s="15" t="n">
        <f aca="false">IF(ROW()-6&gt;=01_Inputs!$B$74,E13-INDEX($E$6:$E$61,ROW()-6+1-01_Inputs!$B$74),"")</f>
        <v>12</v>
      </c>
      <c r="Y13" s="14" t="n">
        <f aca="false">IF(ISNUMBER(X13),(X13+1)*24/01_Inputs!$B$74,"")</f>
        <v>78</v>
      </c>
      <c r="Z13" s="8" t="str">
        <f aca="false">IF(ISNUMBER(Y13),IF(Y13&lt;01_Inputs!$B$17,"확인 필요: 57 h 미만",""),"")</f>
        <v/>
      </c>
    </row>
    <row r="14" customFormat="false" ht="26.85" hidden="false" customHeight="false" outlineLevel="0" collapsed="false">
      <c r="A14" s="8" t="n">
        <v>9</v>
      </c>
      <c r="B14" s="8" t="s">
        <v>294</v>
      </c>
      <c r="C14" s="8" t="s">
        <v>295</v>
      </c>
      <c r="D14" s="3" t="n">
        <v>45</v>
      </c>
      <c r="E14" s="23" t="n">
        <v>46193</v>
      </c>
      <c r="F14" s="5"/>
      <c r="G14" s="5"/>
      <c r="H14" s="13" t="s">
        <v>296</v>
      </c>
      <c r="I14" s="34" t="s">
        <v>300</v>
      </c>
      <c r="J14" s="5"/>
      <c r="K14" s="3" t="s">
        <v>307</v>
      </c>
      <c r="L14" s="3" t="n">
        <v>20</v>
      </c>
      <c r="M14" s="23" t="n">
        <v>46193</v>
      </c>
      <c r="N14" s="13" t="str">
        <f aca="false">IF(AND(E14=M14,DAY(E14)=L14,K14=MONTH(E14)&amp;"/"&amp;DAY(E14)),"일치","차이 확인")</f>
        <v>일치</v>
      </c>
      <c r="O14" s="8" t="n">
        <f aca="false">MONTH(E14)</f>
        <v>6</v>
      </c>
      <c r="P14" s="8" t="n">
        <f aca="false">IF(AND(D14&gt;01_Inputs!$B$72,D14&lt;=01_Inputs!$B$73),1,0)</f>
        <v>1</v>
      </c>
      <c r="Q14" s="8" t="str">
        <f aca="false">IF(D14-D13=1,"연속","확인")</f>
        <v>연속</v>
      </c>
      <c r="R14" s="8" t="str">
        <f aca="false">IF(COUNTIF($D$6:$D$61,D14)&gt;1,"중복","-")</f>
        <v>-</v>
      </c>
      <c r="S14" s="15" t="n">
        <f aca="false">E14-E13</f>
        <v>3</v>
      </c>
      <c r="T14" s="8" t="str">
        <f aca="false">IF(MONTH(E14)&lt;&gt;MONTH(E13),"월 경계","")</f>
        <v/>
      </c>
      <c r="U14" s="15" t="n">
        <f aca="false">S14*24</f>
        <v>72</v>
      </c>
      <c r="V14" s="15" t="n">
        <f aca="false">MAX(0,(S14-1)*24)</f>
        <v>48</v>
      </c>
      <c r="W14" s="15" t="n">
        <f aca="false">(S14+1)*24</f>
        <v>96</v>
      </c>
      <c r="X14" s="15" t="n">
        <f aca="false">IF(ROW()-6&gt;=01_Inputs!$B$74,E14-INDEX($E$6:$E$61,ROW()-6+1-01_Inputs!$B$74),"")</f>
        <v>12</v>
      </c>
      <c r="Y14" s="14" t="n">
        <f aca="false">IF(ISNUMBER(X14),(X14+1)*24/01_Inputs!$B$74,"")</f>
        <v>78</v>
      </c>
      <c r="Z14" s="8" t="str">
        <f aca="false">IF(ISNUMBER(Y14),IF(Y14&lt;01_Inputs!$B$17,"확인 필요: 57 h 미만",""),"")</f>
        <v/>
      </c>
    </row>
    <row r="15" customFormat="false" ht="26.85" hidden="false" customHeight="false" outlineLevel="0" collapsed="false">
      <c r="A15" s="8" t="n">
        <v>10</v>
      </c>
      <c r="B15" s="8" t="s">
        <v>294</v>
      </c>
      <c r="C15" s="8" t="s">
        <v>295</v>
      </c>
      <c r="D15" s="3" t="n">
        <v>46</v>
      </c>
      <c r="E15" s="23" t="n">
        <v>46196</v>
      </c>
      <c r="F15" s="5"/>
      <c r="G15" s="5"/>
      <c r="H15" s="13" t="s">
        <v>296</v>
      </c>
      <c r="I15" s="34" t="s">
        <v>300</v>
      </c>
      <c r="J15" s="5"/>
      <c r="K15" s="3" t="s">
        <v>308</v>
      </c>
      <c r="L15" s="3" t="n">
        <v>23</v>
      </c>
      <c r="M15" s="23" t="n">
        <v>46196</v>
      </c>
      <c r="N15" s="13" t="str">
        <f aca="false">IF(AND(E15=M15,DAY(E15)=L15,K15=MONTH(E15)&amp;"/"&amp;DAY(E15)),"일치","차이 확인")</f>
        <v>일치</v>
      </c>
      <c r="O15" s="8" t="n">
        <f aca="false">MONTH(E15)</f>
        <v>6</v>
      </c>
      <c r="P15" s="8" t="n">
        <f aca="false">IF(AND(D15&gt;01_Inputs!$B$72,D15&lt;=01_Inputs!$B$73),1,0)</f>
        <v>1</v>
      </c>
      <c r="Q15" s="8" t="str">
        <f aca="false">IF(D15-D14=1,"연속","확인")</f>
        <v>연속</v>
      </c>
      <c r="R15" s="8" t="str">
        <f aca="false">IF(COUNTIF($D$6:$D$61,D15)&gt;1,"중복","-")</f>
        <v>-</v>
      </c>
      <c r="S15" s="15" t="n">
        <f aca="false">E15-E14</f>
        <v>3</v>
      </c>
      <c r="T15" s="8" t="str">
        <f aca="false">IF(MONTH(E15)&lt;&gt;MONTH(E14),"월 경계","")</f>
        <v/>
      </c>
      <c r="U15" s="15" t="n">
        <f aca="false">S15*24</f>
        <v>72</v>
      </c>
      <c r="V15" s="15" t="n">
        <f aca="false">MAX(0,(S15-1)*24)</f>
        <v>48</v>
      </c>
      <c r="W15" s="15" t="n">
        <f aca="false">(S15+1)*24</f>
        <v>96</v>
      </c>
      <c r="X15" s="15" t="n">
        <f aca="false">IF(ROW()-6&gt;=01_Inputs!$B$74,E15-INDEX($E$6:$E$61,ROW()-6+1-01_Inputs!$B$74),"")</f>
        <v>12</v>
      </c>
      <c r="Y15" s="14" t="n">
        <f aca="false">IF(ISNUMBER(X15),(X15+1)*24/01_Inputs!$B$74,"")</f>
        <v>78</v>
      </c>
      <c r="Z15" s="8" t="str">
        <f aca="false">IF(ISNUMBER(Y15),IF(Y15&lt;01_Inputs!$B$17,"확인 필요: 57 h 미만",""),"")</f>
        <v/>
      </c>
    </row>
    <row r="16" customFormat="false" ht="26.85" hidden="false" customHeight="false" outlineLevel="0" collapsed="false">
      <c r="A16" s="8" t="n">
        <v>11</v>
      </c>
      <c r="B16" s="8" t="s">
        <v>294</v>
      </c>
      <c r="C16" s="8" t="s">
        <v>295</v>
      </c>
      <c r="D16" s="3" t="n">
        <v>47</v>
      </c>
      <c r="E16" s="23" t="n">
        <v>46198</v>
      </c>
      <c r="F16" s="5"/>
      <c r="G16" s="5"/>
      <c r="H16" s="13" t="s">
        <v>296</v>
      </c>
      <c r="I16" s="34" t="s">
        <v>300</v>
      </c>
      <c r="J16" s="5"/>
      <c r="K16" s="3" t="s">
        <v>309</v>
      </c>
      <c r="L16" s="3" t="n">
        <v>25</v>
      </c>
      <c r="M16" s="23" t="n">
        <v>46198</v>
      </c>
      <c r="N16" s="13" t="str">
        <f aca="false">IF(AND(E16=M16,DAY(E16)=L16,K16=MONTH(E16)&amp;"/"&amp;DAY(E16)),"일치","차이 확인")</f>
        <v>일치</v>
      </c>
      <c r="O16" s="8" t="n">
        <f aca="false">MONTH(E16)</f>
        <v>6</v>
      </c>
      <c r="P16" s="8" t="n">
        <f aca="false">IF(AND(D16&gt;01_Inputs!$B$72,D16&lt;=01_Inputs!$B$73),1,0)</f>
        <v>1</v>
      </c>
      <c r="Q16" s="8" t="str">
        <f aca="false">IF(D16-D15=1,"연속","확인")</f>
        <v>연속</v>
      </c>
      <c r="R16" s="8" t="str">
        <f aca="false">IF(COUNTIF($D$6:$D$61,D16)&gt;1,"중복","-")</f>
        <v>-</v>
      </c>
      <c r="S16" s="15" t="n">
        <f aca="false">E16-E15</f>
        <v>2</v>
      </c>
      <c r="T16" s="8" t="str">
        <f aca="false">IF(MONTH(E16)&lt;&gt;MONTH(E15),"월 경계","")</f>
        <v/>
      </c>
      <c r="U16" s="15" t="n">
        <f aca="false">S16*24</f>
        <v>48</v>
      </c>
      <c r="V16" s="15" t="n">
        <f aca="false">MAX(0,(S16-1)*24)</f>
        <v>24</v>
      </c>
      <c r="W16" s="15" t="n">
        <f aca="false">(S16+1)*24</f>
        <v>72</v>
      </c>
      <c r="X16" s="15" t="n">
        <f aca="false">IF(ROW()-6&gt;=01_Inputs!$B$74,E16-INDEX($E$6:$E$61,ROW()-6+1-01_Inputs!$B$74),"")</f>
        <v>11</v>
      </c>
      <c r="Y16" s="14" t="n">
        <f aca="false">IF(ISNUMBER(X16),(X16+1)*24/01_Inputs!$B$74,"")</f>
        <v>72</v>
      </c>
      <c r="Z16" s="8" t="str">
        <f aca="false">IF(ISNUMBER(Y16),IF(Y16&lt;01_Inputs!$B$17,"확인 필요: 57 h 미만",""),"")</f>
        <v/>
      </c>
    </row>
    <row r="17" customFormat="false" ht="26.85" hidden="false" customHeight="false" outlineLevel="0" collapsed="false">
      <c r="A17" s="8" t="n">
        <v>12</v>
      </c>
      <c r="B17" s="8" t="s">
        <v>294</v>
      </c>
      <c r="C17" s="8" t="s">
        <v>295</v>
      </c>
      <c r="D17" s="3" t="n">
        <v>48</v>
      </c>
      <c r="E17" s="23" t="n">
        <v>46200</v>
      </c>
      <c r="F17" s="5"/>
      <c r="G17" s="5"/>
      <c r="H17" s="13" t="s">
        <v>296</v>
      </c>
      <c r="I17" s="34" t="s">
        <v>300</v>
      </c>
      <c r="J17" s="5"/>
      <c r="K17" s="3" t="s">
        <v>310</v>
      </c>
      <c r="L17" s="3" t="n">
        <v>27</v>
      </c>
      <c r="M17" s="23" t="n">
        <v>46200</v>
      </c>
      <c r="N17" s="13" t="str">
        <f aca="false">IF(AND(E17=M17,DAY(E17)=L17,K17=MONTH(E17)&amp;"/"&amp;DAY(E17)),"일치","차이 확인")</f>
        <v>일치</v>
      </c>
      <c r="O17" s="8" t="n">
        <f aca="false">MONTH(E17)</f>
        <v>6</v>
      </c>
      <c r="P17" s="8" t="n">
        <f aca="false">IF(AND(D17&gt;01_Inputs!$B$72,D17&lt;=01_Inputs!$B$73),1,0)</f>
        <v>1</v>
      </c>
      <c r="Q17" s="8" t="str">
        <f aca="false">IF(D17-D16=1,"연속","확인")</f>
        <v>연속</v>
      </c>
      <c r="R17" s="8" t="str">
        <f aca="false">IF(COUNTIF($D$6:$D$61,D17)&gt;1,"중복","-")</f>
        <v>-</v>
      </c>
      <c r="S17" s="15" t="n">
        <f aca="false">E17-E16</f>
        <v>2</v>
      </c>
      <c r="T17" s="8" t="str">
        <f aca="false">IF(MONTH(E17)&lt;&gt;MONTH(E16),"월 경계","")</f>
        <v/>
      </c>
      <c r="U17" s="15" t="n">
        <f aca="false">S17*24</f>
        <v>48</v>
      </c>
      <c r="V17" s="15" t="n">
        <f aca="false">MAX(0,(S17-1)*24)</f>
        <v>24</v>
      </c>
      <c r="W17" s="15" t="n">
        <f aca="false">(S17+1)*24</f>
        <v>72</v>
      </c>
      <c r="X17" s="15" t="n">
        <f aca="false">IF(ROW()-6&gt;=01_Inputs!$B$74,E17-INDEX($E$6:$E$61,ROW()-6+1-01_Inputs!$B$74),"")</f>
        <v>10</v>
      </c>
      <c r="Y17" s="14" t="n">
        <f aca="false">IF(ISNUMBER(X17),(X17+1)*24/01_Inputs!$B$74,"")</f>
        <v>66</v>
      </c>
      <c r="Z17" s="8" t="str">
        <f aca="false">IF(ISNUMBER(Y17),IF(Y17&lt;01_Inputs!$B$17,"확인 필요: 57 h 미만",""),"")</f>
        <v/>
      </c>
    </row>
    <row r="18" customFormat="false" ht="26.85" hidden="false" customHeight="false" outlineLevel="0" collapsed="false">
      <c r="A18" s="8" t="n">
        <v>13</v>
      </c>
      <c r="B18" s="8" t="s">
        <v>294</v>
      </c>
      <c r="C18" s="8" t="s">
        <v>295</v>
      </c>
      <c r="D18" s="3" t="n">
        <v>49</v>
      </c>
      <c r="E18" s="23" t="n">
        <v>46201</v>
      </c>
      <c r="F18" s="5"/>
      <c r="G18" s="5"/>
      <c r="H18" s="13" t="s">
        <v>296</v>
      </c>
      <c r="I18" s="34" t="s">
        <v>300</v>
      </c>
      <c r="J18" s="5"/>
      <c r="K18" s="3" t="s">
        <v>311</v>
      </c>
      <c r="L18" s="3" t="n">
        <v>28</v>
      </c>
      <c r="M18" s="23" t="n">
        <v>46201</v>
      </c>
      <c r="N18" s="13" t="str">
        <f aca="false">IF(AND(E18=M18,DAY(E18)=L18,K18=MONTH(E18)&amp;"/"&amp;DAY(E18)),"일치","차이 확인")</f>
        <v>일치</v>
      </c>
      <c r="O18" s="8" t="n">
        <f aca="false">MONTH(E18)</f>
        <v>6</v>
      </c>
      <c r="P18" s="8" t="n">
        <f aca="false">IF(AND(D18&gt;01_Inputs!$B$72,D18&lt;=01_Inputs!$B$73),1,0)</f>
        <v>1</v>
      </c>
      <c r="Q18" s="8" t="str">
        <f aca="false">IF(D18-D17=1,"연속","확인")</f>
        <v>연속</v>
      </c>
      <c r="R18" s="8" t="str">
        <f aca="false">IF(COUNTIF($D$6:$D$61,D18)&gt;1,"중복","-")</f>
        <v>-</v>
      </c>
      <c r="S18" s="15" t="n">
        <f aca="false">E18-E17</f>
        <v>1</v>
      </c>
      <c r="T18" s="8" t="str">
        <f aca="false">IF(MONTH(E18)&lt;&gt;MONTH(E17),"월 경계","")</f>
        <v/>
      </c>
      <c r="U18" s="15" t="n">
        <f aca="false">S18*24</f>
        <v>24</v>
      </c>
      <c r="V18" s="15" t="n">
        <f aca="false">MAX(0,(S18-1)*24)</f>
        <v>0</v>
      </c>
      <c r="W18" s="15" t="n">
        <f aca="false">(S18+1)*24</f>
        <v>48</v>
      </c>
      <c r="X18" s="15" t="n">
        <f aca="false">IF(ROW()-6&gt;=01_Inputs!$B$74,E18-INDEX($E$6:$E$61,ROW()-6+1-01_Inputs!$B$74),"")</f>
        <v>8</v>
      </c>
      <c r="Y18" s="14" t="n">
        <f aca="false">IF(ISNUMBER(X18),(X18+1)*24/01_Inputs!$B$74,"")</f>
        <v>54</v>
      </c>
      <c r="Z18" s="8" t="str">
        <f aca="false">IF(ISNUMBER(Y18),IF(Y18&lt;01_Inputs!$B$17,"확인 필요: 57 h 미만",""),"")</f>
        <v>확인 필요: 57 h 미만</v>
      </c>
    </row>
    <row r="19" customFormat="false" ht="26.85" hidden="false" customHeight="false" outlineLevel="0" collapsed="false">
      <c r="A19" s="8" t="n">
        <v>14</v>
      </c>
      <c r="B19" s="8" t="s">
        <v>294</v>
      </c>
      <c r="C19" s="8" t="s">
        <v>295</v>
      </c>
      <c r="D19" s="3" t="n">
        <v>50</v>
      </c>
      <c r="E19" s="23" t="n">
        <v>46204</v>
      </c>
      <c r="F19" s="5"/>
      <c r="G19" s="5"/>
      <c r="H19" s="13" t="s">
        <v>296</v>
      </c>
      <c r="I19" s="34" t="s">
        <v>300</v>
      </c>
      <c r="J19" s="5"/>
      <c r="K19" s="3" t="s">
        <v>312</v>
      </c>
      <c r="L19" s="3" t="n">
        <v>1</v>
      </c>
      <c r="M19" s="23" t="n">
        <v>46204</v>
      </c>
      <c r="N19" s="13" t="str">
        <f aca="false">IF(AND(E19=M19,DAY(E19)=L19,K19=MONTH(E19)&amp;"/"&amp;DAY(E19)),"일치","차이 확인")</f>
        <v>일치</v>
      </c>
      <c r="O19" s="8" t="n">
        <f aca="false">MONTH(E19)</f>
        <v>7</v>
      </c>
      <c r="P19" s="8" t="n">
        <f aca="false">IF(AND(D19&gt;01_Inputs!$B$72,D19&lt;=01_Inputs!$B$73),1,0)</f>
        <v>1</v>
      </c>
      <c r="Q19" s="8" t="str">
        <f aca="false">IF(D19-D18=1,"연속","확인")</f>
        <v>연속</v>
      </c>
      <c r="R19" s="8" t="str">
        <f aca="false">IF(COUNTIF($D$6:$D$61,D19)&gt;1,"중복","-")</f>
        <v>-</v>
      </c>
      <c r="S19" s="15" t="n">
        <f aca="false">E19-E18</f>
        <v>3</v>
      </c>
      <c r="T19" s="8" t="str">
        <f aca="false">IF(MONTH(E19)&lt;&gt;MONTH(E18),"월 경계","")</f>
        <v>월 경계</v>
      </c>
      <c r="U19" s="15" t="n">
        <f aca="false">S19*24</f>
        <v>72</v>
      </c>
      <c r="V19" s="15" t="n">
        <f aca="false">MAX(0,(S19-1)*24)</f>
        <v>48</v>
      </c>
      <c r="W19" s="15" t="n">
        <f aca="false">(S19+1)*24</f>
        <v>96</v>
      </c>
      <c r="X19" s="15" t="n">
        <f aca="false">IF(ROW()-6&gt;=01_Inputs!$B$74,E19-INDEX($E$6:$E$61,ROW()-6+1-01_Inputs!$B$74),"")</f>
        <v>8</v>
      </c>
      <c r="Y19" s="14" t="n">
        <f aca="false">IF(ISNUMBER(X19),(X19+1)*24/01_Inputs!$B$74,"")</f>
        <v>54</v>
      </c>
      <c r="Z19" s="8" t="str">
        <f aca="false">IF(ISNUMBER(Y19),IF(Y19&lt;01_Inputs!$B$17,"확인 필요: 57 h 미만",""),"")</f>
        <v>확인 필요: 57 h 미만</v>
      </c>
    </row>
    <row r="20" customFormat="false" ht="26.85" hidden="false" customHeight="false" outlineLevel="0" collapsed="false">
      <c r="A20" s="8" t="n">
        <v>15</v>
      </c>
      <c r="B20" s="8" t="s">
        <v>294</v>
      </c>
      <c r="C20" s="8" t="s">
        <v>295</v>
      </c>
      <c r="D20" s="3" t="n">
        <v>51</v>
      </c>
      <c r="E20" s="23" t="n">
        <v>46206</v>
      </c>
      <c r="F20" s="5"/>
      <c r="G20" s="5"/>
      <c r="H20" s="13" t="s">
        <v>296</v>
      </c>
      <c r="I20" s="34" t="s">
        <v>300</v>
      </c>
      <c r="J20" s="5"/>
      <c r="K20" s="3" t="s">
        <v>313</v>
      </c>
      <c r="L20" s="3" t="n">
        <v>3</v>
      </c>
      <c r="M20" s="23" t="n">
        <v>46206</v>
      </c>
      <c r="N20" s="13" t="str">
        <f aca="false">IF(AND(E20=M20,DAY(E20)=L20,K20=MONTH(E20)&amp;"/"&amp;DAY(E20)),"일치","차이 확인")</f>
        <v>일치</v>
      </c>
      <c r="O20" s="8" t="n">
        <f aca="false">MONTH(E20)</f>
        <v>7</v>
      </c>
      <c r="P20" s="8" t="n">
        <f aca="false">IF(AND(D20&gt;01_Inputs!$B$72,D20&lt;=01_Inputs!$B$73),1,0)</f>
        <v>1</v>
      </c>
      <c r="Q20" s="8" t="str">
        <f aca="false">IF(D20-D19=1,"연속","확인")</f>
        <v>연속</v>
      </c>
      <c r="R20" s="8" t="str">
        <f aca="false">IF(COUNTIF($D$6:$D$61,D20)&gt;1,"중복","-")</f>
        <v>-</v>
      </c>
      <c r="S20" s="15" t="n">
        <f aca="false">E20-E19</f>
        <v>2</v>
      </c>
      <c r="T20" s="8" t="str">
        <f aca="false">IF(MONTH(E20)&lt;&gt;MONTH(E19),"월 경계","")</f>
        <v/>
      </c>
      <c r="U20" s="15" t="n">
        <f aca="false">S20*24</f>
        <v>48</v>
      </c>
      <c r="V20" s="15" t="n">
        <f aca="false">MAX(0,(S20-1)*24)</f>
        <v>24</v>
      </c>
      <c r="W20" s="15" t="n">
        <f aca="false">(S20+1)*24</f>
        <v>72</v>
      </c>
      <c r="X20" s="15" t="n">
        <f aca="false">IF(ROW()-6&gt;=01_Inputs!$B$74,E20-INDEX($E$6:$E$61,ROW()-6+1-01_Inputs!$B$74),"")</f>
        <v>8</v>
      </c>
      <c r="Y20" s="14" t="n">
        <f aca="false">IF(ISNUMBER(X20),(X20+1)*24/01_Inputs!$B$74,"")</f>
        <v>54</v>
      </c>
      <c r="Z20" s="8" t="str">
        <f aca="false">IF(ISNUMBER(Y20),IF(Y20&lt;01_Inputs!$B$17,"확인 필요: 57 h 미만",""),"")</f>
        <v>확인 필요: 57 h 미만</v>
      </c>
    </row>
    <row r="21" customFormat="false" ht="26.85" hidden="false" customHeight="false" outlineLevel="0" collapsed="false">
      <c r="A21" s="8" t="n">
        <v>16</v>
      </c>
      <c r="B21" s="8" t="s">
        <v>294</v>
      </c>
      <c r="C21" s="8" t="s">
        <v>295</v>
      </c>
      <c r="D21" s="3" t="n">
        <v>52</v>
      </c>
      <c r="E21" s="23" t="n">
        <v>46209</v>
      </c>
      <c r="F21" s="5"/>
      <c r="G21" s="5"/>
      <c r="H21" s="13" t="s">
        <v>296</v>
      </c>
      <c r="I21" s="34" t="s">
        <v>300</v>
      </c>
      <c r="J21" s="5"/>
      <c r="K21" s="3" t="s">
        <v>314</v>
      </c>
      <c r="L21" s="3" t="n">
        <v>6</v>
      </c>
      <c r="M21" s="23" t="n">
        <v>46209</v>
      </c>
      <c r="N21" s="13" t="str">
        <f aca="false">IF(AND(E21=M21,DAY(E21)=L21,K21=MONTH(E21)&amp;"/"&amp;DAY(E21)),"일치","차이 확인")</f>
        <v>일치</v>
      </c>
      <c r="O21" s="8" t="n">
        <f aca="false">MONTH(E21)</f>
        <v>7</v>
      </c>
      <c r="P21" s="8" t="n">
        <f aca="false">IF(AND(D21&gt;01_Inputs!$B$72,D21&lt;=01_Inputs!$B$73),1,0)</f>
        <v>1</v>
      </c>
      <c r="Q21" s="8" t="str">
        <f aca="false">IF(D21-D20=1,"연속","확인")</f>
        <v>연속</v>
      </c>
      <c r="R21" s="8" t="str">
        <f aca="false">IF(COUNTIF($D$6:$D$61,D21)&gt;1,"중복","-")</f>
        <v>-</v>
      </c>
      <c r="S21" s="15" t="n">
        <f aca="false">E21-E20</f>
        <v>3</v>
      </c>
      <c r="T21" s="8" t="str">
        <f aca="false">IF(MONTH(E21)&lt;&gt;MONTH(E20),"월 경계","")</f>
        <v/>
      </c>
      <c r="U21" s="15" t="n">
        <f aca="false">S21*24</f>
        <v>72</v>
      </c>
      <c r="V21" s="15" t="n">
        <f aca="false">MAX(0,(S21-1)*24)</f>
        <v>48</v>
      </c>
      <c r="W21" s="15" t="n">
        <f aca="false">(S21+1)*24</f>
        <v>96</v>
      </c>
      <c r="X21" s="15" t="n">
        <f aca="false">IF(ROW()-6&gt;=01_Inputs!$B$74,E21-INDEX($E$6:$E$61,ROW()-6+1-01_Inputs!$B$74),"")</f>
        <v>9</v>
      </c>
      <c r="Y21" s="14" t="n">
        <f aca="false">IF(ISNUMBER(X21),(X21+1)*24/01_Inputs!$B$74,"")</f>
        <v>60</v>
      </c>
      <c r="Z21" s="8" t="str">
        <f aca="false">IF(ISNUMBER(Y21),IF(Y21&lt;01_Inputs!$B$17,"확인 필요: 57 h 미만",""),"")</f>
        <v/>
      </c>
    </row>
    <row r="22" customFormat="false" ht="26.85" hidden="false" customHeight="false" outlineLevel="0" collapsed="false">
      <c r="A22" s="8" t="n">
        <v>17</v>
      </c>
      <c r="B22" s="8" t="s">
        <v>294</v>
      </c>
      <c r="C22" s="8" t="s">
        <v>295</v>
      </c>
      <c r="D22" s="3" t="n">
        <v>53</v>
      </c>
      <c r="E22" s="23" t="n">
        <v>46211</v>
      </c>
      <c r="F22" s="5"/>
      <c r="G22" s="5"/>
      <c r="H22" s="13" t="s">
        <v>296</v>
      </c>
      <c r="I22" s="34" t="s">
        <v>300</v>
      </c>
      <c r="J22" s="5"/>
      <c r="K22" s="3" t="s">
        <v>315</v>
      </c>
      <c r="L22" s="3" t="n">
        <v>8</v>
      </c>
      <c r="M22" s="23" t="n">
        <v>46211</v>
      </c>
      <c r="N22" s="13" t="str">
        <f aca="false">IF(AND(E22=M22,DAY(E22)=L22,K22=MONTH(E22)&amp;"/"&amp;DAY(E22)),"일치","차이 확인")</f>
        <v>일치</v>
      </c>
      <c r="O22" s="8" t="n">
        <f aca="false">MONTH(E22)</f>
        <v>7</v>
      </c>
      <c r="P22" s="8" t="n">
        <f aca="false">IF(AND(D22&gt;01_Inputs!$B$72,D22&lt;=01_Inputs!$B$73),1,0)</f>
        <v>1</v>
      </c>
      <c r="Q22" s="8" t="str">
        <f aca="false">IF(D22-D21=1,"연속","확인")</f>
        <v>연속</v>
      </c>
      <c r="R22" s="8" t="str">
        <f aca="false">IF(COUNTIF($D$6:$D$61,D22)&gt;1,"중복","-")</f>
        <v>-</v>
      </c>
      <c r="S22" s="15" t="n">
        <f aca="false">E22-E21</f>
        <v>2</v>
      </c>
      <c r="T22" s="8" t="str">
        <f aca="false">IF(MONTH(E22)&lt;&gt;MONTH(E21),"월 경계","")</f>
        <v/>
      </c>
      <c r="U22" s="15" t="n">
        <f aca="false">S22*24</f>
        <v>48</v>
      </c>
      <c r="V22" s="15" t="n">
        <f aca="false">MAX(0,(S22-1)*24)</f>
        <v>24</v>
      </c>
      <c r="W22" s="15" t="n">
        <f aca="false">(S22+1)*24</f>
        <v>72</v>
      </c>
      <c r="X22" s="15" t="n">
        <f aca="false">IF(ROW()-6&gt;=01_Inputs!$B$74,E22-INDEX($E$6:$E$61,ROW()-6+1-01_Inputs!$B$74),"")</f>
        <v>10</v>
      </c>
      <c r="Y22" s="14" t="n">
        <f aca="false">IF(ISNUMBER(X22),(X22+1)*24/01_Inputs!$B$74,"")</f>
        <v>66</v>
      </c>
      <c r="Z22" s="8" t="str">
        <f aca="false">IF(ISNUMBER(Y22),IF(Y22&lt;01_Inputs!$B$17,"확인 필요: 57 h 미만",""),"")</f>
        <v/>
      </c>
    </row>
    <row r="23" customFormat="false" ht="26.85" hidden="false" customHeight="false" outlineLevel="0" collapsed="false">
      <c r="A23" s="8" t="n">
        <v>18</v>
      </c>
      <c r="B23" s="8" t="s">
        <v>294</v>
      </c>
      <c r="C23" s="8" t="s">
        <v>295</v>
      </c>
      <c r="D23" s="3" t="n">
        <v>54</v>
      </c>
      <c r="E23" s="23" t="n">
        <v>46214</v>
      </c>
      <c r="F23" s="5"/>
      <c r="G23" s="5"/>
      <c r="H23" s="13" t="s">
        <v>296</v>
      </c>
      <c r="I23" s="34" t="s">
        <v>300</v>
      </c>
      <c r="J23" s="5"/>
      <c r="K23" s="3" t="s">
        <v>316</v>
      </c>
      <c r="L23" s="3" t="n">
        <v>11</v>
      </c>
      <c r="M23" s="23" t="n">
        <v>46214</v>
      </c>
      <c r="N23" s="13" t="str">
        <f aca="false">IF(AND(E23=M23,DAY(E23)=L23,K23=MONTH(E23)&amp;"/"&amp;DAY(E23)),"일치","차이 확인")</f>
        <v>일치</v>
      </c>
      <c r="O23" s="8" t="n">
        <f aca="false">MONTH(E23)</f>
        <v>7</v>
      </c>
      <c r="P23" s="8" t="n">
        <f aca="false">IF(AND(D23&gt;01_Inputs!$B$72,D23&lt;=01_Inputs!$B$73),1,0)</f>
        <v>1</v>
      </c>
      <c r="Q23" s="8" t="str">
        <f aca="false">IF(D23-D22=1,"연속","확인")</f>
        <v>연속</v>
      </c>
      <c r="R23" s="8" t="str">
        <f aca="false">IF(COUNTIF($D$6:$D$61,D23)&gt;1,"중복","-")</f>
        <v>-</v>
      </c>
      <c r="S23" s="15" t="n">
        <f aca="false">E23-E22</f>
        <v>3</v>
      </c>
      <c r="T23" s="8" t="str">
        <f aca="false">IF(MONTH(E23)&lt;&gt;MONTH(E22),"월 경계","")</f>
        <v/>
      </c>
      <c r="U23" s="15" t="n">
        <f aca="false">S23*24</f>
        <v>72</v>
      </c>
      <c r="V23" s="15" t="n">
        <f aca="false">MAX(0,(S23-1)*24)</f>
        <v>48</v>
      </c>
      <c r="W23" s="15" t="n">
        <f aca="false">(S23+1)*24</f>
        <v>96</v>
      </c>
      <c r="X23" s="15" t="n">
        <f aca="false">IF(ROW()-6&gt;=01_Inputs!$B$74,E23-INDEX($E$6:$E$61,ROW()-6+1-01_Inputs!$B$74),"")</f>
        <v>10</v>
      </c>
      <c r="Y23" s="14" t="n">
        <f aca="false">IF(ISNUMBER(X23),(X23+1)*24/01_Inputs!$B$74,"")</f>
        <v>66</v>
      </c>
      <c r="Z23" s="8" t="str">
        <f aca="false">IF(ISNUMBER(Y23),IF(Y23&lt;01_Inputs!$B$17,"확인 필요: 57 h 미만",""),"")</f>
        <v/>
      </c>
    </row>
    <row r="24" customFormat="false" ht="26.85" hidden="false" customHeight="false" outlineLevel="0" collapsed="false">
      <c r="A24" s="8" t="n">
        <v>19</v>
      </c>
      <c r="B24" s="8" t="s">
        <v>294</v>
      </c>
      <c r="C24" s="8" t="s">
        <v>295</v>
      </c>
      <c r="D24" s="3" t="n">
        <v>55</v>
      </c>
      <c r="E24" s="23" t="n">
        <v>46217</v>
      </c>
      <c r="F24" s="5"/>
      <c r="G24" s="5"/>
      <c r="H24" s="13" t="s">
        <v>296</v>
      </c>
      <c r="I24" s="34" t="s">
        <v>300</v>
      </c>
      <c r="J24" s="5"/>
      <c r="K24" s="3" t="s">
        <v>317</v>
      </c>
      <c r="L24" s="3" t="n">
        <v>14</v>
      </c>
      <c r="M24" s="23" t="n">
        <v>46217</v>
      </c>
      <c r="N24" s="13" t="str">
        <f aca="false">IF(AND(E24=M24,DAY(E24)=L24,K24=MONTH(E24)&amp;"/"&amp;DAY(E24)),"일치","차이 확인")</f>
        <v>일치</v>
      </c>
      <c r="O24" s="8" t="n">
        <f aca="false">MONTH(E24)</f>
        <v>7</v>
      </c>
      <c r="P24" s="8" t="n">
        <f aca="false">IF(AND(D24&gt;01_Inputs!$B$72,D24&lt;=01_Inputs!$B$73),1,0)</f>
        <v>1</v>
      </c>
      <c r="Q24" s="8" t="str">
        <f aca="false">IF(D24-D23=1,"연속","확인")</f>
        <v>연속</v>
      </c>
      <c r="R24" s="8" t="str">
        <f aca="false">IF(COUNTIF($D$6:$D$61,D24)&gt;1,"중복","-")</f>
        <v>-</v>
      </c>
      <c r="S24" s="15" t="n">
        <f aca="false">E24-E23</f>
        <v>3</v>
      </c>
      <c r="T24" s="8" t="str">
        <f aca="false">IF(MONTH(E24)&lt;&gt;MONTH(E23),"월 경계","")</f>
        <v/>
      </c>
      <c r="U24" s="15" t="n">
        <f aca="false">S24*24</f>
        <v>72</v>
      </c>
      <c r="V24" s="15" t="n">
        <f aca="false">MAX(0,(S24-1)*24)</f>
        <v>48</v>
      </c>
      <c r="W24" s="15" t="n">
        <f aca="false">(S24+1)*24</f>
        <v>96</v>
      </c>
      <c r="X24" s="15" t="n">
        <f aca="false">IF(ROW()-6&gt;=01_Inputs!$B$74,E24-INDEX($E$6:$E$61,ROW()-6+1-01_Inputs!$B$74),"")</f>
        <v>11</v>
      </c>
      <c r="Y24" s="14" t="n">
        <f aca="false">IF(ISNUMBER(X24),(X24+1)*24/01_Inputs!$B$74,"")</f>
        <v>72</v>
      </c>
      <c r="Z24" s="8" t="str">
        <f aca="false">IF(ISNUMBER(Y24),IF(Y24&lt;01_Inputs!$B$17,"확인 필요: 57 h 미만",""),"")</f>
        <v/>
      </c>
    </row>
    <row r="25" customFormat="false" ht="26.85" hidden="false" customHeight="false" outlineLevel="0" collapsed="false">
      <c r="A25" s="8" t="n">
        <v>20</v>
      </c>
      <c r="B25" s="8" t="s">
        <v>294</v>
      </c>
      <c r="C25" s="8" t="s">
        <v>295</v>
      </c>
      <c r="D25" s="3" t="n">
        <v>56</v>
      </c>
      <c r="E25" s="23" t="n">
        <v>46220</v>
      </c>
      <c r="F25" s="5"/>
      <c r="G25" s="5"/>
      <c r="H25" s="13" t="s">
        <v>296</v>
      </c>
      <c r="I25" s="34" t="s">
        <v>300</v>
      </c>
      <c r="J25" s="5"/>
      <c r="K25" s="3" t="s">
        <v>318</v>
      </c>
      <c r="L25" s="3" t="n">
        <v>17</v>
      </c>
      <c r="M25" s="23" t="n">
        <v>46220</v>
      </c>
      <c r="N25" s="13" t="str">
        <f aca="false">IF(AND(E25=M25,DAY(E25)=L25,K25=MONTH(E25)&amp;"/"&amp;DAY(E25)),"일치","차이 확인")</f>
        <v>일치</v>
      </c>
      <c r="O25" s="8" t="n">
        <f aca="false">MONTH(E25)</f>
        <v>7</v>
      </c>
      <c r="P25" s="8" t="n">
        <f aca="false">IF(AND(D25&gt;01_Inputs!$B$72,D25&lt;=01_Inputs!$B$73),1,0)</f>
        <v>1</v>
      </c>
      <c r="Q25" s="8" t="str">
        <f aca="false">IF(D25-D24=1,"연속","확인")</f>
        <v>연속</v>
      </c>
      <c r="R25" s="8" t="str">
        <f aca="false">IF(COUNTIF($D$6:$D$61,D25)&gt;1,"중복","-")</f>
        <v>-</v>
      </c>
      <c r="S25" s="15" t="n">
        <f aca="false">E25-E24</f>
        <v>3</v>
      </c>
      <c r="T25" s="8" t="str">
        <f aca="false">IF(MONTH(E25)&lt;&gt;MONTH(E24),"월 경계","")</f>
        <v/>
      </c>
      <c r="U25" s="15" t="n">
        <f aca="false">S25*24</f>
        <v>72</v>
      </c>
      <c r="V25" s="15" t="n">
        <f aca="false">MAX(0,(S25-1)*24)</f>
        <v>48</v>
      </c>
      <c r="W25" s="15" t="n">
        <f aca="false">(S25+1)*24</f>
        <v>96</v>
      </c>
      <c r="X25" s="15" t="n">
        <f aca="false">IF(ROW()-6&gt;=01_Inputs!$B$74,E25-INDEX($E$6:$E$61,ROW()-6+1-01_Inputs!$B$74),"")</f>
        <v>11</v>
      </c>
      <c r="Y25" s="14" t="n">
        <f aca="false">IF(ISNUMBER(X25),(X25+1)*24/01_Inputs!$B$74,"")</f>
        <v>72</v>
      </c>
      <c r="Z25" s="8" t="str">
        <f aca="false">IF(ISNUMBER(Y25),IF(Y25&lt;01_Inputs!$B$17,"확인 필요: 57 h 미만",""),"")</f>
        <v/>
      </c>
    </row>
    <row r="26" customFormat="false" ht="26.85" hidden="false" customHeight="false" outlineLevel="0" collapsed="false">
      <c r="A26" s="8" t="n">
        <v>21</v>
      </c>
      <c r="B26" s="8" t="s">
        <v>294</v>
      </c>
      <c r="C26" s="8" t="s">
        <v>295</v>
      </c>
      <c r="D26" s="3" t="n">
        <v>57</v>
      </c>
      <c r="E26" s="23" t="n">
        <v>46223</v>
      </c>
      <c r="F26" s="5"/>
      <c r="G26" s="5"/>
      <c r="H26" s="13" t="s">
        <v>296</v>
      </c>
      <c r="I26" s="34" t="s">
        <v>300</v>
      </c>
      <c r="J26" s="5"/>
      <c r="K26" s="3" t="s">
        <v>319</v>
      </c>
      <c r="L26" s="3" t="n">
        <v>20</v>
      </c>
      <c r="M26" s="23" t="n">
        <v>46223</v>
      </c>
      <c r="N26" s="13" t="str">
        <f aca="false">IF(AND(E26=M26,DAY(E26)=L26,K26=MONTH(E26)&amp;"/"&amp;DAY(E26)),"일치","차이 확인")</f>
        <v>일치</v>
      </c>
      <c r="O26" s="8" t="n">
        <f aca="false">MONTH(E26)</f>
        <v>7</v>
      </c>
      <c r="P26" s="8" t="n">
        <f aca="false">IF(AND(D26&gt;01_Inputs!$B$72,D26&lt;=01_Inputs!$B$73),1,0)</f>
        <v>1</v>
      </c>
      <c r="Q26" s="8" t="str">
        <f aca="false">IF(D26-D25=1,"연속","확인")</f>
        <v>연속</v>
      </c>
      <c r="R26" s="8" t="str">
        <f aca="false">IF(COUNTIF($D$6:$D$61,D26)&gt;1,"중복","-")</f>
        <v>-</v>
      </c>
      <c r="S26" s="15" t="n">
        <f aca="false">E26-E25</f>
        <v>3</v>
      </c>
      <c r="T26" s="8" t="str">
        <f aca="false">IF(MONTH(E26)&lt;&gt;MONTH(E25),"월 경계","")</f>
        <v/>
      </c>
      <c r="U26" s="15" t="n">
        <f aca="false">S26*24</f>
        <v>72</v>
      </c>
      <c r="V26" s="15" t="n">
        <f aca="false">MAX(0,(S26-1)*24)</f>
        <v>48</v>
      </c>
      <c r="W26" s="15" t="n">
        <f aca="false">(S26+1)*24</f>
        <v>96</v>
      </c>
      <c r="X26" s="15" t="n">
        <f aca="false">IF(ROW()-6&gt;=01_Inputs!$B$74,E26-INDEX($E$6:$E$61,ROW()-6+1-01_Inputs!$B$74),"")</f>
        <v>12</v>
      </c>
      <c r="Y26" s="14" t="n">
        <f aca="false">IF(ISNUMBER(X26),(X26+1)*24/01_Inputs!$B$74,"")</f>
        <v>78</v>
      </c>
      <c r="Z26" s="8" t="str">
        <f aca="false">IF(ISNUMBER(Y26),IF(Y26&lt;01_Inputs!$B$17,"확인 필요: 57 h 미만",""),"")</f>
        <v/>
      </c>
    </row>
    <row r="27" customFormat="false" ht="26.85" hidden="false" customHeight="false" outlineLevel="0" collapsed="false">
      <c r="A27" s="8" t="n">
        <v>22</v>
      </c>
      <c r="B27" s="8" t="s">
        <v>294</v>
      </c>
      <c r="C27" s="8" t="s">
        <v>295</v>
      </c>
      <c r="D27" s="3" t="n">
        <v>58</v>
      </c>
      <c r="E27" s="23" t="n">
        <v>46226</v>
      </c>
      <c r="F27" s="5"/>
      <c r="G27" s="5"/>
      <c r="H27" s="13" t="s">
        <v>296</v>
      </c>
      <c r="I27" s="34" t="s">
        <v>300</v>
      </c>
      <c r="J27" s="5"/>
      <c r="K27" s="3" t="s">
        <v>320</v>
      </c>
      <c r="L27" s="3" t="n">
        <v>23</v>
      </c>
      <c r="M27" s="23" t="n">
        <v>46226</v>
      </c>
      <c r="N27" s="13" t="str">
        <f aca="false">IF(AND(E27=M27,DAY(E27)=L27,K27=MONTH(E27)&amp;"/"&amp;DAY(E27)),"일치","차이 확인")</f>
        <v>일치</v>
      </c>
      <c r="O27" s="8" t="n">
        <f aca="false">MONTH(E27)</f>
        <v>7</v>
      </c>
      <c r="P27" s="8" t="n">
        <f aca="false">IF(AND(D27&gt;01_Inputs!$B$72,D27&lt;=01_Inputs!$B$73),1,0)</f>
        <v>1</v>
      </c>
      <c r="Q27" s="8" t="str">
        <f aca="false">IF(D27-D26=1,"연속","확인")</f>
        <v>연속</v>
      </c>
      <c r="R27" s="8" t="str">
        <f aca="false">IF(COUNTIF($D$6:$D$61,D27)&gt;1,"중복","-")</f>
        <v>-</v>
      </c>
      <c r="S27" s="15" t="n">
        <f aca="false">E27-E26</f>
        <v>3</v>
      </c>
      <c r="T27" s="8" t="str">
        <f aca="false">IF(MONTH(E27)&lt;&gt;MONTH(E26),"월 경계","")</f>
        <v/>
      </c>
      <c r="U27" s="15" t="n">
        <f aca="false">S27*24</f>
        <v>72</v>
      </c>
      <c r="V27" s="15" t="n">
        <f aca="false">MAX(0,(S27-1)*24)</f>
        <v>48</v>
      </c>
      <c r="W27" s="15" t="n">
        <f aca="false">(S27+1)*24</f>
        <v>96</v>
      </c>
      <c r="X27" s="15" t="n">
        <f aca="false">IF(ROW()-6&gt;=01_Inputs!$B$74,E27-INDEX($E$6:$E$61,ROW()-6+1-01_Inputs!$B$74),"")</f>
        <v>12</v>
      </c>
      <c r="Y27" s="14" t="n">
        <f aca="false">IF(ISNUMBER(X27),(X27+1)*24/01_Inputs!$B$74,"")</f>
        <v>78</v>
      </c>
      <c r="Z27" s="8" t="str">
        <f aca="false">IF(ISNUMBER(Y27),IF(Y27&lt;01_Inputs!$B$17,"확인 필요: 57 h 미만",""),"")</f>
        <v/>
      </c>
    </row>
    <row r="28" customFormat="false" ht="26.85" hidden="false" customHeight="false" outlineLevel="0" collapsed="false">
      <c r="A28" s="8" t="n">
        <v>23</v>
      </c>
      <c r="B28" s="8" t="s">
        <v>294</v>
      </c>
      <c r="C28" s="8" t="s">
        <v>295</v>
      </c>
      <c r="D28" s="3" t="n">
        <v>59</v>
      </c>
      <c r="E28" s="23" t="n">
        <v>46229</v>
      </c>
      <c r="F28" s="5"/>
      <c r="G28" s="5"/>
      <c r="H28" s="13" t="s">
        <v>296</v>
      </c>
      <c r="I28" s="34" t="s">
        <v>300</v>
      </c>
      <c r="J28" s="5"/>
      <c r="K28" s="3" t="s">
        <v>321</v>
      </c>
      <c r="L28" s="3" t="n">
        <v>26</v>
      </c>
      <c r="M28" s="23" t="n">
        <v>46229</v>
      </c>
      <c r="N28" s="13" t="str">
        <f aca="false">IF(AND(E28=M28,DAY(E28)=L28,K28=MONTH(E28)&amp;"/"&amp;DAY(E28)),"일치","차이 확인")</f>
        <v>일치</v>
      </c>
      <c r="O28" s="8" t="n">
        <f aca="false">MONTH(E28)</f>
        <v>7</v>
      </c>
      <c r="P28" s="8" t="n">
        <f aca="false">IF(AND(D28&gt;01_Inputs!$B$72,D28&lt;=01_Inputs!$B$73),1,0)</f>
        <v>1</v>
      </c>
      <c r="Q28" s="8" t="str">
        <f aca="false">IF(D28-D27=1,"연속","확인")</f>
        <v>연속</v>
      </c>
      <c r="R28" s="8" t="str">
        <f aca="false">IF(COUNTIF($D$6:$D$61,D28)&gt;1,"중복","-")</f>
        <v>-</v>
      </c>
      <c r="S28" s="15" t="n">
        <f aca="false">E28-E27</f>
        <v>3</v>
      </c>
      <c r="T28" s="8" t="str">
        <f aca="false">IF(MONTH(E28)&lt;&gt;MONTH(E27),"월 경계","")</f>
        <v/>
      </c>
      <c r="U28" s="15" t="n">
        <f aca="false">S28*24</f>
        <v>72</v>
      </c>
      <c r="V28" s="15" t="n">
        <f aca="false">MAX(0,(S28-1)*24)</f>
        <v>48</v>
      </c>
      <c r="W28" s="15" t="n">
        <f aca="false">(S28+1)*24</f>
        <v>96</v>
      </c>
      <c r="X28" s="15" t="n">
        <f aca="false">IF(ROW()-6&gt;=01_Inputs!$B$74,E28-INDEX($E$6:$E$61,ROW()-6+1-01_Inputs!$B$74),"")</f>
        <v>12</v>
      </c>
      <c r="Y28" s="14" t="n">
        <f aca="false">IF(ISNUMBER(X28),(X28+1)*24/01_Inputs!$B$74,"")</f>
        <v>78</v>
      </c>
      <c r="Z28" s="8" t="str">
        <f aca="false">IF(ISNUMBER(Y28),IF(Y28&lt;01_Inputs!$B$17,"확인 필요: 57 h 미만",""),"")</f>
        <v/>
      </c>
    </row>
    <row r="29" customFormat="false" ht="26.85" hidden="false" customHeight="false" outlineLevel="0" collapsed="false">
      <c r="A29" s="8" t="n">
        <v>24</v>
      </c>
      <c r="B29" s="8" t="s">
        <v>294</v>
      </c>
      <c r="C29" s="8" t="s">
        <v>295</v>
      </c>
      <c r="D29" s="3" t="n">
        <v>60</v>
      </c>
      <c r="E29" s="23" t="n">
        <v>46232</v>
      </c>
      <c r="F29" s="5"/>
      <c r="G29" s="5"/>
      <c r="H29" s="13" t="s">
        <v>296</v>
      </c>
      <c r="I29" s="34" t="s">
        <v>300</v>
      </c>
      <c r="J29" s="5"/>
      <c r="K29" s="3" t="s">
        <v>322</v>
      </c>
      <c r="L29" s="3" t="n">
        <v>29</v>
      </c>
      <c r="M29" s="23" t="n">
        <v>46232</v>
      </c>
      <c r="N29" s="13" t="str">
        <f aca="false">IF(AND(E29=M29,DAY(E29)=L29,K29=MONTH(E29)&amp;"/"&amp;DAY(E29)),"일치","차이 확인")</f>
        <v>일치</v>
      </c>
      <c r="O29" s="8" t="n">
        <f aca="false">MONTH(E29)</f>
        <v>7</v>
      </c>
      <c r="P29" s="8" t="n">
        <f aca="false">IF(AND(D29&gt;01_Inputs!$B$72,D29&lt;=01_Inputs!$B$73),1,0)</f>
        <v>1</v>
      </c>
      <c r="Q29" s="8" t="str">
        <f aca="false">IF(D29-D28=1,"연속","확인")</f>
        <v>연속</v>
      </c>
      <c r="R29" s="8" t="str">
        <f aca="false">IF(COUNTIF($D$6:$D$61,D29)&gt;1,"중복","-")</f>
        <v>-</v>
      </c>
      <c r="S29" s="15" t="n">
        <f aca="false">E29-E28</f>
        <v>3</v>
      </c>
      <c r="T29" s="8" t="str">
        <f aca="false">IF(MONTH(E29)&lt;&gt;MONTH(E28),"월 경계","")</f>
        <v/>
      </c>
      <c r="U29" s="15" t="n">
        <f aca="false">S29*24</f>
        <v>72</v>
      </c>
      <c r="V29" s="15" t="n">
        <f aca="false">MAX(0,(S29-1)*24)</f>
        <v>48</v>
      </c>
      <c r="W29" s="15" t="n">
        <f aca="false">(S29+1)*24</f>
        <v>96</v>
      </c>
      <c r="X29" s="15" t="n">
        <f aca="false">IF(ROW()-6&gt;=01_Inputs!$B$74,E29-INDEX($E$6:$E$61,ROW()-6+1-01_Inputs!$B$74),"")</f>
        <v>12</v>
      </c>
      <c r="Y29" s="14" t="n">
        <f aca="false">IF(ISNUMBER(X29),(X29+1)*24/01_Inputs!$B$74,"")</f>
        <v>78</v>
      </c>
      <c r="Z29" s="8" t="str">
        <f aca="false">IF(ISNUMBER(Y29),IF(Y29&lt;01_Inputs!$B$17,"확인 필요: 57 h 미만",""),"")</f>
        <v/>
      </c>
    </row>
    <row r="30" customFormat="false" ht="26.85" hidden="false" customHeight="false" outlineLevel="0" collapsed="false">
      <c r="A30" s="8" t="n">
        <v>25</v>
      </c>
      <c r="B30" s="8" t="s">
        <v>294</v>
      </c>
      <c r="C30" s="8" t="s">
        <v>295</v>
      </c>
      <c r="D30" s="3" t="n">
        <v>61</v>
      </c>
      <c r="E30" s="23" t="n">
        <v>46235</v>
      </c>
      <c r="F30" s="5"/>
      <c r="G30" s="5"/>
      <c r="H30" s="13" t="s">
        <v>296</v>
      </c>
      <c r="I30" s="34" t="s">
        <v>300</v>
      </c>
      <c r="J30" s="5"/>
      <c r="K30" s="3" t="s">
        <v>323</v>
      </c>
      <c r="L30" s="3" t="n">
        <v>1</v>
      </c>
      <c r="M30" s="23" t="n">
        <v>46235</v>
      </c>
      <c r="N30" s="13" t="str">
        <f aca="false">IF(AND(E30=M30,DAY(E30)=L30,K30=MONTH(E30)&amp;"/"&amp;DAY(E30)),"일치","차이 확인")</f>
        <v>일치</v>
      </c>
      <c r="O30" s="8" t="n">
        <f aca="false">MONTH(E30)</f>
        <v>8</v>
      </c>
      <c r="P30" s="8" t="n">
        <f aca="false">IF(AND(D30&gt;01_Inputs!$B$72,D30&lt;=01_Inputs!$B$73),1,0)</f>
        <v>1</v>
      </c>
      <c r="Q30" s="8" t="str">
        <f aca="false">IF(D30-D29=1,"연속","확인")</f>
        <v>연속</v>
      </c>
      <c r="R30" s="8" t="str">
        <f aca="false">IF(COUNTIF($D$6:$D$61,D30)&gt;1,"중복","-")</f>
        <v>-</v>
      </c>
      <c r="S30" s="15" t="n">
        <f aca="false">E30-E29</f>
        <v>3</v>
      </c>
      <c r="T30" s="8" t="str">
        <f aca="false">IF(MONTH(E30)&lt;&gt;MONTH(E29),"월 경계","")</f>
        <v>월 경계</v>
      </c>
      <c r="U30" s="15" t="n">
        <f aca="false">S30*24</f>
        <v>72</v>
      </c>
      <c r="V30" s="15" t="n">
        <f aca="false">MAX(0,(S30-1)*24)</f>
        <v>48</v>
      </c>
      <c r="W30" s="15" t="n">
        <f aca="false">(S30+1)*24</f>
        <v>96</v>
      </c>
      <c r="X30" s="15" t="n">
        <f aca="false">IF(ROW()-6&gt;=01_Inputs!$B$74,E30-INDEX($E$6:$E$61,ROW()-6+1-01_Inputs!$B$74),"")</f>
        <v>12</v>
      </c>
      <c r="Y30" s="14" t="n">
        <f aca="false">IF(ISNUMBER(X30),(X30+1)*24/01_Inputs!$B$74,"")</f>
        <v>78</v>
      </c>
      <c r="Z30" s="8" t="str">
        <f aca="false">IF(ISNUMBER(Y30),IF(Y30&lt;01_Inputs!$B$17,"확인 필요: 57 h 미만",""),"")</f>
        <v/>
      </c>
    </row>
    <row r="31" customFormat="false" ht="26.85" hidden="false" customHeight="false" outlineLevel="0" collapsed="false">
      <c r="A31" s="8" t="n">
        <v>26</v>
      </c>
      <c r="B31" s="8" t="s">
        <v>294</v>
      </c>
      <c r="C31" s="8" t="s">
        <v>295</v>
      </c>
      <c r="D31" s="3" t="n">
        <v>62</v>
      </c>
      <c r="E31" s="23" t="n">
        <v>46238</v>
      </c>
      <c r="F31" s="5"/>
      <c r="G31" s="5"/>
      <c r="H31" s="13" t="s">
        <v>296</v>
      </c>
      <c r="I31" s="34" t="s">
        <v>300</v>
      </c>
      <c r="J31" s="5"/>
      <c r="K31" s="3" t="s">
        <v>324</v>
      </c>
      <c r="L31" s="3" t="n">
        <v>4</v>
      </c>
      <c r="M31" s="23" t="n">
        <v>46238</v>
      </c>
      <c r="N31" s="13" t="str">
        <f aca="false">IF(AND(E31=M31,DAY(E31)=L31,K31=MONTH(E31)&amp;"/"&amp;DAY(E31)),"일치","차이 확인")</f>
        <v>일치</v>
      </c>
      <c r="O31" s="8" t="n">
        <f aca="false">MONTH(E31)</f>
        <v>8</v>
      </c>
      <c r="P31" s="8" t="n">
        <f aca="false">IF(AND(D31&gt;01_Inputs!$B$72,D31&lt;=01_Inputs!$B$73),1,0)</f>
        <v>1</v>
      </c>
      <c r="Q31" s="8" t="str">
        <f aca="false">IF(D31-D30=1,"연속","확인")</f>
        <v>연속</v>
      </c>
      <c r="R31" s="8" t="str">
        <f aca="false">IF(COUNTIF($D$6:$D$61,D31)&gt;1,"중복","-")</f>
        <v>-</v>
      </c>
      <c r="S31" s="15" t="n">
        <f aca="false">E31-E30</f>
        <v>3</v>
      </c>
      <c r="T31" s="8" t="str">
        <f aca="false">IF(MONTH(E31)&lt;&gt;MONTH(E30),"월 경계","")</f>
        <v/>
      </c>
      <c r="U31" s="15" t="n">
        <f aca="false">S31*24</f>
        <v>72</v>
      </c>
      <c r="V31" s="15" t="n">
        <f aca="false">MAX(0,(S31-1)*24)</f>
        <v>48</v>
      </c>
      <c r="W31" s="15" t="n">
        <f aca="false">(S31+1)*24</f>
        <v>96</v>
      </c>
      <c r="X31" s="15" t="n">
        <f aca="false">IF(ROW()-6&gt;=01_Inputs!$B$74,E31-INDEX($E$6:$E$61,ROW()-6+1-01_Inputs!$B$74),"")</f>
        <v>12</v>
      </c>
      <c r="Y31" s="14" t="n">
        <f aca="false">IF(ISNUMBER(X31),(X31+1)*24/01_Inputs!$B$74,"")</f>
        <v>78</v>
      </c>
      <c r="Z31" s="8" t="str">
        <f aca="false">IF(ISNUMBER(Y31),IF(Y31&lt;01_Inputs!$B$17,"확인 필요: 57 h 미만",""),"")</f>
        <v/>
      </c>
    </row>
    <row r="32" customFormat="false" ht="26.85" hidden="false" customHeight="false" outlineLevel="0" collapsed="false">
      <c r="A32" s="8" t="n">
        <v>27</v>
      </c>
      <c r="B32" s="8" t="s">
        <v>294</v>
      </c>
      <c r="C32" s="8" t="s">
        <v>295</v>
      </c>
      <c r="D32" s="3" t="n">
        <v>63</v>
      </c>
      <c r="E32" s="23" t="n">
        <v>46241</v>
      </c>
      <c r="F32" s="5"/>
      <c r="G32" s="5"/>
      <c r="H32" s="13" t="s">
        <v>296</v>
      </c>
      <c r="I32" s="34" t="s">
        <v>300</v>
      </c>
      <c r="J32" s="5"/>
      <c r="K32" s="3" t="s">
        <v>325</v>
      </c>
      <c r="L32" s="3" t="n">
        <v>7</v>
      </c>
      <c r="M32" s="23" t="n">
        <v>46241</v>
      </c>
      <c r="N32" s="13" t="str">
        <f aca="false">IF(AND(E32=M32,DAY(E32)=L32,K32=MONTH(E32)&amp;"/"&amp;DAY(E32)),"일치","차이 확인")</f>
        <v>일치</v>
      </c>
      <c r="O32" s="8" t="n">
        <f aca="false">MONTH(E32)</f>
        <v>8</v>
      </c>
      <c r="P32" s="8" t="n">
        <f aca="false">IF(AND(D32&gt;01_Inputs!$B$72,D32&lt;=01_Inputs!$B$73),1,0)</f>
        <v>1</v>
      </c>
      <c r="Q32" s="8" t="str">
        <f aca="false">IF(D32-D31=1,"연속","확인")</f>
        <v>연속</v>
      </c>
      <c r="R32" s="8" t="str">
        <f aca="false">IF(COUNTIF($D$6:$D$61,D32)&gt;1,"중복","-")</f>
        <v>-</v>
      </c>
      <c r="S32" s="15" t="n">
        <f aca="false">E32-E31</f>
        <v>3</v>
      </c>
      <c r="T32" s="8" t="str">
        <f aca="false">IF(MONTH(E32)&lt;&gt;MONTH(E31),"월 경계","")</f>
        <v/>
      </c>
      <c r="U32" s="15" t="n">
        <f aca="false">S32*24</f>
        <v>72</v>
      </c>
      <c r="V32" s="15" t="n">
        <f aca="false">MAX(0,(S32-1)*24)</f>
        <v>48</v>
      </c>
      <c r="W32" s="15" t="n">
        <f aca="false">(S32+1)*24</f>
        <v>96</v>
      </c>
      <c r="X32" s="15" t="n">
        <f aca="false">IF(ROW()-6&gt;=01_Inputs!$B$74,E32-INDEX($E$6:$E$61,ROW()-6+1-01_Inputs!$B$74),"")</f>
        <v>12</v>
      </c>
      <c r="Y32" s="14" t="n">
        <f aca="false">IF(ISNUMBER(X32),(X32+1)*24/01_Inputs!$B$74,"")</f>
        <v>78</v>
      </c>
      <c r="Z32" s="8" t="str">
        <f aca="false">IF(ISNUMBER(Y32),IF(Y32&lt;01_Inputs!$B$17,"확인 필요: 57 h 미만",""),"")</f>
        <v/>
      </c>
    </row>
    <row r="33" customFormat="false" ht="26.85" hidden="false" customHeight="false" outlineLevel="0" collapsed="false">
      <c r="A33" s="8" t="n">
        <v>28</v>
      </c>
      <c r="B33" s="8" t="s">
        <v>294</v>
      </c>
      <c r="C33" s="8" t="s">
        <v>295</v>
      </c>
      <c r="D33" s="3" t="n">
        <v>64</v>
      </c>
      <c r="E33" s="23" t="n">
        <v>46244</v>
      </c>
      <c r="F33" s="5"/>
      <c r="G33" s="5"/>
      <c r="H33" s="13" t="s">
        <v>296</v>
      </c>
      <c r="I33" s="34" t="s">
        <v>300</v>
      </c>
      <c r="J33" s="5"/>
      <c r="K33" s="3" t="s">
        <v>326</v>
      </c>
      <c r="L33" s="3" t="n">
        <v>10</v>
      </c>
      <c r="M33" s="23" t="n">
        <v>46244</v>
      </c>
      <c r="N33" s="13" t="str">
        <f aca="false">IF(AND(E33=M33,DAY(E33)=L33,K33=MONTH(E33)&amp;"/"&amp;DAY(E33)),"일치","차이 확인")</f>
        <v>일치</v>
      </c>
      <c r="O33" s="8" t="n">
        <f aca="false">MONTH(E33)</f>
        <v>8</v>
      </c>
      <c r="P33" s="8" t="n">
        <f aca="false">IF(AND(D33&gt;01_Inputs!$B$72,D33&lt;=01_Inputs!$B$73),1,0)</f>
        <v>1</v>
      </c>
      <c r="Q33" s="8" t="str">
        <f aca="false">IF(D33-D32=1,"연속","확인")</f>
        <v>연속</v>
      </c>
      <c r="R33" s="8" t="str">
        <f aca="false">IF(COUNTIF($D$6:$D$61,D33)&gt;1,"중복","-")</f>
        <v>-</v>
      </c>
      <c r="S33" s="15" t="n">
        <f aca="false">E33-E32</f>
        <v>3</v>
      </c>
      <c r="T33" s="8" t="str">
        <f aca="false">IF(MONTH(E33)&lt;&gt;MONTH(E32),"월 경계","")</f>
        <v/>
      </c>
      <c r="U33" s="15" t="n">
        <f aca="false">S33*24</f>
        <v>72</v>
      </c>
      <c r="V33" s="15" t="n">
        <f aca="false">MAX(0,(S33-1)*24)</f>
        <v>48</v>
      </c>
      <c r="W33" s="15" t="n">
        <f aca="false">(S33+1)*24</f>
        <v>96</v>
      </c>
      <c r="X33" s="15" t="n">
        <f aca="false">IF(ROW()-6&gt;=01_Inputs!$B$74,E33-INDEX($E$6:$E$61,ROW()-6+1-01_Inputs!$B$74),"")</f>
        <v>12</v>
      </c>
      <c r="Y33" s="14" t="n">
        <f aca="false">IF(ISNUMBER(X33),(X33+1)*24/01_Inputs!$B$74,"")</f>
        <v>78</v>
      </c>
      <c r="Z33" s="8" t="str">
        <f aca="false">IF(ISNUMBER(Y33),IF(Y33&lt;01_Inputs!$B$17,"확인 필요: 57 h 미만",""),"")</f>
        <v/>
      </c>
    </row>
    <row r="34" customFormat="false" ht="26.85" hidden="false" customHeight="false" outlineLevel="0" collapsed="false">
      <c r="A34" s="8" t="n">
        <v>29</v>
      </c>
      <c r="B34" s="8" t="s">
        <v>294</v>
      </c>
      <c r="C34" s="8" t="s">
        <v>295</v>
      </c>
      <c r="D34" s="3" t="n">
        <v>65</v>
      </c>
      <c r="E34" s="23" t="n">
        <v>46247</v>
      </c>
      <c r="F34" s="5"/>
      <c r="G34" s="5"/>
      <c r="H34" s="13" t="s">
        <v>296</v>
      </c>
      <c r="I34" s="34" t="s">
        <v>300</v>
      </c>
      <c r="J34" s="5"/>
      <c r="K34" s="3" t="s">
        <v>327</v>
      </c>
      <c r="L34" s="3" t="n">
        <v>13</v>
      </c>
      <c r="M34" s="23" t="n">
        <v>46247</v>
      </c>
      <c r="N34" s="13" t="str">
        <f aca="false">IF(AND(E34=M34,DAY(E34)=L34,K34=MONTH(E34)&amp;"/"&amp;DAY(E34)),"일치","차이 확인")</f>
        <v>일치</v>
      </c>
      <c r="O34" s="8" t="n">
        <f aca="false">MONTH(E34)</f>
        <v>8</v>
      </c>
      <c r="P34" s="8" t="n">
        <f aca="false">IF(AND(D34&gt;01_Inputs!$B$72,D34&lt;=01_Inputs!$B$73),1,0)</f>
        <v>1</v>
      </c>
      <c r="Q34" s="8" t="str">
        <f aca="false">IF(D34-D33=1,"연속","확인")</f>
        <v>연속</v>
      </c>
      <c r="R34" s="8" t="str">
        <f aca="false">IF(COUNTIF($D$6:$D$61,D34)&gt;1,"중복","-")</f>
        <v>-</v>
      </c>
      <c r="S34" s="15" t="n">
        <f aca="false">E34-E33</f>
        <v>3</v>
      </c>
      <c r="T34" s="8" t="str">
        <f aca="false">IF(MONTH(E34)&lt;&gt;MONTH(E33),"월 경계","")</f>
        <v/>
      </c>
      <c r="U34" s="15" t="n">
        <f aca="false">S34*24</f>
        <v>72</v>
      </c>
      <c r="V34" s="15" t="n">
        <f aca="false">MAX(0,(S34-1)*24)</f>
        <v>48</v>
      </c>
      <c r="W34" s="15" t="n">
        <f aca="false">(S34+1)*24</f>
        <v>96</v>
      </c>
      <c r="X34" s="15" t="n">
        <f aca="false">IF(ROW()-6&gt;=01_Inputs!$B$74,E34-INDEX($E$6:$E$61,ROW()-6+1-01_Inputs!$B$74),"")</f>
        <v>12</v>
      </c>
      <c r="Y34" s="14" t="n">
        <f aca="false">IF(ISNUMBER(X34),(X34+1)*24/01_Inputs!$B$74,"")</f>
        <v>78</v>
      </c>
      <c r="Z34" s="8" t="str">
        <f aca="false">IF(ISNUMBER(Y34),IF(Y34&lt;01_Inputs!$B$17,"확인 필요: 57 h 미만",""),"")</f>
        <v/>
      </c>
    </row>
    <row r="35" customFormat="false" ht="26.85" hidden="false" customHeight="false" outlineLevel="0" collapsed="false">
      <c r="A35" s="8" t="n">
        <v>30</v>
      </c>
      <c r="B35" s="8" t="s">
        <v>294</v>
      </c>
      <c r="C35" s="8" t="s">
        <v>295</v>
      </c>
      <c r="D35" s="3" t="n">
        <v>66</v>
      </c>
      <c r="E35" s="23" t="n">
        <v>46250</v>
      </c>
      <c r="F35" s="5"/>
      <c r="G35" s="5"/>
      <c r="H35" s="13" t="s">
        <v>296</v>
      </c>
      <c r="I35" s="34" t="s">
        <v>300</v>
      </c>
      <c r="J35" s="5"/>
      <c r="K35" s="3" t="s">
        <v>328</v>
      </c>
      <c r="L35" s="3" t="n">
        <v>16</v>
      </c>
      <c r="M35" s="23" t="n">
        <v>46250</v>
      </c>
      <c r="N35" s="13" t="str">
        <f aca="false">IF(AND(E35=M35,DAY(E35)=L35,K35=MONTH(E35)&amp;"/"&amp;DAY(E35)),"일치","차이 확인")</f>
        <v>일치</v>
      </c>
      <c r="O35" s="8" t="n">
        <f aca="false">MONTH(E35)</f>
        <v>8</v>
      </c>
      <c r="P35" s="8" t="n">
        <f aca="false">IF(AND(D35&gt;01_Inputs!$B$72,D35&lt;=01_Inputs!$B$73),1,0)</f>
        <v>1</v>
      </c>
      <c r="Q35" s="8" t="str">
        <f aca="false">IF(D35-D34=1,"연속","확인")</f>
        <v>연속</v>
      </c>
      <c r="R35" s="8" t="str">
        <f aca="false">IF(COUNTIF($D$6:$D$61,D35)&gt;1,"중복","-")</f>
        <v>-</v>
      </c>
      <c r="S35" s="15" t="n">
        <f aca="false">E35-E34</f>
        <v>3</v>
      </c>
      <c r="T35" s="8" t="str">
        <f aca="false">IF(MONTH(E35)&lt;&gt;MONTH(E34),"월 경계","")</f>
        <v/>
      </c>
      <c r="U35" s="15" t="n">
        <f aca="false">S35*24</f>
        <v>72</v>
      </c>
      <c r="V35" s="15" t="n">
        <f aca="false">MAX(0,(S35-1)*24)</f>
        <v>48</v>
      </c>
      <c r="W35" s="15" t="n">
        <f aca="false">(S35+1)*24</f>
        <v>96</v>
      </c>
      <c r="X35" s="15" t="n">
        <f aca="false">IF(ROW()-6&gt;=01_Inputs!$B$74,E35-INDEX($E$6:$E$61,ROW()-6+1-01_Inputs!$B$74),"")</f>
        <v>12</v>
      </c>
      <c r="Y35" s="14" t="n">
        <f aca="false">IF(ISNUMBER(X35),(X35+1)*24/01_Inputs!$B$74,"")</f>
        <v>78</v>
      </c>
      <c r="Z35" s="8" t="str">
        <f aca="false">IF(ISNUMBER(Y35),IF(Y35&lt;01_Inputs!$B$17,"확인 필요: 57 h 미만",""),"")</f>
        <v/>
      </c>
    </row>
    <row r="36" customFormat="false" ht="26.85" hidden="false" customHeight="false" outlineLevel="0" collapsed="false">
      <c r="A36" s="8" t="n">
        <v>31</v>
      </c>
      <c r="B36" s="8" t="s">
        <v>294</v>
      </c>
      <c r="C36" s="8" t="s">
        <v>295</v>
      </c>
      <c r="D36" s="3" t="n">
        <v>67</v>
      </c>
      <c r="E36" s="23" t="n">
        <v>46253</v>
      </c>
      <c r="F36" s="5"/>
      <c r="G36" s="5"/>
      <c r="H36" s="13" t="s">
        <v>296</v>
      </c>
      <c r="I36" s="34" t="s">
        <v>300</v>
      </c>
      <c r="J36" s="5"/>
      <c r="K36" s="3" t="s">
        <v>329</v>
      </c>
      <c r="L36" s="3" t="n">
        <v>19</v>
      </c>
      <c r="M36" s="23" t="n">
        <v>46253</v>
      </c>
      <c r="N36" s="13" t="str">
        <f aca="false">IF(AND(E36=M36,DAY(E36)=L36,K36=MONTH(E36)&amp;"/"&amp;DAY(E36)),"일치","차이 확인")</f>
        <v>일치</v>
      </c>
      <c r="O36" s="8" t="n">
        <f aca="false">MONTH(E36)</f>
        <v>8</v>
      </c>
      <c r="P36" s="8" t="n">
        <f aca="false">IF(AND(D36&gt;01_Inputs!$B$72,D36&lt;=01_Inputs!$B$73),1,0)</f>
        <v>1</v>
      </c>
      <c r="Q36" s="8" t="str">
        <f aca="false">IF(D36-D35=1,"연속","확인")</f>
        <v>연속</v>
      </c>
      <c r="R36" s="8" t="str">
        <f aca="false">IF(COUNTIF($D$6:$D$61,D36)&gt;1,"중복","-")</f>
        <v>-</v>
      </c>
      <c r="S36" s="15" t="n">
        <f aca="false">E36-E35</f>
        <v>3</v>
      </c>
      <c r="T36" s="8" t="str">
        <f aca="false">IF(MONTH(E36)&lt;&gt;MONTH(E35),"월 경계","")</f>
        <v/>
      </c>
      <c r="U36" s="15" t="n">
        <f aca="false">S36*24</f>
        <v>72</v>
      </c>
      <c r="V36" s="15" t="n">
        <f aca="false">MAX(0,(S36-1)*24)</f>
        <v>48</v>
      </c>
      <c r="W36" s="15" t="n">
        <f aca="false">(S36+1)*24</f>
        <v>96</v>
      </c>
      <c r="X36" s="15" t="n">
        <f aca="false">IF(ROW()-6&gt;=01_Inputs!$B$74,E36-INDEX($E$6:$E$61,ROW()-6+1-01_Inputs!$B$74),"")</f>
        <v>12</v>
      </c>
      <c r="Y36" s="14" t="n">
        <f aca="false">IF(ISNUMBER(X36),(X36+1)*24/01_Inputs!$B$74,"")</f>
        <v>78</v>
      </c>
      <c r="Z36" s="8" t="str">
        <f aca="false">IF(ISNUMBER(Y36),IF(Y36&lt;01_Inputs!$B$17,"확인 필요: 57 h 미만",""),"")</f>
        <v/>
      </c>
    </row>
    <row r="37" customFormat="false" ht="26.85" hidden="false" customHeight="false" outlineLevel="0" collapsed="false">
      <c r="A37" s="8" t="n">
        <v>32</v>
      </c>
      <c r="B37" s="8" t="s">
        <v>294</v>
      </c>
      <c r="C37" s="8" t="s">
        <v>295</v>
      </c>
      <c r="D37" s="3" t="n">
        <v>68</v>
      </c>
      <c r="E37" s="23" t="n">
        <v>46256</v>
      </c>
      <c r="F37" s="5"/>
      <c r="G37" s="5"/>
      <c r="H37" s="13" t="s">
        <v>296</v>
      </c>
      <c r="I37" s="34" t="s">
        <v>300</v>
      </c>
      <c r="J37" s="5"/>
      <c r="K37" s="3" t="s">
        <v>330</v>
      </c>
      <c r="L37" s="3" t="n">
        <v>22</v>
      </c>
      <c r="M37" s="23" t="n">
        <v>46256</v>
      </c>
      <c r="N37" s="13" t="str">
        <f aca="false">IF(AND(E37=M37,DAY(E37)=L37,K37=MONTH(E37)&amp;"/"&amp;DAY(E37)),"일치","차이 확인")</f>
        <v>일치</v>
      </c>
      <c r="O37" s="8" t="n">
        <f aca="false">MONTH(E37)</f>
        <v>8</v>
      </c>
      <c r="P37" s="8" t="n">
        <f aca="false">IF(AND(D37&gt;01_Inputs!$B$72,D37&lt;=01_Inputs!$B$73),1,0)</f>
        <v>1</v>
      </c>
      <c r="Q37" s="8" t="str">
        <f aca="false">IF(D37-D36=1,"연속","확인")</f>
        <v>연속</v>
      </c>
      <c r="R37" s="8" t="str">
        <f aca="false">IF(COUNTIF($D$6:$D$61,D37)&gt;1,"중복","-")</f>
        <v>-</v>
      </c>
      <c r="S37" s="15" t="n">
        <f aca="false">E37-E36</f>
        <v>3</v>
      </c>
      <c r="T37" s="8" t="str">
        <f aca="false">IF(MONTH(E37)&lt;&gt;MONTH(E36),"월 경계","")</f>
        <v/>
      </c>
      <c r="U37" s="15" t="n">
        <f aca="false">S37*24</f>
        <v>72</v>
      </c>
      <c r="V37" s="15" t="n">
        <f aca="false">MAX(0,(S37-1)*24)</f>
        <v>48</v>
      </c>
      <c r="W37" s="15" t="n">
        <f aca="false">(S37+1)*24</f>
        <v>96</v>
      </c>
      <c r="X37" s="15" t="n">
        <f aca="false">IF(ROW()-6&gt;=01_Inputs!$B$74,E37-INDEX($E$6:$E$61,ROW()-6+1-01_Inputs!$B$74),"")</f>
        <v>12</v>
      </c>
      <c r="Y37" s="14" t="n">
        <f aca="false">IF(ISNUMBER(X37),(X37+1)*24/01_Inputs!$B$74,"")</f>
        <v>78</v>
      </c>
      <c r="Z37" s="8" t="str">
        <f aca="false">IF(ISNUMBER(Y37),IF(Y37&lt;01_Inputs!$B$17,"확인 필요: 57 h 미만",""),"")</f>
        <v/>
      </c>
    </row>
    <row r="38" customFormat="false" ht="26.85" hidden="false" customHeight="false" outlineLevel="0" collapsed="false">
      <c r="A38" s="8" t="n">
        <v>33</v>
      </c>
      <c r="B38" s="8" t="s">
        <v>294</v>
      </c>
      <c r="C38" s="8" t="s">
        <v>295</v>
      </c>
      <c r="D38" s="3" t="n">
        <v>69</v>
      </c>
      <c r="E38" s="23" t="n">
        <v>46259</v>
      </c>
      <c r="F38" s="5"/>
      <c r="G38" s="5"/>
      <c r="H38" s="13" t="s">
        <v>296</v>
      </c>
      <c r="I38" s="34" t="s">
        <v>300</v>
      </c>
      <c r="J38" s="5"/>
      <c r="K38" s="3" t="s">
        <v>331</v>
      </c>
      <c r="L38" s="3" t="n">
        <v>25</v>
      </c>
      <c r="M38" s="23" t="n">
        <v>46259</v>
      </c>
      <c r="N38" s="13" t="str">
        <f aca="false">IF(AND(E38=M38,DAY(E38)=L38,K38=MONTH(E38)&amp;"/"&amp;DAY(E38)),"일치","차이 확인")</f>
        <v>일치</v>
      </c>
      <c r="O38" s="8" t="n">
        <f aca="false">MONTH(E38)</f>
        <v>8</v>
      </c>
      <c r="P38" s="8" t="n">
        <f aca="false">IF(AND(D38&gt;01_Inputs!$B$72,D38&lt;=01_Inputs!$B$73),1,0)</f>
        <v>1</v>
      </c>
      <c r="Q38" s="8" t="str">
        <f aca="false">IF(D38-D37=1,"연속","확인")</f>
        <v>연속</v>
      </c>
      <c r="R38" s="8" t="str">
        <f aca="false">IF(COUNTIF($D$6:$D$61,D38)&gt;1,"중복","-")</f>
        <v>-</v>
      </c>
      <c r="S38" s="15" t="n">
        <f aca="false">E38-E37</f>
        <v>3</v>
      </c>
      <c r="T38" s="8" t="str">
        <f aca="false">IF(MONTH(E38)&lt;&gt;MONTH(E37),"월 경계","")</f>
        <v/>
      </c>
      <c r="U38" s="15" t="n">
        <f aca="false">S38*24</f>
        <v>72</v>
      </c>
      <c r="V38" s="15" t="n">
        <f aca="false">MAX(0,(S38-1)*24)</f>
        <v>48</v>
      </c>
      <c r="W38" s="15" t="n">
        <f aca="false">(S38+1)*24</f>
        <v>96</v>
      </c>
      <c r="X38" s="15" t="n">
        <f aca="false">IF(ROW()-6&gt;=01_Inputs!$B$74,E38-INDEX($E$6:$E$61,ROW()-6+1-01_Inputs!$B$74),"")</f>
        <v>12</v>
      </c>
      <c r="Y38" s="14" t="n">
        <f aca="false">IF(ISNUMBER(X38),(X38+1)*24/01_Inputs!$B$74,"")</f>
        <v>78</v>
      </c>
      <c r="Z38" s="8" t="str">
        <f aca="false">IF(ISNUMBER(Y38),IF(Y38&lt;01_Inputs!$B$17,"확인 필요: 57 h 미만",""),"")</f>
        <v/>
      </c>
    </row>
    <row r="39" customFormat="false" ht="26.85" hidden="false" customHeight="false" outlineLevel="0" collapsed="false">
      <c r="A39" s="8" t="n">
        <v>34</v>
      </c>
      <c r="B39" s="8" t="s">
        <v>294</v>
      </c>
      <c r="C39" s="8" t="s">
        <v>295</v>
      </c>
      <c r="D39" s="3" t="n">
        <v>70</v>
      </c>
      <c r="E39" s="23" t="n">
        <v>46262</v>
      </c>
      <c r="F39" s="5"/>
      <c r="G39" s="5"/>
      <c r="H39" s="13" t="s">
        <v>296</v>
      </c>
      <c r="I39" s="34" t="s">
        <v>300</v>
      </c>
      <c r="J39" s="5"/>
      <c r="K39" s="3" t="s">
        <v>332</v>
      </c>
      <c r="L39" s="3" t="n">
        <v>28</v>
      </c>
      <c r="M39" s="23" t="n">
        <v>46262</v>
      </c>
      <c r="N39" s="13" t="str">
        <f aca="false">IF(AND(E39=M39,DAY(E39)=L39,K39=MONTH(E39)&amp;"/"&amp;DAY(E39)),"일치","차이 확인")</f>
        <v>일치</v>
      </c>
      <c r="O39" s="8" t="n">
        <f aca="false">MONTH(E39)</f>
        <v>8</v>
      </c>
      <c r="P39" s="8" t="n">
        <f aca="false">IF(AND(D39&gt;01_Inputs!$B$72,D39&lt;=01_Inputs!$B$73),1,0)</f>
        <v>1</v>
      </c>
      <c r="Q39" s="8" t="str">
        <f aca="false">IF(D39-D38=1,"연속","확인")</f>
        <v>연속</v>
      </c>
      <c r="R39" s="8" t="str">
        <f aca="false">IF(COUNTIF($D$6:$D$61,D39)&gt;1,"중복","-")</f>
        <v>-</v>
      </c>
      <c r="S39" s="15" t="n">
        <f aca="false">E39-E38</f>
        <v>3</v>
      </c>
      <c r="T39" s="8" t="str">
        <f aca="false">IF(MONTH(E39)&lt;&gt;MONTH(E38),"월 경계","")</f>
        <v/>
      </c>
      <c r="U39" s="15" t="n">
        <f aca="false">S39*24</f>
        <v>72</v>
      </c>
      <c r="V39" s="15" t="n">
        <f aca="false">MAX(0,(S39-1)*24)</f>
        <v>48</v>
      </c>
      <c r="W39" s="15" t="n">
        <f aca="false">(S39+1)*24</f>
        <v>96</v>
      </c>
      <c r="X39" s="15" t="n">
        <f aca="false">IF(ROW()-6&gt;=01_Inputs!$B$74,E39-INDEX($E$6:$E$61,ROW()-6+1-01_Inputs!$B$74),"")</f>
        <v>12</v>
      </c>
      <c r="Y39" s="14" t="n">
        <f aca="false">IF(ISNUMBER(X39),(X39+1)*24/01_Inputs!$B$74,"")</f>
        <v>78</v>
      </c>
      <c r="Z39" s="8" t="str">
        <f aca="false">IF(ISNUMBER(Y39),IF(Y39&lt;01_Inputs!$B$17,"확인 필요: 57 h 미만",""),"")</f>
        <v/>
      </c>
    </row>
    <row r="40" customFormat="false" ht="26.85" hidden="false" customHeight="false" outlineLevel="0" collapsed="false">
      <c r="A40" s="8" t="n">
        <v>35</v>
      </c>
      <c r="B40" s="8" t="s">
        <v>294</v>
      </c>
      <c r="C40" s="8" t="s">
        <v>295</v>
      </c>
      <c r="D40" s="3" t="n">
        <v>71</v>
      </c>
      <c r="E40" s="23" t="n">
        <v>46265</v>
      </c>
      <c r="F40" s="5"/>
      <c r="G40" s="5"/>
      <c r="H40" s="13" t="s">
        <v>296</v>
      </c>
      <c r="I40" s="34" t="s">
        <v>300</v>
      </c>
      <c r="J40" s="5"/>
      <c r="K40" s="3" t="s">
        <v>333</v>
      </c>
      <c r="L40" s="3" t="n">
        <v>31</v>
      </c>
      <c r="M40" s="23" t="n">
        <v>46265</v>
      </c>
      <c r="N40" s="13" t="str">
        <f aca="false">IF(AND(E40=M40,DAY(E40)=L40,K40=MONTH(E40)&amp;"/"&amp;DAY(E40)),"일치","차이 확인")</f>
        <v>일치</v>
      </c>
      <c r="O40" s="8" t="n">
        <f aca="false">MONTH(E40)</f>
        <v>8</v>
      </c>
      <c r="P40" s="8" t="n">
        <f aca="false">IF(AND(D40&gt;01_Inputs!$B$72,D40&lt;=01_Inputs!$B$73),1,0)</f>
        <v>1</v>
      </c>
      <c r="Q40" s="8" t="str">
        <f aca="false">IF(D40-D39=1,"연속","확인")</f>
        <v>연속</v>
      </c>
      <c r="R40" s="8" t="str">
        <f aca="false">IF(COUNTIF($D$6:$D$61,D40)&gt;1,"중복","-")</f>
        <v>-</v>
      </c>
      <c r="S40" s="15" t="n">
        <f aca="false">E40-E39</f>
        <v>3</v>
      </c>
      <c r="T40" s="8" t="str">
        <f aca="false">IF(MONTH(E40)&lt;&gt;MONTH(E39),"월 경계","")</f>
        <v/>
      </c>
      <c r="U40" s="15" t="n">
        <f aca="false">S40*24</f>
        <v>72</v>
      </c>
      <c r="V40" s="15" t="n">
        <f aca="false">MAX(0,(S40-1)*24)</f>
        <v>48</v>
      </c>
      <c r="W40" s="15" t="n">
        <f aca="false">(S40+1)*24</f>
        <v>96</v>
      </c>
      <c r="X40" s="15" t="n">
        <f aca="false">IF(ROW()-6&gt;=01_Inputs!$B$74,E40-INDEX($E$6:$E$61,ROW()-6+1-01_Inputs!$B$74),"")</f>
        <v>12</v>
      </c>
      <c r="Y40" s="14" t="n">
        <f aca="false">IF(ISNUMBER(X40),(X40+1)*24/01_Inputs!$B$74,"")</f>
        <v>78</v>
      </c>
      <c r="Z40" s="8" t="str">
        <f aca="false">IF(ISNUMBER(Y40),IF(Y40&lt;01_Inputs!$B$17,"확인 필요: 57 h 미만",""),"")</f>
        <v/>
      </c>
    </row>
    <row r="41" customFormat="false" ht="26.85" hidden="false" customHeight="false" outlineLevel="0" collapsed="false">
      <c r="A41" s="8" t="n">
        <v>36</v>
      </c>
      <c r="B41" s="8" t="s">
        <v>294</v>
      </c>
      <c r="C41" s="8" t="s">
        <v>295</v>
      </c>
      <c r="D41" s="3" t="n">
        <v>72</v>
      </c>
      <c r="E41" s="23" t="n">
        <v>46268</v>
      </c>
      <c r="F41" s="5"/>
      <c r="G41" s="5"/>
      <c r="H41" s="13" t="s">
        <v>296</v>
      </c>
      <c r="I41" s="34" t="s">
        <v>300</v>
      </c>
      <c r="J41" s="5"/>
      <c r="K41" s="3" t="s">
        <v>334</v>
      </c>
      <c r="L41" s="3" t="n">
        <v>3</v>
      </c>
      <c r="M41" s="23" t="n">
        <v>46268</v>
      </c>
      <c r="N41" s="13" t="str">
        <f aca="false">IF(AND(E41=M41,DAY(E41)=L41,K41=MONTH(E41)&amp;"/"&amp;DAY(E41)),"일치","차이 확인")</f>
        <v>일치</v>
      </c>
      <c r="O41" s="8" t="n">
        <f aca="false">MONTH(E41)</f>
        <v>9</v>
      </c>
      <c r="P41" s="8" t="n">
        <f aca="false">IF(AND(D41&gt;01_Inputs!$B$72,D41&lt;=01_Inputs!$B$73),1,0)</f>
        <v>1</v>
      </c>
      <c r="Q41" s="8" t="str">
        <f aca="false">IF(D41-D40=1,"연속","확인")</f>
        <v>연속</v>
      </c>
      <c r="R41" s="8" t="str">
        <f aca="false">IF(COUNTIF($D$6:$D$61,D41)&gt;1,"중복","-")</f>
        <v>-</v>
      </c>
      <c r="S41" s="15" t="n">
        <f aca="false">E41-E40</f>
        <v>3</v>
      </c>
      <c r="T41" s="8" t="str">
        <f aca="false">IF(MONTH(E41)&lt;&gt;MONTH(E40),"월 경계","")</f>
        <v>월 경계</v>
      </c>
      <c r="U41" s="15" t="n">
        <f aca="false">S41*24</f>
        <v>72</v>
      </c>
      <c r="V41" s="15" t="n">
        <f aca="false">MAX(0,(S41-1)*24)</f>
        <v>48</v>
      </c>
      <c r="W41" s="15" t="n">
        <f aca="false">(S41+1)*24</f>
        <v>96</v>
      </c>
      <c r="X41" s="15" t="n">
        <f aca="false">IF(ROW()-6&gt;=01_Inputs!$B$74,E41-INDEX($E$6:$E$61,ROW()-6+1-01_Inputs!$B$74),"")</f>
        <v>12</v>
      </c>
      <c r="Y41" s="14" t="n">
        <f aca="false">IF(ISNUMBER(X41),(X41+1)*24/01_Inputs!$B$74,"")</f>
        <v>78</v>
      </c>
      <c r="Z41" s="8" t="str">
        <f aca="false">IF(ISNUMBER(Y41),IF(Y41&lt;01_Inputs!$B$17,"확인 필요: 57 h 미만",""),"")</f>
        <v/>
      </c>
    </row>
    <row r="42" customFormat="false" ht="26.85" hidden="false" customHeight="false" outlineLevel="0" collapsed="false">
      <c r="A42" s="8" t="n">
        <v>37</v>
      </c>
      <c r="B42" s="8" t="s">
        <v>294</v>
      </c>
      <c r="C42" s="8" t="s">
        <v>295</v>
      </c>
      <c r="D42" s="3" t="n">
        <v>73</v>
      </c>
      <c r="E42" s="23" t="n">
        <v>46270</v>
      </c>
      <c r="F42" s="5"/>
      <c r="G42" s="5"/>
      <c r="H42" s="13" t="s">
        <v>296</v>
      </c>
      <c r="I42" s="34" t="s">
        <v>300</v>
      </c>
      <c r="J42" s="5"/>
      <c r="K42" s="3" t="s">
        <v>335</v>
      </c>
      <c r="L42" s="3" t="n">
        <v>5</v>
      </c>
      <c r="M42" s="23" t="n">
        <v>46270</v>
      </c>
      <c r="N42" s="13" t="str">
        <f aca="false">IF(AND(E42=M42,DAY(E42)=L42,K42=MONTH(E42)&amp;"/"&amp;DAY(E42)),"일치","차이 확인")</f>
        <v>일치</v>
      </c>
      <c r="O42" s="8" t="n">
        <f aca="false">MONTH(E42)</f>
        <v>9</v>
      </c>
      <c r="P42" s="8" t="n">
        <f aca="false">IF(AND(D42&gt;01_Inputs!$B$72,D42&lt;=01_Inputs!$B$73),1,0)</f>
        <v>1</v>
      </c>
      <c r="Q42" s="8" t="str">
        <f aca="false">IF(D42-D41=1,"연속","확인")</f>
        <v>연속</v>
      </c>
      <c r="R42" s="8" t="str">
        <f aca="false">IF(COUNTIF($D$6:$D$61,D42)&gt;1,"중복","-")</f>
        <v>-</v>
      </c>
      <c r="S42" s="15" t="n">
        <f aca="false">E42-E41</f>
        <v>2</v>
      </c>
      <c r="T42" s="8" t="str">
        <f aca="false">IF(MONTH(E42)&lt;&gt;MONTH(E41),"월 경계","")</f>
        <v/>
      </c>
      <c r="U42" s="15" t="n">
        <f aca="false">S42*24</f>
        <v>48</v>
      </c>
      <c r="V42" s="15" t="n">
        <f aca="false">MAX(0,(S42-1)*24)</f>
        <v>24</v>
      </c>
      <c r="W42" s="15" t="n">
        <f aca="false">(S42+1)*24</f>
        <v>72</v>
      </c>
      <c r="X42" s="15" t="n">
        <f aca="false">IF(ROW()-6&gt;=01_Inputs!$B$74,E42-INDEX($E$6:$E$61,ROW()-6+1-01_Inputs!$B$74),"")</f>
        <v>11</v>
      </c>
      <c r="Y42" s="14" t="n">
        <f aca="false">IF(ISNUMBER(X42),(X42+1)*24/01_Inputs!$B$74,"")</f>
        <v>72</v>
      </c>
      <c r="Z42" s="8" t="str">
        <f aca="false">IF(ISNUMBER(Y42),IF(Y42&lt;01_Inputs!$B$17,"확인 필요: 57 h 미만",""),"")</f>
        <v/>
      </c>
    </row>
    <row r="43" customFormat="false" ht="26.85" hidden="false" customHeight="false" outlineLevel="0" collapsed="false">
      <c r="A43" s="8" t="n">
        <v>38</v>
      </c>
      <c r="B43" s="8" t="s">
        <v>294</v>
      </c>
      <c r="C43" s="8" t="s">
        <v>295</v>
      </c>
      <c r="D43" s="3" t="n">
        <v>74</v>
      </c>
      <c r="E43" s="23" t="n">
        <v>46272</v>
      </c>
      <c r="F43" s="5"/>
      <c r="G43" s="5"/>
      <c r="H43" s="13" t="s">
        <v>296</v>
      </c>
      <c r="I43" s="34" t="s">
        <v>300</v>
      </c>
      <c r="J43" s="5"/>
      <c r="K43" s="3" t="s">
        <v>336</v>
      </c>
      <c r="L43" s="3" t="n">
        <v>7</v>
      </c>
      <c r="M43" s="23" t="n">
        <v>46272</v>
      </c>
      <c r="N43" s="13" t="str">
        <f aca="false">IF(AND(E43=M43,DAY(E43)=L43,K43=MONTH(E43)&amp;"/"&amp;DAY(E43)),"일치","차이 확인")</f>
        <v>일치</v>
      </c>
      <c r="O43" s="8" t="n">
        <f aca="false">MONTH(E43)</f>
        <v>9</v>
      </c>
      <c r="P43" s="8" t="n">
        <f aca="false">IF(AND(D43&gt;01_Inputs!$B$72,D43&lt;=01_Inputs!$B$73),1,0)</f>
        <v>1</v>
      </c>
      <c r="Q43" s="8" t="str">
        <f aca="false">IF(D43-D42=1,"연속","확인")</f>
        <v>연속</v>
      </c>
      <c r="R43" s="8" t="str">
        <f aca="false">IF(COUNTIF($D$6:$D$61,D43)&gt;1,"중복","-")</f>
        <v>-</v>
      </c>
      <c r="S43" s="15" t="n">
        <f aca="false">E43-E42</f>
        <v>2</v>
      </c>
      <c r="T43" s="8" t="str">
        <f aca="false">IF(MONTH(E43)&lt;&gt;MONTH(E42),"월 경계","")</f>
        <v/>
      </c>
      <c r="U43" s="15" t="n">
        <f aca="false">S43*24</f>
        <v>48</v>
      </c>
      <c r="V43" s="15" t="n">
        <f aca="false">MAX(0,(S43-1)*24)</f>
        <v>24</v>
      </c>
      <c r="W43" s="15" t="n">
        <f aca="false">(S43+1)*24</f>
        <v>72</v>
      </c>
      <c r="X43" s="15" t="n">
        <f aca="false">IF(ROW()-6&gt;=01_Inputs!$B$74,E43-INDEX($E$6:$E$61,ROW()-6+1-01_Inputs!$B$74),"")</f>
        <v>10</v>
      </c>
      <c r="Y43" s="14" t="n">
        <f aca="false">IF(ISNUMBER(X43),(X43+1)*24/01_Inputs!$B$74,"")</f>
        <v>66</v>
      </c>
      <c r="Z43" s="8" t="str">
        <f aca="false">IF(ISNUMBER(Y43),IF(Y43&lt;01_Inputs!$B$17,"확인 필요: 57 h 미만",""),"")</f>
        <v/>
      </c>
    </row>
    <row r="44" customFormat="false" ht="26.85" hidden="false" customHeight="false" outlineLevel="0" collapsed="false">
      <c r="A44" s="8" t="n">
        <v>39</v>
      </c>
      <c r="B44" s="8" t="s">
        <v>294</v>
      </c>
      <c r="C44" s="8" t="s">
        <v>295</v>
      </c>
      <c r="D44" s="3" t="n">
        <v>75</v>
      </c>
      <c r="E44" s="23" t="n">
        <v>46274</v>
      </c>
      <c r="F44" s="5"/>
      <c r="G44" s="5"/>
      <c r="H44" s="13" t="s">
        <v>296</v>
      </c>
      <c r="I44" s="34" t="s">
        <v>300</v>
      </c>
      <c r="J44" s="5"/>
      <c r="K44" s="3" t="s">
        <v>337</v>
      </c>
      <c r="L44" s="3" t="n">
        <v>9</v>
      </c>
      <c r="M44" s="23" t="n">
        <v>46274</v>
      </c>
      <c r="N44" s="13" t="str">
        <f aca="false">IF(AND(E44=M44,DAY(E44)=L44,K44=MONTH(E44)&amp;"/"&amp;DAY(E44)),"일치","차이 확인")</f>
        <v>일치</v>
      </c>
      <c r="O44" s="8" t="n">
        <f aca="false">MONTH(E44)</f>
        <v>9</v>
      </c>
      <c r="P44" s="8" t="n">
        <f aca="false">IF(AND(D44&gt;01_Inputs!$B$72,D44&lt;=01_Inputs!$B$73),1,0)</f>
        <v>1</v>
      </c>
      <c r="Q44" s="8" t="str">
        <f aca="false">IF(D44-D43=1,"연속","확인")</f>
        <v>연속</v>
      </c>
      <c r="R44" s="8" t="str">
        <f aca="false">IF(COUNTIF($D$6:$D$61,D44)&gt;1,"중복","-")</f>
        <v>-</v>
      </c>
      <c r="S44" s="15" t="n">
        <f aca="false">E44-E43</f>
        <v>2</v>
      </c>
      <c r="T44" s="8" t="str">
        <f aca="false">IF(MONTH(E44)&lt;&gt;MONTH(E43),"월 경계","")</f>
        <v/>
      </c>
      <c r="U44" s="15" t="n">
        <f aca="false">S44*24</f>
        <v>48</v>
      </c>
      <c r="V44" s="15" t="n">
        <f aca="false">MAX(0,(S44-1)*24)</f>
        <v>24</v>
      </c>
      <c r="W44" s="15" t="n">
        <f aca="false">(S44+1)*24</f>
        <v>72</v>
      </c>
      <c r="X44" s="15" t="n">
        <f aca="false">IF(ROW()-6&gt;=01_Inputs!$B$74,E44-INDEX($E$6:$E$61,ROW()-6+1-01_Inputs!$B$74),"")</f>
        <v>9</v>
      </c>
      <c r="Y44" s="14" t="n">
        <f aca="false">IF(ISNUMBER(X44),(X44+1)*24/01_Inputs!$B$74,"")</f>
        <v>60</v>
      </c>
      <c r="Z44" s="8" t="str">
        <f aca="false">IF(ISNUMBER(Y44),IF(Y44&lt;01_Inputs!$B$17,"확인 필요: 57 h 미만",""),"")</f>
        <v/>
      </c>
    </row>
    <row r="45" customFormat="false" ht="26.85" hidden="false" customHeight="false" outlineLevel="0" collapsed="false">
      <c r="A45" s="8" t="n">
        <v>40</v>
      </c>
      <c r="B45" s="8" t="s">
        <v>294</v>
      </c>
      <c r="C45" s="8" t="s">
        <v>295</v>
      </c>
      <c r="D45" s="3" t="n">
        <v>76</v>
      </c>
      <c r="E45" s="23" t="n">
        <v>46276</v>
      </c>
      <c r="F45" s="5"/>
      <c r="G45" s="5"/>
      <c r="H45" s="13" t="s">
        <v>296</v>
      </c>
      <c r="I45" s="34" t="s">
        <v>300</v>
      </c>
      <c r="J45" s="5"/>
      <c r="K45" s="3" t="s">
        <v>338</v>
      </c>
      <c r="L45" s="3" t="n">
        <v>11</v>
      </c>
      <c r="M45" s="23" t="n">
        <v>46276</v>
      </c>
      <c r="N45" s="13" t="str">
        <f aca="false">IF(AND(E45=M45,DAY(E45)=L45,K45=MONTH(E45)&amp;"/"&amp;DAY(E45)),"일치","차이 확인")</f>
        <v>일치</v>
      </c>
      <c r="O45" s="8" t="n">
        <f aca="false">MONTH(E45)</f>
        <v>9</v>
      </c>
      <c r="P45" s="8" t="n">
        <f aca="false">IF(AND(D45&gt;01_Inputs!$B$72,D45&lt;=01_Inputs!$B$73),1,0)</f>
        <v>1</v>
      </c>
      <c r="Q45" s="8" t="str">
        <f aca="false">IF(D45-D44=1,"연속","확인")</f>
        <v>연속</v>
      </c>
      <c r="R45" s="8" t="str">
        <f aca="false">IF(COUNTIF($D$6:$D$61,D45)&gt;1,"중복","-")</f>
        <v>-</v>
      </c>
      <c r="S45" s="15" t="n">
        <f aca="false">E45-E44</f>
        <v>2</v>
      </c>
      <c r="T45" s="8" t="str">
        <f aca="false">IF(MONTH(E45)&lt;&gt;MONTH(E44),"월 경계","")</f>
        <v/>
      </c>
      <c r="U45" s="15" t="n">
        <f aca="false">S45*24</f>
        <v>48</v>
      </c>
      <c r="V45" s="15" t="n">
        <f aca="false">MAX(0,(S45-1)*24)</f>
        <v>24</v>
      </c>
      <c r="W45" s="15" t="n">
        <f aca="false">(S45+1)*24</f>
        <v>72</v>
      </c>
      <c r="X45" s="15" t="n">
        <f aca="false">IF(ROW()-6&gt;=01_Inputs!$B$74,E45-INDEX($E$6:$E$61,ROW()-6+1-01_Inputs!$B$74),"")</f>
        <v>8</v>
      </c>
      <c r="Y45" s="14" t="n">
        <f aca="false">IF(ISNUMBER(X45),(X45+1)*24/01_Inputs!$B$74,"")</f>
        <v>54</v>
      </c>
      <c r="Z45" s="8" t="str">
        <f aca="false">IF(ISNUMBER(Y45),IF(Y45&lt;01_Inputs!$B$17,"확인 필요: 57 h 미만",""),"")</f>
        <v>확인 필요: 57 h 미만</v>
      </c>
    </row>
    <row r="46" customFormat="false" ht="26.85" hidden="false" customHeight="false" outlineLevel="0" collapsed="false">
      <c r="A46" s="8" t="n">
        <v>41</v>
      </c>
      <c r="B46" s="8" t="s">
        <v>294</v>
      </c>
      <c r="C46" s="8" t="s">
        <v>295</v>
      </c>
      <c r="D46" s="3" t="n">
        <v>77</v>
      </c>
      <c r="E46" s="23" t="n">
        <v>46279</v>
      </c>
      <c r="F46" s="5"/>
      <c r="G46" s="5"/>
      <c r="H46" s="13" t="s">
        <v>296</v>
      </c>
      <c r="I46" s="34" t="s">
        <v>300</v>
      </c>
      <c r="J46" s="5"/>
      <c r="K46" s="3" t="s">
        <v>339</v>
      </c>
      <c r="L46" s="3" t="n">
        <v>14</v>
      </c>
      <c r="M46" s="23" t="n">
        <v>46279</v>
      </c>
      <c r="N46" s="13" t="str">
        <f aca="false">IF(AND(E46=M46,DAY(E46)=L46,K46=MONTH(E46)&amp;"/"&amp;DAY(E46)),"일치","차이 확인")</f>
        <v>일치</v>
      </c>
      <c r="O46" s="8" t="n">
        <f aca="false">MONTH(E46)</f>
        <v>9</v>
      </c>
      <c r="P46" s="8" t="n">
        <f aca="false">IF(AND(D46&gt;01_Inputs!$B$72,D46&lt;=01_Inputs!$B$73),1,0)</f>
        <v>1</v>
      </c>
      <c r="Q46" s="8" t="str">
        <f aca="false">IF(D46-D45=1,"연속","확인")</f>
        <v>연속</v>
      </c>
      <c r="R46" s="8" t="str">
        <f aca="false">IF(COUNTIF($D$6:$D$61,D46)&gt;1,"중복","-")</f>
        <v>-</v>
      </c>
      <c r="S46" s="15" t="n">
        <f aca="false">E46-E45</f>
        <v>3</v>
      </c>
      <c r="T46" s="8" t="str">
        <f aca="false">IF(MONTH(E46)&lt;&gt;MONTH(E45),"월 경계","")</f>
        <v/>
      </c>
      <c r="U46" s="15" t="n">
        <f aca="false">S46*24</f>
        <v>72</v>
      </c>
      <c r="V46" s="15" t="n">
        <f aca="false">MAX(0,(S46-1)*24)</f>
        <v>48</v>
      </c>
      <c r="W46" s="15" t="n">
        <f aca="false">(S46+1)*24</f>
        <v>96</v>
      </c>
      <c r="X46" s="15" t="n">
        <f aca="false">IF(ROW()-6&gt;=01_Inputs!$B$74,E46-INDEX($E$6:$E$61,ROW()-6+1-01_Inputs!$B$74),"")</f>
        <v>9</v>
      </c>
      <c r="Y46" s="14" t="n">
        <f aca="false">IF(ISNUMBER(X46),(X46+1)*24/01_Inputs!$B$74,"")</f>
        <v>60</v>
      </c>
      <c r="Z46" s="8" t="str">
        <f aca="false">IF(ISNUMBER(Y46),IF(Y46&lt;01_Inputs!$B$17,"확인 필요: 57 h 미만",""),"")</f>
        <v/>
      </c>
    </row>
    <row r="47" customFormat="false" ht="26.85" hidden="false" customHeight="false" outlineLevel="0" collapsed="false">
      <c r="A47" s="8" t="n">
        <v>42</v>
      </c>
      <c r="B47" s="8" t="s">
        <v>294</v>
      </c>
      <c r="C47" s="8" t="s">
        <v>295</v>
      </c>
      <c r="D47" s="3" t="n">
        <v>78</v>
      </c>
      <c r="E47" s="23" t="n">
        <v>46284</v>
      </c>
      <c r="F47" s="5"/>
      <c r="G47" s="5"/>
      <c r="H47" s="13" t="s">
        <v>296</v>
      </c>
      <c r="I47" s="34" t="s">
        <v>300</v>
      </c>
      <c r="J47" s="5"/>
      <c r="K47" s="3" t="s">
        <v>340</v>
      </c>
      <c r="L47" s="3" t="n">
        <v>19</v>
      </c>
      <c r="M47" s="23" t="n">
        <v>46284</v>
      </c>
      <c r="N47" s="13" t="str">
        <f aca="false">IF(AND(E47=M47,DAY(E47)=L47,K47=MONTH(E47)&amp;"/"&amp;DAY(E47)),"일치","차이 확인")</f>
        <v>일치</v>
      </c>
      <c r="O47" s="8" t="n">
        <f aca="false">MONTH(E47)</f>
        <v>9</v>
      </c>
      <c r="P47" s="8" t="n">
        <f aca="false">IF(AND(D47&gt;01_Inputs!$B$72,D47&lt;=01_Inputs!$B$73),1,0)</f>
        <v>1</v>
      </c>
      <c r="Q47" s="8" t="str">
        <f aca="false">IF(D47-D46=1,"연속","확인")</f>
        <v>연속</v>
      </c>
      <c r="R47" s="8" t="str">
        <f aca="false">IF(COUNTIF($D$6:$D$61,D47)&gt;1,"중복","-")</f>
        <v>-</v>
      </c>
      <c r="S47" s="15" t="n">
        <f aca="false">E47-E46</f>
        <v>5</v>
      </c>
      <c r="T47" s="8" t="str">
        <f aca="false">IF(MONTH(E47)&lt;&gt;MONTH(E46),"월 경계","")</f>
        <v/>
      </c>
      <c r="U47" s="15" t="n">
        <f aca="false">S47*24</f>
        <v>120</v>
      </c>
      <c r="V47" s="15" t="n">
        <f aca="false">MAX(0,(S47-1)*24)</f>
        <v>96</v>
      </c>
      <c r="W47" s="15" t="n">
        <f aca="false">(S47+1)*24</f>
        <v>144</v>
      </c>
      <c r="X47" s="15" t="n">
        <f aca="false">IF(ROW()-6&gt;=01_Inputs!$B$74,E47-INDEX($E$6:$E$61,ROW()-6+1-01_Inputs!$B$74),"")</f>
        <v>12</v>
      </c>
      <c r="Y47" s="14" t="n">
        <f aca="false">IF(ISNUMBER(X47),(X47+1)*24/01_Inputs!$B$74,"")</f>
        <v>78</v>
      </c>
      <c r="Z47" s="8" t="str">
        <f aca="false">IF(ISNUMBER(Y47),IF(Y47&lt;01_Inputs!$B$17,"확인 필요: 57 h 미만",""),"")</f>
        <v/>
      </c>
    </row>
    <row r="48" customFormat="false" ht="26.85" hidden="false" customHeight="false" outlineLevel="0" collapsed="false">
      <c r="A48" s="8" t="n">
        <v>43</v>
      </c>
      <c r="B48" s="8" t="s">
        <v>294</v>
      </c>
      <c r="C48" s="8" t="s">
        <v>295</v>
      </c>
      <c r="D48" s="3" t="n">
        <v>79</v>
      </c>
      <c r="E48" s="23" t="n">
        <v>46288</v>
      </c>
      <c r="F48" s="5"/>
      <c r="G48" s="5"/>
      <c r="H48" s="13" t="s">
        <v>296</v>
      </c>
      <c r="I48" s="34" t="s">
        <v>300</v>
      </c>
      <c r="J48" s="5"/>
      <c r="K48" s="3" t="s">
        <v>341</v>
      </c>
      <c r="L48" s="3" t="n">
        <v>23</v>
      </c>
      <c r="M48" s="23" t="n">
        <v>46288</v>
      </c>
      <c r="N48" s="13" t="str">
        <f aca="false">IF(AND(E48=M48,DAY(E48)=L48,K48=MONTH(E48)&amp;"/"&amp;DAY(E48)),"일치","차이 확인")</f>
        <v>일치</v>
      </c>
      <c r="O48" s="8" t="n">
        <f aca="false">MONTH(E48)</f>
        <v>9</v>
      </c>
      <c r="P48" s="8" t="n">
        <f aca="false">IF(AND(D48&gt;01_Inputs!$B$72,D48&lt;=01_Inputs!$B$73),1,0)</f>
        <v>1</v>
      </c>
      <c r="Q48" s="8" t="str">
        <f aca="false">IF(D48-D47=1,"연속","확인")</f>
        <v>연속</v>
      </c>
      <c r="R48" s="8" t="str">
        <f aca="false">IF(COUNTIF($D$6:$D$61,D48)&gt;1,"중복","-")</f>
        <v>-</v>
      </c>
      <c r="S48" s="15" t="n">
        <f aca="false">E48-E47</f>
        <v>4</v>
      </c>
      <c r="T48" s="8" t="str">
        <f aca="false">IF(MONTH(E48)&lt;&gt;MONTH(E47),"월 경계","")</f>
        <v/>
      </c>
      <c r="U48" s="15" t="n">
        <f aca="false">S48*24</f>
        <v>96</v>
      </c>
      <c r="V48" s="15" t="n">
        <f aca="false">MAX(0,(S48-1)*24)</f>
        <v>72</v>
      </c>
      <c r="W48" s="15" t="n">
        <f aca="false">(S48+1)*24</f>
        <v>120</v>
      </c>
      <c r="X48" s="15" t="n">
        <f aca="false">IF(ROW()-6&gt;=01_Inputs!$B$74,E48-INDEX($E$6:$E$61,ROW()-6+1-01_Inputs!$B$74),"")</f>
        <v>14</v>
      </c>
      <c r="Y48" s="14" t="n">
        <f aca="false">IF(ISNUMBER(X48),(X48+1)*24/01_Inputs!$B$74,"")</f>
        <v>90</v>
      </c>
      <c r="Z48" s="8" t="str">
        <f aca="false">IF(ISNUMBER(Y48),IF(Y48&lt;01_Inputs!$B$17,"확인 필요: 57 h 미만",""),"")</f>
        <v/>
      </c>
    </row>
    <row r="49" customFormat="false" ht="26.85" hidden="false" customHeight="false" outlineLevel="0" collapsed="false">
      <c r="A49" s="8" t="n">
        <v>44</v>
      </c>
      <c r="B49" s="8" t="s">
        <v>294</v>
      </c>
      <c r="C49" s="8" t="s">
        <v>295</v>
      </c>
      <c r="D49" s="3" t="n">
        <v>80</v>
      </c>
      <c r="E49" s="23" t="n">
        <v>46291</v>
      </c>
      <c r="F49" s="5"/>
      <c r="G49" s="5"/>
      <c r="H49" s="13" t="s">
        <v>296</v>
      </c>
      <c r="I49" s="34" t="s">
        <v>300</v>
      </c>
      <c r="J49" s="5"/>
      <c r="K49" s="3" t="s">
        <v>342</v>
      </c>
      <c r="L49" s="3" t="n">
        <v>26</v>
      </c>
      <c r="M49" s="23" t="n">
        <v>46291</v>
      </c>
      <c r="N49" s="13" t="str">
        <f aca="false">IF(AND(E49=M49,DAY(E49)=L49,K49=MONTH(E49)&amp;"/"&amp;DAY(E49)),"일치","차이 확인")</f>
        <v>일치</v>
      </c>
      <c r="O49" s="8" t="n">
        <f aca="false">MONTH(E49)</f>
        <v>9</v>
      </c>
      <c r="P49" s="8" t="n">
        <f aca="false">IF(AND(D49&gt;01_Inputs!$B$72,D49&lt;=01_Inputs!$B$73),1,0)</f>
        <v>1</v>
      </c>
      <c r="Q49" s="8" t="str">
        <f aca="false">IF(D49-D48=1,"연속","확인")</f>
        <v>연속</v>
      </c>
      <c r="R49" s="8" t="str">
        <f aca="false">IF(COUNTIF($D$6:$D$61,D49)&gt;1,"중복","-")</f>
        <v>-</v>
      </c>
      <c r="S49" s="15" t="n">
        <f aca="false">E49-E48</f>
        <v>3</v>
      </c>
      <c r="T49" s="8" t="str">
        <f aca="false">IF(MONTH(E49)&lt;&gt;MONTH(E48),"월 경계","")</f>
        <v/>
      </c>
      <c r="U49" s="15" t="n">
        <f aca="false">S49*24</f>
        <v>72</v>
      </c>
      <c r="V49" s="15" t="n">
        <f aca="false">MAX(0,(S49-1)*24)</f>
        <v>48</v>
      </c>
      <c r="W49" s="15" t="n">
        <f aca="false">(S49+1)*24</f>
        <v>96</v>
      </c>
      <c r="X49" s="15" t="n">
        <f aca="false">IF(ROW()-6&gt;=01_Inputs!$B$74,E49-INDEX($E$6:$E$61,ROW()-6+1-01_Inputs!$B$74),"")</f>
        <v>15</v>
      </c>
      <c r="Y49" s="14" t="n">
        <f aca="false">IF(ISNUMBER(X49),(X49+1)*24/01_Inputs!$B$74,"")</f>
        <v>96</v>
      </c>
      <c r="Z49" s="8" t="str">
        <f aca="false">IF(ISNUMBER(Y49),IF(Y49&lt;01_Inputs!$B$17,"확인 필요: 57 h 미만",""),"")</f>
        <v/>
      </c>
    </row>
    <row r="50" customFormat="false" ht="26.85" hidden="false" customHeight="false" outlineLevel="0" collapsed="false">
      <c r="A50" s="8" t="n">
        <v>45</v>
      </c>
      <c r="B50" s="8" t="s">
        <v>294</v>
      </c>
      <c r="C50" s="8" t="s">
        <v>295</v>
      </c>
      <c r="D50" s="3" t="n">
        <v>81</v>
      </c>
      <c r="E50" s="23" t="n">
        <v>46293</v>
      </c>
      <c r="F50" s="5"/>
      <c r="G50" s="5"/>
      <c r="H50" s="13" t="s">
        <v>296</v>
      </c>
      <c r="I50" s="34" t="s">
        <v>300</v>
      </c>
      <c r="J50" s="5"/>
      <c r="K50" s="3" t="s">
        <v>343</v>
      </c>
      <c r="L50" s="3" t="n">
        <v>28</v>
      </c>
      <c r="M50" s="23" t="n">
        <v>46293</v>
      </c>
      <c r="N50" s="13" t="str">
        <f aca="false">IF(AND(E50=M50,DAY(E50)=L50,K50=MONTH(E50)&amp;"/"&amp;DAY(E50)),"일치","차이 확인")</f>
        <v>일치</v>
      </c>
      <c r="O50" s="8" t="n">
        <f aca="false">MONTH(E50)</f>
        <v>9</v>
      </c>
      <c r="P50" s="8" t="n">
        <f aca="false">IF(AND(D50&gt;01_Inputs!$B$72,D50&lt;=01_Inputs!$B$73),1,0)</f>
        <v>1</v>
      </c>
      <c r="Q50" s="8" t="str">
        <f aca="false">IF(D50-D49=1,"연속","확인")</f>
        <v>연속</v>
      </c>
      <c r="R50" s="8" t="str">
        <f aca="false">IF(COUNTIF($D$6:$D$61,D50)&gt;1,"중복","-")</f>
        <v>-</v>
      </c>
      <c r="S50" s="15" t="n">
        <f aca="false">E50-E49</f>
        <v>2</v>
      </c>
      <c r="T50" s="8" t="str">
        <f aca="false">IF(MONTH(E50)&lt;&gt;MONTH(E49),"월 경계","")</f>
        <v/>
      </c>
      <c r="U50" s="15" t="n">
        <f aca="false">S50*24</f>
        <v>48</v>
      </c>
      <c r="V50" s="15" t="n">
        <f aca="false">MAX(0,(S50-1)*24)</f>
        <v>24</v>
      </c>
      <c r="W50" s="15" t="n">
        <f aca="false">(S50+1)*24</f>
        <v>72</v>
      </c>
      <c r="X50" s="15" t="n">
        <f aca="false">IF(ROW()-6&gt;=01_Inputs!$B$74,E50-INDEX($E$6:$E$61,ROW()-6+1-01_Inputs!$B$74),"")</f>
        <v>14</v>
      </c>
      <c r="Y50" s="14" t="n">
        <f aca="false">IF(ISNUMBER(X50),(X50+1)*24/01_Inputs!$B$74,"")</f>
        <v>90</v>
      </c>
      <c r="Z50" s="8" t="str">
        <f aca="false">IF(ISNUMBER(Y50),IF(Y50&lt;01_Inputs!$B$17,"확인 필요: 57 h 미만",""),"")</f>
        <v/>
      </c>
    </row>
    <row r="51" customFormat="false" ht="26.85" hidden="false" customHeight="false" outlineLevel="0" collapsed="false">
      <c r="A51" s="8" t="n">
        <v>46</v>
      </c>
      <c r="B51" s="8" t="s">
        <v>294</v>
      </c>
      <c r="C51" s="8" t="s">
        <v>295</v>
      </c>
      <c r="D51" s="3" t="n">
        <v>82</v>
      </c>
      <c r="E51" s="23" t="n">
        <v>46296</v>
      </c>
      <c r="F51" s="5"/>
      <c r="G51" s="5"/>
      <c r="H51" s="13" t="s">
        <v>296</v>
      </c>
      <c r="I51" s="34" t="s">
        <v>300</v>
      </c>
      <c r="J51" s="5"/>
      <c r="K51" s="3" t="s">
        <v>344</v>
      </c>
      <c r="L51" s="3" t="n">
        <v>1</v>
      </c>
      <c r="M51" s="23" t="n">
        <v>46296</v>
      </c>
      <c r="N51" s="13" t="str">
        <f aca="false">IF(AND(E51=M51,DAY(E51)=L51,K51=MONTH(E51)&amp;"/"&amp;DAY(E51)),"일치","차이 확인")</f>
        <v>일치</v>
      </c>
      <c r="O51" s="8" t="n">
        <f aca="false">MONTH(E51)</f>
        <v>10</v>
      </c>
      <c r="P51" s="8" t="n">
        <f aca="false">IF(AND(D51&gt;01_Inputs!$B$72,D51&lt;=01_Inputs!$B$73),1,0)</f>
        <v>1</v>
      </c>
      <c r="Q51" s="8" t="str">
        <f aca="false">IF(D51-D50=1,"연속","확인")</f>
        <v>연속</v>
      </c>
      <c r="R51" s="8" t="str">
        <f aca="false">IF(COUNTIF($D$6:$D$61,D51)&gt;1,"중복","-")</f>
        <v>-</v>
      </c>
      <c r="S51" s="15" t="n">
        <f aca="false">E51-E50</f>
        <v>3</v>
      </c>
      <c r="T51" s="8" t="str">
        <f aca="false">IF(MONTH(E51)&lt;&gt;MONTH(E50),"월 경계","")</f>
        <v>월 경계</v>
      </c>
      <c r="U51" s="15" t="n">
        <f aca="false">S51*24</f>
        <v>72</v>
      </c>
      <c r="V51" s="15" t="n">
        <f aca="false">MAX(0,(S51-1)*24)</f>
        <v>48</v>
      </c>
      <c r="W51" s="15" t="n">
        <f aca="false">(S51+1)*24</f>
        <v>96</v>
      </c>
      <c r="X51" s="15" t="n">
        <f aca="false">IF(ROW()-6&gt;=01_Inputs!$B$74,E51-INDEX($E$6:$E$61,ROW()-6+1-01_Inputs!$B$74),"")</f>
        <v>12</v>
      </c>
      <c r="Y51" s="14" t="n">
        <f aca="false">IF(ISNUMBER(X51),(X51+1)*24/01_Inputs!$B$74,"")</f>
        <v>78</v>
      </c>
      <c r="Z51" s="8" t="str">
        <f aca="false">IF(ISNUMBER(Y51),IF(Y51&lt;01_Inputs!$B$17,"확인 필요: 57 h 미만",""),"")</f>
        <v/>
      </c>
    </row>
    <row r="52" customFormat="false" ht="26.85" hidden="false" customHeight="false" outlineLevel="0" collapsed="false">
      <c r="A52" s="8" t="n">
        <v>47</v>
      </c>
      <c r="B52" s="8" t="s">
        <v>294</v>
      </c>
      <c r="C52" s="8" t="s">
        <v>295</v>
      </c>
      <c r="D52" s="3" t="n">
        <v>83</v>
      </c>
      <c r="E52" s="23" t="n">
        <v>46299</v>
      </c>
      <c r="F52" s="5"/>
      <c r="G52" s="5"/>
      <c r="H52" s="13" t="s">
        <v>296</v>
      </c>
      <c r="I52" s="34" t="s">
        <v>300</v>
      </c>
      <c r="J52" s="5"/>
      <c r="K52" s="3" t="s">
        <v>345</v>
      </c>
      <c r="L52" s="3" t="n">
        <v>4</v>
      </c>
      <c r="M52" s="23" t="n">
        <v>46299</v>
      </c>
      <c r="N52" s="13" t="str">
        <f aca="false">IF(AND(E52=M52,DAY(E52)=L52,K52=MONTH(E52)&amp;"/"&amp;DAY(E52)),"일치","차이 확인")</f>
        <v>일치</v>
      </c>
      <c r="O52" s="8" t="n">
        <f aca="false">MONTH(E52)</f>
        <v>10</v>
      </c>
      <c r="P52" s="8" t="n">
        <f aca="false">IF(AND(D52&gt;01_Inputs!$B$72,D52&lt;=01_Inputs!$B$73),1,0)</f>
        <v>1</v>
      </c>
      <c r="Q52" s="8" t="str">
        <f aca="false">IF(D52-D51=1,"연속","확인")</f>
        <v>연속</v>
      </c>
      <c r="R52" s="8" t="str">
        <f aca="false">IF(COUNTIF($D$6:$D$61,D52)&gt;1,"중복","-")</f>
        <v>-</v>
      </c>
      <c r="S52" s="15" t="n">
        <f aca="false">E52-E51</f>
        <v>3</v>
      </c>
      <c r="T52" s="8" t="str">
        <f aca="false">IF(MONTH(E52)&lt;&gt;MONTH(E51),"월 경계","")</f>
        <v/>
      </c>
      <c r="U52" s="15" t="n">
        <f aca="false">S52*24</f>
        <v>72</v>
      </c>
      <c r="V52" s="15" t="n">
        <f aca="false">MAX(0,(S52-1)*24)</f>
        <v>48</v>
      </c>
      <c r="W52" s="15" t="n">
        <f aca="false">(S52+1)*24</f>
        <v>96</v>
      </c>
      <c r="X52" s="15" t="n">
        <f aca="false">IF(ROW()-6&gt;=01_Inputs!$B$74,E52-INDEX($E$6:$E$61,ROW()-6+1-01_Inputs!$B$74),"")</f>
        <v>11</v>
      </c>
      <c r="Y52" s="14" t="n">
        <f aca="false">IF(ISNUMBER(X52),(X52+1)*24/01_Inputs!$B$74,"")</f>
        <v>72</v>
      </c>
      <c r="Z52" s="8" t="str">
        <f aca="false">IF(ISNUMBER(Y52),IF(Y52&lt;01_Inputs!$B$17,"확인 필요: 57 h 미만",""),"")</f>
        <v/>
      </c>
    </row>
    <row r="53" customFormat="false" ht="26.85" hidden="false" customHeight="false" outlineLevel="0" collapsed="false">
      <c r="A53" s="8" t="n">
        <v>48</v>
      </c>
      <c r="B53" s="8" t="s">
        <v>294</v>
      </c>
      <c r="C53" s="8" t="s">
        <v>295</v>
      </c>
      <c r="D53" s="3" t="n">
        <v>84</v>
      </c>
      <c r="E53" s="23" t="n">
        <v>46302</v>
      </c>
      <c r="F53" s="5"/>
      <c r="G53" s="5"/>
      <c r="H53" s="13" t="s">
        <v>296</v>
      </c>
      <c r="I53" s="34" t="s">
        <v>300</v>
      </c>
      <c r="J53" s="5"/>
      <c r="K53" s="3" t="s">
        <v>346</v>
      </c>
      <c r="L53" s="3" t="n">
        <v>7</v>
      </c>
      <c r="M53" s="23" t="n">
        <v>46302</v>
      </c>
      <c r="N53" s="13" t="str">
        <f aca="false">IF(AND(E53=M53,DAY(E53)=L53,K53=MONTH(E53)&amp;"/"&amp;DAY(E53)),"일치","차이 확인")</f>
        <v>일치</v>
      </c>
      <c r="O53" s="8" t="n">
        <f aca="false">MONTH(E53)</f>
        <v>10</v>
      </c>
      <c r="P53" s="8" t="n">
        <f aca="false">IF(AND(D53&gt;01_Inputs!$B$72,D53&lt;=01_Inputs!$B$73),1,0)</f>
        <v>1</v>
      </c>
      <c r="Q53" s="8" t="str">
        <f aca="false">IF(D53-D52=1,"연속","확인")</f>
        <v>연속</v>
      </c>
      <c r="R53" s="8" t="str">
        <f aca="false">IF(COUNTIF($D$6:$D$61,D53)&gt;1,"중복","-")</f>
        <v>-</v>
      </c>
      <c r="S53" s="15" t="n">
        <f aca="false">E53-E52</f>
        <v>3</v>
      </c>
      <c r="T53" s="8" t="str">
        <f aca="false">IF(MONTH(E53)&lt;&gt;MONTH(E52),"월 경계","")</f>
        <v/>
      </c>
      <c r="U53" s="15" t="n">
        <f aca="false">S53*24</f>
        <v>72</v>
      </c>
      <c r="V53" s="15" t="n">
        <f aca="false">MAX(0,(S53-1)*24)</f>
        <v>48</v>
      </c>
      <c r="W53" s="15" t="n">
        <f aca="false">(S53+1)*24</f>
        <v>96</v>
      </c>
      <c r="X53" s="15" t="n">
        <f aca="false">IF(ROW()-6&gt;=01_Inputs!$B$74,E53-INDEX($E$6:$E$61,ROW()-6+1-01_Inputs!$B$74),"")</f>
        <v>11</v>
      </c>
      <c r="Y53" s="14" t="n">
        <f aca="false">IF(ISNUMBER(X53),(X53+1)*24/01_Inputs!$B$74,"")</f>
        <v>72</v>
      </c>
      <c r="Z53" s="8" t="str">
        <f aca="false">IF(ISNUMBER(Y53),IF(Y53&lt;01_Inputs!$B$17,"확인 필요: 57 h 미만",""),"")</f>
        <v/>
      </c>
    </row>
    <row r="54" customFormat="false" ht="26.85" hidden="false" customHeight="false" outlineLevel="0" collapsed="false">
      <c r="A54" s="8" t="n">
        <v>49</v>
      </c>
      <c r="B54" s="8" t="s">
        <v>294</v>
      </c>
      <c r="C54" s="8" t="s">
        <v>295</v>
      </c>
      <c r="D54" s="3" t="n">
        <v>85</v>
      </c>
      <c r="E54" s="23" t="n">
        <v>46305</v>
      </c>
      <c r="F54" s="5"/>
      <c r="G54" s="5"/>
      <c r="H54" s="13" t="s">
        <v>296</v>
      </c>
      <c r="I54" s="34" t="s">
        <v>300</v>
      </c>
      <c r="J54" s="5"/>
      <c r="K54" s="3" t="s">
        <v>347</v>
      </c>
      <c r="L54" s="3" t="n">
        <v>10</v>
      </c>
      <c r="M54" s="23" t="n">
        <v>46305</v>
      </c>
      <c r="N54" s="13" t="str">
        <f aca="false">IF(AND(E54=M54,DAY(E54)=L54,K54=MONTH(E54)&amp;"/"&amp;DAY(E54)),"일치","차이 확인")</f>
        <v>일치</v>
      </c>
      <c r="O54" s="8" t="n">
        <f aca="false">MONTH(E54)</f>
        <v>10</v>
      </c>
      <c r="P54" s="8" t="n">
        <f aca="false">IF(AND(D54&gt;01_Inputs!$B$72,D54&lt;=01_Inputs!$B$73),1,0)</f>
        <v>1</v>
      </c>
      <c r="Q54" s="8" t="str">
        <f aca="false">IF(D54-D53=1,"연속","확인")</f>
        <v>연속</v>
      </c>
      <c r="R54" s="8" t="str">
        <f aca="false">IF(COUNTIF($D$6:$D$61,D54)&gt;1,"중복","-")</f>
        <v>-</v>
      </c>
      <c r="S54" s="15" t="n">
        <f aca="false">E54-E53</f>
        <v>3</v>
      </c>
      <c r="T54" s="8" t="str">
        <f aca="false">IF(MONTH(E54)&lt;&gt;MONTH(E53),"월 경계","")</f>
        <v/>
      </c>
      <c r="U54" s="15" t="n">
        <f aca="false">S54*24</f>
        <v>72</v>
      </c>
      <c r="V54" s="15" t="n">
        <f aca="false">MAX(0,(S54-1)*24)</f>
        <v>48</v>
      </c>
      <c r="W54" s="15" t="n">
        <f aca="false">(S54+1)*24</f>
        <v>96</v>
      </c>
      <c r="X54" s="15" t="n">
        <f aca="false">IF(ROW()-6&gt;=01_Inputs!$B$74,E54-INDEX($E$6:$E$61,ROW()-6+1-01_Inputs!$B$74),"")</f>
        <v>12</v>
      </c>
      <c r="Y54" s="14" t="n">
        <f aca="false">IF(ISNUMBER(X54),(X54+1)*24/01_Inputs!$B$74,"")</f>
        <v>78</v>
      </c>
      <c r="Z54" s="8" t="str">
        <f aca="false">IF(ISNUMBER(Y54),IF(Y54&lt;01_Inputs!$B$17,"확인 필요: 57 h 미만",""),"")</f>
        <v/>
      </c>
    </row>
    <row r="55" customFormat="false" ht="26.85" hidden="false" customHeight="false" outlineLevel="0" collapsed="false">
      <c r="A55" s="8" t="n">
        <v>50</v>
      </c>
      <c r="B55" s="8" t="s">
        <v>294</v>
      </c>
      <c r="C55" s="8" t="s">
        <v>295</v>
      </c>
      <c r="D55" s="3" t="n">
        <v>86</v>
      </c>
      <c r="E55" s="23" t="n">
        <v>46307</v>
      </c>
      <c r="F55" s="5"/>
      <c r="G55" s="5"/>
      <c r="H55" s="13" t="s">
        <v>296</v>
      </c>
      <c r="I55" s="34" t="s">
        <v>300</v>
      </c>
      <c r="J55" s="5"/>
      <c r="K55" s="3" t="s">
        <v>348</v>
      </c>
      <c r="L55" s="3" t="n">
        <v>12</v>
      </c>
      <c r="M55" s="23" t="n">
        <v>46307</v>
      </c>
      <c r="N55" s="13" t="str">
        <f aca="false">IF(AND(E55=M55,DAY(E55)=L55,K55=MONTH(E55)&amp;"/"&amp;DAY(E55)),"일치","차이 확인")</f>
        <v>일치</v>
      </c>
      <c r="O55" s="8" t="n">
        <f aca="false">MONTH(E55)</f>
        <v>10</v>
      </c>
      <c r="P55" s="8" t="n">
        <f aca="false">IF(AND(D55&gt;01_Inputs!$B$72,D55&lt;=01_Inputs!$B$73),1,0)</f>
        <v>1</v>
      </c>
      <c r="Q55" s="8" t="str">
        <f aca="false">IF(D55-D54=1,"연속","확인")</f>
        <v>연속</v>
      </c>
      <c r="R55" s="8" t="str">
        <f aca="false">IF(COUNTIF($D$6:$D$61,D55)&gt;1,"중복","-")</f>
        <v>-</v>
      </c>
      <c r="S55" s="15" t="n">
        <f aca="false">E55-E54</f>
        <v>2</v>
      </c>
      <c r="T55" s="8" t="str">
        <f aca="false">IF(MONTH(E55)&lt;&gt;MONTH(E54),"월 경계","")</f>
        <v/>
      </c>
      <c r="U55" s="15" t="n">
        <f aca="false">S55*24</f>
        <v>48</v>
      </c>
      <c r="V55" s="15" t="n">
        <f aca="false">MAX(0,(S55-1)*24)</f>
        <v>24</v>
      </c>
      <c r="W55" s="15" t="n">
        <f aca="false">(S55+1)*24</f>
        <v>72</v>
      </c>
      <c r="X55" s="15" t="n">
        <f aca="false">IF(ROW()-6&gt;=01_Inputs!$B$74,E55-INDEX($E$6:$E$61,ROW()-6+1-01_Inputs!$B$74),"")</f>
        <v>11</v>
      </c>
      <c r="Y55" s="14" t="n">
        <f aca="false">IF(ISNUMBER(X55),(X55+1)*24/01_Inputs!$B$74,"")</f>
        <v>72</v>
      </c>
      <c r="Z55" s="8" t="str">
        <f aca="false">IF(ISNUMBER(Y55),IF(Y55&lt;01_Inputs!$B$17,"확인 필요: 57 h 미만",""),"")</f>
        <v/>
      </c>
    </row>
    <row r="56" customFormat="false" ht="26.85" hidden="false" customHeight="false" outlineLevel="0" collapsed="false">
      <c r="A56" s="8" t="n">
        <v>51</v>
      </c>
      <c r="B56" s="8" t="s">
        <v>294</v>
      </c>
      <c r="C56" s="8" t="s">
        <v>295</v>
      </c>
      <c r="D56" s="3" t="n">
        <v>87</v>
      </c>
      <c r="E56" s="23" t="n">
        <v>46310</v>
      </c>
      <c r="F56" s="5"/>
      <c r="G56" s="5"/>
      <c r="H56" s="13" t="s">
        <v>296</v>
      </c>
      <c r="I56" s="34" t="s">
        <v>300</v>
      </c>
      <c r="J56" s="5"/>
      <c r="K56" s="3" t="s">
        <v>349</v>
      </c>
      <c r="L56" s="3" t="n">
        <v>15</v>
      </c>
      <c r="M56" s="23" t="n">
        <v>46310</v>
      </c>
      <c r="N56" s="13" t="str">
        <f aca="false">IF(AND(E56=M56,DAY(E56)=L56,K56=MONTH(E56)&amp;"/"&amp;DAY(E56)),"일치","차이 확인")</f>
        <v>일치</v>
      </c>
      <c r="O56" s="8" t="n">
        <f aca="false">MONTH(E56)</f>
        <v>10</v>
      </c>
      <c r="P56" s="8" t="n">
        <f aca="false">IF(AND(D56&gt;01_Inputs!$B$72,D56&lt;=01_Inputs!$B$73),1,0)</f>
        <v>1</v>
      </c>
      <c r="Q56" s="8" t="str">
        <f aca="false">IF(D56-D55=1,"연속","확인")</f>
        <v>연속</v>
      </c>
      <c r="R56" s="8" t="str">
        <f aca="false">IF(COUNTIF($D$6:$D$61,D56)&gt;1,"중복","-")</f>
        <v>-</v>
      </c>
      <c r="S56" s="15" t="n">
        <f aca="false">E56-E55</f>
        <v>3</v>
      </c>
      <c r="T56" s="8" t="str">
        <f aca="false">IF(MONTH(E56)&lt;&gt;MONTH(E55),"월 경계","")</f>
        <v/>
      </c>
      <c r="U56" s="15" t="n">
        <f aca="false">S56*24</f>
        <v>72</v>
      </c>
      <c r="V56" s="15" t="n">
        <f aca="false">MAX(0,(S56-1)*24)</f>
        <v>48</v>
      </c>
      <c r="W56" s="15" t="n">
        <f aca="false">(S56+1)*24</f>
        <v>96</v>
      </c>
      <c r="X56" s="15" t="n">
        <f aca="false">IF(ROW()-6&gt;=01_Inputs!$B$74,E56-INDEX($E$6:$E$61,ROW()-6+1-01_Inputs!$B$74),"")</f>
        <v>11</v>
      </c>
      <c r="Y56" s="14" t="n">
        <f aca="false">IF(ISNUMBER(X56),(X56+1)*24/01_Inputs!$B$74,"")</f>
        <v>72</v>
      </c>
      <c r="Z56" s="8" t="str">
        <f aca="false">IF(ISNUMBER(Y56),IF(Y56&lt;01_Inputs!$B$17,"확인 필요: 57 h 미만",""),"")</f>
        <v/>
      </c>
    </row>
    <row r="57" customFormat="false" ht="26.85" hidden="false" customHeight="false" outlineLevel="0" collapsed="false">
      <c r="A57" s="8" t="n">
        <v>52</v>
      </c>
      <c r="B57" s="8" t="s">
        <v>294</v>
      </c>
      <c r="C57" s="8" t="s">
        <v>295</v>
      </c>
      <c r="D57" s="3" t="n">
        <v>88</v>
      </c>
      <c r="E57" s="23" t="n">
        <v>46313</v>
      </c>
      <c r="F57" s="5"/>
      <c r="G57" s="5"/>
      <c r="H57" s="13" t="s">
        <v>296</v>
      </c>
      <c r="I57" s="34" t="s">
        <v>300</v>
      </c>
      <c r="J57" s="5"/>
      <c r="K57" s="3" t="s">
        <v>350</v>
      </c>
      <c r="L57" s="3" t="n">
        <v>18</v>
      </c>
      <c r="M57" s="23" t="n">
        <v>46313</v>
      </c>
      <c r="N57" s="13" t="str">
        <f aca="false">IF(AND(E57=M57,DAY(E57)=L57,K57=MONTH(E57)&amp;"/"&amp;DAY(E57)),"일치","차이 확인")</f>
        <v>일치</v>
      </c>
      <c r="O57" s="8" t="n">
        <f aca="false">MONTH(E57)</f>
        <v>10</v>
      </c>
      <c r="P57" s="8" t="n">
        <f aca="false">IF(AND(D57&gt;01_Inputs!$B$72,D57&lt;=01_Inputs!$B$73),1,0)</f>
        <v>1</v>
      </c>
      <c r="Q57" s="8" t="str">
        <f aca="false">IF(D57-D56=1,"연속","확인")</f>
        <v>연속</v>
      </c>
      <c r="R57" s="8" t="str">
        <f aca="false">IF(COUNTIF($D$6:$D$61,D57)&gt;1,"중복","-")</f>
        <v>-</v>
      </c>
      <c r="S57" s="15" t="n">
        <f aca="false">E57-E56</f>
        <v>3</v>
      </c>
      <c r="T57" s="8" t="str">
        <f aca="false">IF(MONTH(E57)&lt;&gt;MONTH(E56),"월 경계","")</f>
        <v/>
      </c>
      <c r="U57" s="15" t="n">
        <f aca="false">S57*24</f>
        <v>72</v>
      </c>
      <c r="V57" s="15" t="n">
        <f aca="false">MAX(0,(S57-1)*24)</f>
        <v>48</v>
      </c>
      <c r="W57" s="15" t="n">
        <f aca="false">(S57+1)*24</f>
        <v>96</v>
      </c>
      <c r="X57" s="15" t="n">
        <f aca="false">IF(ROW()-6&gt;=01_Inputs!$B$74,E57-INDEX($E$6:$E$61,ROW()-6+1-01_Inputs!$B$74),"")</f>
        <v>11</v>
      </c>
      <c r="Y57" s="14" t="n">
        <f aca="false">IF(ISNUMBER(X57),(X57+1)*24/01_Inputs!$B$74,"")</f>
        <v>72</v>
      </c>
      <c r="Z57" s="8" t="str">
        <f aca="false">IF(ISNUMBER(Y57),IF(Y57&lt;01_Inputs!$B$17,"확인 필요: 57 h 미만",""),"")</f>
        <v/>
      </c>
    </row>
    <row r="58" customFormat="false" ht="26.85" hidden="false" customHeight="false" outlineLevel="0" collapsed="false">
      <c r="A58" s="8" t="n">
        <v>53</v>
      </c>
      <c r="B58" s="8" t="s">
        <v>294</v>
      </c>
      <c r="C58" s="8" t="s">
        <v>295</v>
      </c>
      <c r="D58" s="3" t="n">
        <v>89</v>
      </c>
      <c r="E58" s="23" t="n">
        <v>46315</v>
      </c>
      <c r="F58" s="5"/>
      <c r="G58" s="5"/>
      <c r="H58" s="13" t="s">
        <v>296</v>
      </c>
      <c r="I58" s="34" t="s">
        <v>300</v>
      </c>
      <c r="J58" s="5"/>
      <c r="K58" s="3" t="s">
        <v>351</v>
      </c>
      <c r="L58" s="3" t="n">
        <v>20</v>
      </c>
      <c r="M58" s="23" t="n">
        <v>46315</v>
      </c>
      <c r="N58" s="13" t="str">
        <f aca="false">IF(AND(E58=M58,DAY(E58)=L58,K58=MONTH(E58)&amp;"/"&amp;DAY(E58)),"일치","차이 확인")</f>
        <v>일치</v>
      </c>
      <c r="O58" s="8" t="n">
        <f aca="false">MONTH(E58)</f>
        <v>10</v>
      </c>
      <c r="P58" s="8" t="n">
        <f aca="false">IF(AND(D58&gt;01_Inputs!$B$72,D58&lt;=01_Inputs!$B$73),1,0)</f>
        <v>1</v>
      </c>
      <c r="Q58" s="8" t="str">
        <f aca="false">IF(D58-D57=1,"연속","확인")</f>
        <v>연속</v>
      </c>
      <c r="R58" s="8" t="str">
        <f aca="false">IF(COUNTIF($D$6:$D$61,D58)&gt;1,"중복","-")</f>
        <v>-</v>
      </c>
      <c r="S58" s="15" t="n">
        <f aca="false">E58-E57</f>
        <v>2</v>
      </c>
      <c r="T58" s="8" t="str">
        <f aca="false">IF(MONTH(E58)&lt;&gt;MONTH(E57),"월 경계","")</f>
        <v/>
      </c>
      <c r="U58" s="15" t="n">
        <f aca="false">S58*24</f>
        <v>48</v>
      </c>
      <c r="V58" s="15" t="n">
        <f aca="false">MAX(0,(S58-1)*24)</f>
        <v>24</v>
      </c>
      <c r="W58" s="15" t="n">
        <f aca="false">(S58+1)*24</f>
        <v>72</v>
      </c>
      <c r="X58" s="15" t="n">
        <f aca="false">IF(ROW()-6&gt;=01_Inputs!$B$74,E58-INDEX($E$6:$E$61,ROW()-6+1-01_Inputs!$B$74),"")</f>
        <v>10</v>
      </c>
      <c r="Y58" s="14" t="n">
        <f aca="false">IF(ISNUMBER(X58),(X58+1)*24/01_Inputs!$B$74,"")</f>
        <v>66</v>
      </c>
      <c r="Z58" s="8" t="str">
        <f aca="false">IF(ISNUMBER(Y58),IF(Y58&lt;01_Inputs!$B$17,"확인 필요: 57 h 미만",""),"")</f>
        <v/>
      </c>
    </row>
    <row r="59" customFormat="false" ht="26.85" hidden="false" customHeight="false" outlineLevel="0" collapsed="false">
      <c r="A59" s="8" t="n">
        <v>54</v>
      </c>
      <c r="B59" s="8" t="s">
        <v>294</v>
      </c>
      <c r="C59" s="8" t="s">
        <v>295</v>
      </c>
      <c r="D59" s="3" t="n">
        <v>90</v>
      </c>
      <c r="E59" s="23" t="n">
        <v>46318</v>
      </c>
      <c r="F59" s="5"/>
      <c r="G59" s="5"/>
      <c r="H59" s="13" t="s">
        <v>296</v>
      </c>
      <c r="I59" s="34" t="s">
        <v>300</v>
      </c>
      <c r="J59" s="5"/>
      <c r="K59" s="3" t="s">
        <v>352</v>
      </c>
      <c r="L59" s="3" t="n">
        <v>23</v>
      </c>
      <c r="M59" s="23" t="n">
        <v>46318</v>
      </c>
      <c r="N59" s="13" t="str">
        <f aca="false">IF(AND(E59=M59,DAY(E59)=L59,K59=MONTH(E59)&amp;"/"&amp;DAY(E59)),"일치","차이 확인")</f>
        <v>일치</v>
      </c>
      <c r="O59" s="8" t="n">
        <f aca="false">MONTH(E59)</f>
        <v>10</v>
      </c>
      <c r="P59" s="8" t="n">
        <f aca="false">IF(AND(D59&gt;01_Inputs!$B$72,D59&lt;=01_Inputs!$B$73),1,0)</f>
        <v>1</v>
      </c>
      <c r="Q59" s="8" t="str">
        <f aca="false">IF(D59-D58=1,"연속","확인")</f>
        <v>연속</v>
      </c>
      <c r="R59" s="8" t="str">
        <f aca="false">IF(COUNTIF($D$6:$D$61,D59)&gt;1,"중복","-")</f>
        <v>-</v>
      </c>
      <c r="S59" s="15" t="n">
        <f aca="false">E59-E58</f>
        <v>3</v>
      </c>
      <c r="T59" s="8" t="str">
        <f aca="false">IF(MONTH(E59)&lt;&gt;MONTH(E58),"월 경계","")</f>
        <v/>
      </c>
      <c r="U59" s="15" t="n">
        <f aca="false">S59*24</f>
        <v>72</v>
      </c>
      <c r="V59" s="15" t="n">
        <f aca="false">MAX(0,(S59-1)*24)</f>
        <v>48</v>
      </c>
      <c r="W59" s="15" t="n">
        <f aca="false">(S59+1)*24</f>
        <v>96</v>
      </c>
      <c r="X59" s="15" t="n">
        <f aca="false">IF(ROW()-6&gt;=01_Inputs!$B$74,E59-INDEX($E$6:$E$61,ROW()-6+1-01_Inputs!$B$74),"")</f>
        <v>11</v>
      </c>
      <c r="Y59" s="14" t="n">
        <f aca="false">IF(ISNUMBER(X59),(X59+1)*24/01_Inputs!$B$74,"")</f>
        <v>72</v>
      </c>
      <c r="Z59" s="8" t="str">
        <f aca="false">IF(ISNUMBER(Y59),IF(Y59&lt;01_Inputs!$B$17,"확인 필요: 57 h 미만",""),"")</f>
        <v/>
      </c>
    </row>
    <row r="60" customFormat="false" ht="26.85" hidden="false" customHeight="false" outlineLevel="0" collapsed="false">
      <c r="A60" s="8" t="n">
        <v>55</v>
      </c>
      <c r="B60" s="8" t="s">
        <v>294</v>
      </c>
      <c r="C60" s="8" t="s">
        <v>295</v>
      </c>
      <c r="D60" s="3" t="n">
        <v>91</v>
      </c>
      <c r="E60" s="23" t="n">
        <v>46321</v>
      </c>
      <c r="F60" s="5"/>
      <c r="G60" s="5"/>
      <c r="H60" s="13" t="s">
        <v>296</v>
      </c>
      <c r="I60" s="34" t="s">
        <v>300</v>
      </c>
      <c r="J60" s="5"/>
      <c r="K60" s="3" t="s">
        <v>353</v>
      </c>
      <c r="L60" s="3" t="n">
        <v>26</v>
      </c>
      <c r="M60" s="23" t="n">
        <v>46321</v>
      </c>
      <c r="N60" s="13" t="str">
        <f aca="false">IF(AND(E60=M60,DAY(E60)=L60,K60=MONTH(E60)&amp;"/"&amp;DAY(E60)),"일치","차이 확인")</f>
        <v>일치</v>
      </c>
      <c r="O60" s="8" t="n">
        <f aca="false">MONTH(E60)</f>
        <v>10</v>
      </c>
      <c r="P60" s="8" t="n">
        <f aca="false">IF(AND(D60&gt;01_Inputs!$B$72,D60&lt;=01_Inputs!$B$73),1,0)</f>
        <v>1</v>
      </c>
      <c r="Q60" s="8" t="str">
        <f aca="false">IF(D60-D59=1,"연속","확인")</f>
        <v>연속</v>
      </c>
      <c r="R60" s="8" t="str">
        <f aca="false">IF(COUNTIF($D$6:$D$61,D60)&gt;1,"중복","-")</f>
        <v>-</v>
      </c>
      <c r="S60" s="15" t="n">
        <f aca="false">E60-E59</f>
        <v>3</v>
      </c>
      <c r="T60" s="8" t="str">
        <f aca="false">IF(MONTH(E60)&lt;&gt;MONTH(E59),"월 경계","")</f>
        <v/>
      </c>
      <c r="U60" s="15" t="n">
        <f aca="false">S60*24</f>
        <v>72</v>
      </c>
      <c r="V60" s="15" t="n">
        <f aca="false">MAX(0,(S60-1)*24)</f>
        <v>48</v>
      </c>
      <c r="W60" s="15" t="n">
        <f aca="false">(S60+1)*24</f>
        <v>96</v>
      </c>
      <c r="X60" s="15" t="n">
        <f aca="false">IF(ROW()-6&gt;=01_Inputs!$B$74,E60-INDEX($E$6:$E$61,ROW()-6+1-01_Inputs!$B$74),"")</f>
        <v>11</v>
      </c>
      <c r="Y60" s="14" t="n">
        <f aca="false">IF(ISNUMBER(X60),(X60+1)*24/01_Inputs!$B$74,"")</f>
        <v>72</v>
      </c>
      <c r="Z60" s="8" t="str">
        <f aca="false">IF(ISNUMBER(Y60),IF(Y60&lt;01_Inputs!$B$17,"확인 필요: 57 h 미만",""),"")</f>
        <v/>
      </c>
    </row>
    <row r="61" customFormat="false" ht="26.85" hidden="false" customHeight="false" outlineLevel="0" collapsed="false">
      <c r="A61" s="8" t="n">
        <v>56</v>
      </c>
      <c r="B61" s="8" t="s">
        <v>294</v>
      </c>
      <c r="C61" s="8" t="s">
        <v>295</v>
      </c>
      <c r="D61" s="3" t="n">
        <v>92</v>
      </c>
      <c r="E61" s="23" t="n">
        <v>46324</v>
      </c>
      <c r="F61" s="5"/>
      <c r="G61" s="5"/>
      <c r="H61" s="13" t="s">
        <v>296</v>
      </c>
      <c r="I61" s="34" t="s">
        <v>300</v>
      </c>
      <c r="J61" s="5"/>
      <c r="K61" s="3" t="s">
        <v>354</v>
      </c>
      <c r="L61" s="3" t="n">
        <v>29</v>
      </c>
      <c r="M61" s="23" t="n">
        <v>46324</v>
      </c>
      <c r="N61" s="13" t="str">
        <f aca="false">IF(AND(E61=M61,DAY(E61)=L61,K61=MONTH(E61)&amp;"/"&amp;DAY(E61)),"일치","차이 확인")</f>
        <v>일치</v>
      </c>
      <c r="O61" s="8" t="n">
        <f aca="false">MONTH(E61)</f>
        <v>10</v>
      </c>
      <c r="P61" s="8" t="n">
        <f aca="false">IF(AND(D61&gt;01_Inputs!$B$72,D61&lt;=01_Inputs!$B$73),1,0)</f>
        <v>1</v>
      </c>
      <c r="Q61" s="8" t="str">
        <f aca="false">IF(D61-D60=1,"연속","확인")</f>
        <v>연속</v>
      </c>
      <c r="R61" s="8" t="str">
        <f aca="false">IF(COUNTIF($D$6:$D$61,D61)&gt;1,"중복","-")</f>
        <v>-</v>
      </c>
      <c r="S61" s="15" t="n">
        <f aca="false">E61-E60</f>
        <v>3</v>
      </c>
      <c r="T61" s="8" t="str">
        <f aca="false">IF(MONTH(E61)&lt;&gt;MONTH(E60),"월 경계","")</f>
        <v/>
      </c>
      <c r="U61" s="15" t="n">
        <f aca="false">S61*24</f>
        <v>72</v>
      </c>
      <c r="V61" s="15" t="n">
        <f aca="false">MAX(0,(S61-1)*24)</f>
        <v>48</v>
      </c>
      <c r="W61" s="15" t="n">
        <f aca="false">(S61+1)*24</f>
        <v>96</v>
      </c>
      <c r="X61" s="15" t="n">
        <f aca="false">IF(ROW()-6&gt;=01_Inputs!$B$74,E61-INDEX($E$6:$E$61,ROW()-6+1-01_Inputs!$B$74),"")</f>
        <v>11</v>
      </c>
      <c r="Y61" s="14" t="n">
        <f aca="false">IF(ISNUMBER(X61),(X61+1)*24/01_Inputs!$B$74,"")</f>
        <v>72</v>
      </c>
      <c r="Z61" s="8" t="str">
        <f aca="false">IF(ISNUMBER(Y61),IF(Y61&lt;01_Inputs!$B$17,"확인 필요: 57 h 미만",""),"")</f>
        <v/>
      </c>
    </row>
    <row r="63" customFormat="false" ht="15" hidden="false" customHeight="false" outlineLevel="0" collapsed="false">
      <c r="A63" s="35" t="s">
        <v>355</v>
      </c>
    </row>
    <row r="64" customFormat="false" ht="39.75" hidden="false" customHeight="true" outlineLevel="0" collapsed="false">
      <c r="A64" s="10" t="s">
        <v>230</v>
      </c>
      <c r="B64" s="10" t="s">
        <v>356</v>
      </c>
      <c r="C64" s="10" t="s">
        <v>357</v>
      </c>
      <c r="D64" s="10" t="s">
        <v>358</v>
      </c>
      <c r="E64" s="10" t="s">
        <v>359</v>
      </c>
      <c r="F64" s="10" t="s">
        <v>360</v>
      </c>
      <c r="G64" s="25" t="s">
        <v>361</v>
      </c>
      <c r="H64" s="10" t="s">
        <v>362</v>
      </c>
      <c r="I64" s="10" t="s">
        <v>363</v>
      </c>
      <c r="J64" s="10" t="s">
        <v>364</v>
      </c>
      <c r="K64" s="10" t="s">
        <v>365</v>
      </c>
      <c r="L64" s="10" t="s">
        <v>366</v>
      </c>
      <c r="M64" s="10" t="s">
        <v>367</v>
      </c>
      <c r="N64" s="10" t="s">
        <v>368</v>
      </c>
      <c r="O64" s="25" t="s">
        <v>369</v>
      </c>
      <c r="P64" s="25" t="s">
        <v>370</v>
      </c>
      <c r="Q64" s="25" t="s">
        <v>371</v>
      </c>
      <c r="R64" s="25" t="s">
        <v>372</v>
      </c>
      <c r="S64" s="25" t="s">
        <v>373</v>
      </c>
      <c r="T64" s="25" t="s">
        <v>374</v>
      </c>
      <c r="U64" s="10" t="s">
        <v>375</v>
      </c>
      <c r="V64" s="10" t="s">
        <v>15</v>
      </c>
    </row>
    <row r="65" customFormat="false" ht="52.2" hidden="false" customHeight="false" outlineLevel="0" collapsed="false">
      <c r="A65" s="8" t="s">
        <v>376</v>
      </c>
      <c r="B65" s="8" t="str">
        <f aca="false">"#"&amp;_xlfn.MINIFS($D$6:$D$61,$O$6:$O$61,5)&amp;"~#"&amp;_xlfn.MAXIFS($D$6:$D$61,$O$6:$O$61,5)</f>
        <v>#37~#38</v>
      </c>
      <c r="C65" s="8" t="n">
        <f aca="false">COUNTIF($O$6:$O$61,5)</f>
        <v>2</v>
      </c>
      <c r="E65" s="8" t="str">
        <f aca="false">IF(ISNUMBER(D65),C65-D65,"원자료 Total 없음")</f>
        <v>원자료 Total 없음</v>
      </c>
      <c r="F65" s="36" t="n">
        <f aca="false">C65*01_Inputs!$B$32</f>
        <v>380</v>
      </c>
      <c r="G65" s="36" t="str">
        <f aca="false">IF(ISNUMBER(D65),D65*01_Inputs!$B$32,"-")</f>
        <v>-</v>
      </c>
      <c r="H65" s="37" t="n">
        <f aca="false">_xlfn.MINIFS($E$6:$E$61,$O$6:$O$61,5)</f>
        <v>46165</v>
      </c>
      <c r="I65" s="37" t="n">
        <f aca="false">_xlfn.MAXIFS($E$6:$E$61,$O$6:$O$61,5)</f>
        <v>46168</v>
      </c>
      <c r="J65" s="8" t="n">
        <f aca="false">COUNTIFS($O$6:$O$61,5,$P$6:$P$61,1)</f>
        <v>0</v>
      </c>
      <c r="K65" s="20" t="str">
        <f aca="false">IF(J65&gt;0,AVERAGEIFS($S$6:$S$61,$O$6:$O$61,5,$P$6:$P$61,1),"-")</f>
        <v>-</v>
      </c>
      <c r="L65" s="20" t="str">
        <f aca="false" t="array" ref="L65:L65">IF(J65&gt;0,MEDIAN(IF(($O$6:$O$61=5)*($P$6:$P$61=1),$S$6:$S$61)),"-")</f>
        <v>-</v>
      </c>
      <c r="M65" s="8" t="str">
        <f aca="false">IF(J65&gt;0,_xlfn.MINIFS($S$6:$S$61,$O$6:$O$61,5,$P$6:$P$61,1),"-")</f>
        <v>-</v>
      </c>
      <c r="N65" s="8" t="str">
        <f aca="false">IF(J65&gt;0,_xlfn.MAXIFS($S$6:$S$61,$O$6:$O$61,5,$P$6:$P$61,1),"-")</f>
        <v>-</v>
      </c>
      <c r="O65" s="8" t="n">
        <f aca="false">COUNTIFS($O$6:$O$61,5,$P$6:$P$61,1,$S$6:$S$61,1)</f>
        <v>0</v>
      </c>
      <c r="P65" s="8" t="n">
        <f aca="false">COUNTIFS($O$6:$O$61,5,$P$6:$P$61,1,$S$6:$S$61,2)</f>
        <v>0</v>
      </c>
      <c r="Q65" s="8" t="n">
        <f aca="false">COUNTIFS($O$6:$O$61,5,$P$6:$P$61,1,$S$6:$S$61,3)</f>
        <v>0</v>
      </c>
      <c r="R65" s="8" t="n">
        <f aca="false">COUNTIFS($O$6:$O$61,5,$P$6:$P$61,1,$S$6:$S$61,4)</f>
        <v>0</v>
      </c>
      <c r="S65" s="8" t="n">
        <f aca="false">COUNTIFS($O$6:$O$61,5,$P$6:$P$61,1,$S$6:$S$61,5)</f>
        <v>0</v>
      </c>
      <c r="T65" s="8" t="n">
        <f aca="false">COUNTIFS($O$6:$O$61,5,$P$6:$P$61,1,$S$6:$S$61,"&gt;=6")</f>
        <v>0</v>
      </c>
      <c r="U65" s="8" t="n">
        <f aca="false">COUNTIFS($O$6:$O$61,5,$P$6:$P$61,1,$T$6:$T$61,"월 경계")</f>
        <v>0</v>
      </c>
      <c r="V65" s="8" t="s">
        <v>377</v>
      </c>
    </row>
    <row r="66" customFormat="false" ht="15" hidden="false" customHeight="false" outlineLevel="0" collapsed="false">
      <c r="A66" s="8" t="s">
        <v>378</v>
      </c>
      <c r="B66" s="8" t="str">
        <f aca="false">"#"&amp;_xlfn.MINIFS($D$6:$D$61,$O$6:$O$61,6)&amp;"~#"&amp;_xlfn.MAXIFS($D$6:$D$61,$O$6:$O$61,6)</f>
        <v>#39~#49</v>
      </c>
      <c r="C66" s="38" t="n">
        <f aca="false">COUNTIF($O$6:$O$61,6)</f>
        <v>11</v>
      </c>
      <c r="D66" s="3" t="n">
        <v>8</v>
      </c>
      <c r="E66" s="38" t="n">
        <f aca="false">IF(ISNUMBER(D66),C66-D66,"원자료 Total 없음")</f>
        <v>3</v>
      </c>
      <c r="F66" s="36" t="n">
        <f aca="false">C66*01_Inputs!$B$32</f>
        <v>2090</v>
      </c>
      <c r="G66" s="36" t="n">
        <f aca="false">IF(ISNUMBER(D66),D66*01_Inputs!$B$32,"-")</f>
        <v>1520</v>
      </c>
      <c r="H66" s="37" t="n">
        <f aca="false">_xlfn.MINIFS($E$6:$E$61,$O$6:$O$61,6)</f>
        <v>46175</v>
      </c>
      <c r="I66" s="37" t="n">
        <f aca="false">_xlfn.MAXIFS($E$6:$E$61,$O$6:$O$61,6)</f>
        <v>46201</v>
      </c>
      <c r="J66" s="8" t="n">
        <f aca="false">COUNTIFS($O$6:$O$61,6,$P$6:$P$61,1)</f>
        <v>10</v>
      </c>
      <c r="K66" s="20" t="n">
        <f aca="false">IF(J66&gt;0,AVERAGEIFS($S$6:$S$61,$O$6:$O$61,6,$P$6:$P$61,1),"-")</f>
        <v>2.6</v>
      </c>
      <c r="L66" s="20" t="n">
        <f aca="false" t="array" ref="L66:L66">IF(J66&gt;0,MEDIAN(IF(($O$6:$O$61=6)*($P$6:$P$61=1),$S$6:$S$61)),"-")</f>
        <v>3</v>
      </c>
      <c r="M66" s="8" t="n">
        <f aca="false">IF(J66&gt;0,_xlfn.MINIFS($S$6:$S$61,$O$6:$O$61,6,$P$6:$P$61,1),"-")</f>
        <v>1</v>
      </c>
      <c r="N66" s="8" t="n">
        <f aca="false">IF(J66&gt;0,_xlfn.MAXIFS($S$6:$S$61,$O$6:$O$61,6,$P$6:$P$61,1),"-")</f>
        <v>3</v>
      </c>
      <c r="O66" s="8" t="n">
        <f aca="false">COUNTIFS($O$6:$O$61,6,$P$6:$P$61,1,$S$6:$S$61,1)</f>
        <v>1</v>
      </c>
      <c r="P66" s="8" t="n">
        <f aca="false">COUNTIFS($O$6:$O$61,6,$P$6:$P$61,1,$S$6:$S$61,2)</f>
        <v>2</v>
      </c>
      <c r="Q66" s="8" t="n">
        <f aca="false">COUNTIFS($O$6:$O$61,6,$P$6:$P$61,1,$S$6:$S$61,3)</f>
        <v>7</v>
      </c>
      <c r="R66" s="8" t="n">
        <f aca="false">COUNTIFS($O$6:$O$61,6,$P$6:$P$61,1,$S$6:$S$61,4)</f>
        <v>0</v>
      </c>
      <c r="S66" s="8" t="n">
        <f aca="false">COUNTIFS($O$6:$O$61,6,$P$6:$P$61,1,$S$6:$S$61,5)</f>
        <v>0</v>
      </c>
      <c r="T66" s="8" t="n">
        <f aca="false">COUNTIFS($O$6:$O$61,6,$P$6:$P$61,1,$S$6:$S$61,"&gt;=6")</f>
        <v>0</v>
      </c>
      <c r="U66" s="8" t="n">
        <f aca="false">COUNTIFS($O$6:$O$61,6,$P$6:$P$61,1,$T$6:$T$61,"월 경계")</f>
        <v>0</v>
      </c>
      <c r="V66" s="8"/>
    </row>
    <row r="67" customFormat="false" ht="15" hidden="false" customHeight="false" outlineLevel="0" collapsed="false">
      <c r="A67" s="8" t="s">
        <v>379</v>
      </c>
      <c r="B67" s="8" t="str">
        <f aca="false">"#"&amp;_xlfn.MINIFS($D$6:$D$61,$O$6:$O$61,7)&amp;"~#"&amp;_xlfn.MAXIFS($D$6:$D$61,$O$6:$O$61,7)</f>
        <v>#50~#60</v>
      </c>
      <c r="C67" s="38" t="n">
        <f aca="false">COUNTIF($O$6:$O$61,7)</f>
        <v>11</v>
      </c>
      <c r="D67" s="3" t="n">
        <v>11</v>
      </c>
      <c r="E67" s="38" t="n">
        <f aca="false">IF(ISNUMBER(D67),C67-D67,"원자료 Total 없음")</f>
        <v>0</v>
      </c>
      <c r="F67" s="36" t="n">
        <f aca="false">C67*01_Inputs!$B$32</f>
        <v>2090</v>
      </c>
      <c r="G67" s="36" t="n">
        <f aca="false">IF(ISNUMBER(D67),D67*01_Inputs!$B$32,"-")</f>
        <v>2090</v>
      </c>
      <c r="H67" s="37" t="n">
        <f aca="false">_xlfn.MINIFS($E$6:$E$61,$O$6:$O$61,7)</f>
        <v>46204</v>
      </c>
      <c r="I67" s="37" t="n">
        <f aca="false">_xlfn.MAXIFS($E$6:$E$61,$O$6:$O$61,7)</f>
        <v>46232</v>
      </c>
      <c r="J67" s="8" t="n">
        <f aca="false">COUNTIFS($O$6:$O$61,7,$P$6:$P$61,1)</f>
        <v>11</v>
      </c>
      <c r="K67" s="20" t="n">
        <f aca="false">IF(J67&gt;0,AVERAGEIFS($S$6:$S$61,$O$6:$O$61,7,$P$6:$P$61,1),"-")</f>
        <v>2.81818181818182</v>
      </c>
      <c r="L67" s="20" t="n">
        <f aca="false" t="array" ref="L67:L67">IF(J67&gt;0,MEDIAN(IF(($O$6:$O$61=7)*($P$6:$P$61=1),$S$6:$S$61)),"-")</f>
        <v>3</v>
      </c>
      <c r="M67" s="8" t="n">
        <f aca="false">IF(J67&gt;0,_xlfn.MINIFS($S$6:$S$61,$O$6:$O$61,7,$P$6:$P$61,1),"-")</f>
        <v>2</v>
      </c>
      <c r="N67" s="8" t="n">
        <f aca="false">IF(J67&gt;0,_xlfn.MAXIFS($S$6:$S$61,$O$6:$O$61,7,$P$6:$P$61,1),"-")</f>
        <v>3</v>
      </c>
      <c r="O67" s="8" t="n">
        <f aca="false">COUNTIFS($O$6:$O$61,7,$P$6:$P$61,1,$S$6:$S$61,1)</f>
        <v>0</v>
      </c>
      <c r="P67" s="8" t="n">
        <f aca="false">COUNTIFS($O$6:$O$61,7,$P$6:$P$61,1,$S$6:$S$61,2)</f>
        <v>2</v>
      </c>
      <c r="Q67" s="8" t="n">
        <f aca="false">COUNTIFS($O$6:$O$61,7,$P$6:$P$61,1,$S$6:$S$61,3)</f>
        <v>9</v>
      </c>
      <c r="R67" s="8" t="n">
        <f aca="false">COUNTIFS($O$6:$O$61,7,$P$6:$P$61,1,$S$6:$S$61,4)</f>
        <v>0</v>
      </c>
      <c r="S67" s="8" t="n">
        <f aca="false">COUNTIFS($O$6:$O$61,7,$P$6:$P$61,1,$S$6:$S$61,5)</f>
        <v>0</v>
      </c>
      <c r="T67" s="8" t="n">
        <f aca="false">COUNTIFS($O$6:$O$61,7,$P$6:$P$61,1,$S$6:$S$61,"&gt;=6")</f>
        <v>0</v>
      </c>
      <c r="U67" s="8" t="n">
        <f aca="false">COUNTIFS($O$6:$O$61,7,$P$6:$P$61,1,$T$6:$T$61,"월 경계")</f>
        <v>1</v>
      </c>
      <c r="V67" s="8"/>
    </row>
    <row r="68" customFormat="false" ht="15" hidden="false" customHeight="false" outlineLevel="0" collapsed="false">
      <c r="A68" s="8" t="s">
        <v>380</v>
      </c>
      <c r="B68" s="8" t="str">
        <f aca="false">"#"&amp;_xlfn.MINIFS($D$6:$D$61,$O$6:$O$61,8)&amp;"~#"&amp;_xlfn.MAXIFS($D$6:$D$61,$O$6:$O$61,8)</f>
        <v>#61~#71</v>
      </c>
      <c r="C68" s="38" t="n">
        <f aca="false">COUNTIF($O$6:$O$61,8)</f>
        <v>11</v>
      </c>
      <c r="D68" s="3" t="n">
        <v>8</v>
      </c>
      <c r="E68" s="38" t="n">
        <f aca="false">IF(ISNUMBER(D68),C68-D68,"원자료 Total 없음")</f>
        <v>3</v>
      </c>
      <c r="F68" s="36" t="n">
        <f aca="false">C68*01_Inputs!$B$32</f>
        <v>2090</v>
      </c>
      <c r="G68" s="36" t="n">
        <f aca="false">IF(ISNUMBER(D68),D68*01_Inputs!$B$32,"-")</f>
        <v>1520</v>
      </c>
      <c r="H68" s="37" t="n">
        <f aca="false">_xlfn.MINIFS($E$6:$E$61,$O$6:$O$61,8)</f>
        <v>46235</v>
      </c>
      <c r="I68" s="37" t="n">
        <f aca="false">_xlfn.MAXIFS($E$6:$E$61,$O$6:$O$61,8)</f>
        <v>46265</v>
      </c>
      <c r="J68" s="8" t="n">
        <f aca="false">COUNTIFS($O$6:$O$61,8,$P$6:$P$61,1)</f>
        <v>11</v>
      </c>
      <c r="K68" s="20" t="n">
        <f aca="false">IF(J68&gt;0,AVERAGEIFS($S$6:$S$61,$O$6:$O$61,8,$P$6:$P$61,1),"-")</f>
        <v>3</v>
      </c>
      <c r="L68" s="20" t="n">
        <f aca="false" t="array" ref="L68:L68">IF(J68&gt;0,MEDIAN(IF(($O$6:$O$61=8)*($P$6:$P$61=1),$S$6:$S$61)),"-")</f>
        <v>3</v>
      </c>
      <c r="M68" s="8" t="n">
        <f aca="false">IF(J68&gt;0,_xlfn.MINIFS($S$6:$S$61,$O$6:$O$61,8,$P$6:$P$61,1),"-")</f>
        <v>3</v>
      </c>
      <c r="N68" s="8" t="n">
        <f aca="false">IF(J68&gt;0,_xlfn.MAXIFS($S$6:$S$61,$O$6:$O$61,8,$P$6:$P$61,1),"-")</f>
        <v>3</v>
      </c>
      <c r="O68" s="8" t="n">
        <f aca="false">COUNTIFS($O$6:$O$61,8,$P$6:$P$61,1,$S$6:$S$61,1)</f>
        <v>0</v>
      </c>
      <c r="P68" s="8" t="n">
        <f aca="false">COUNTIFS($O$6:$O$61,8,$P$6:$P$61,1,$S$6:$S$61,2)</f>
        <v>0</v>
      </c>
      <c r="Q68" s="8" t="n">
        <f aca="false">COUNTIFS($O$6:$O$61,8,$P$6:$P$61,1,$S$6:$S$61,3)</f>
        <v>11</v>
      </c>
      <c r="R68" s="8" t="n">
        <f aca="false">COUNTIFS($O$6:$O$61,8,$P$6:$P$61,1,$S$6:$S$61,4)</f>
        <v>0</v>
      </c>
      <c r="S68" s="8" t="n">
        <f aca="false">COUNTIFS($O$6:$O$61,8,$P$6:$P$61,1,$S$6:$S$61,5)</f>
        <v>0</v>
      </c>
      <c r="T68" s="8" t="n">
        <f aca="false">COUNTIFS($O$6:$O$61,8,$P$6:$P$61,1,$S$6:$S$61,"&gt;=6")</f>
        <v>0</v>
      </c>
      <c r="U68" s="8" t="n">
        <f aca="false">COUNTIFS($O$6:$O$61,8,$P$6:$P$61,1,$T$6:$T$61,"월 경계")</f>
        <v>1</v>
      </c>
      <c r="V68" s="8"/>
    </row>
    <row r="69" customFormat="false" ht="15" hidden="false" customHeight="false" outlineLevel="0" collapsed="false">
      <c r="A69" s="8" t="s">
        <v>381</v>
      </c>
      <c r="B69" s="8" t="str">
        <f aca="false">"#"&amp;_xlfn.MINIFS($D$6:$D$61,$O$6:$O$61,9)&amp;"~#"&amp;_xlfn.MAXIFS($D$6:$D$61,$O$6:$O$61,9)</f>
        <v>#72~#81</v>
      </c>
      <c r="C69" s="38" t="n">
        <f aca="false">COUNTIF($O$6:$O$61,9)</f>
        <v>10</v>
      </c>
      <c r="D69" s="3" t="n">
        <v>8</v>
      </c>
      <c r="E69" s="38" t="n">
        <f aca="false">IF(ISNUMBER(D69),C69-D69,"원자료 Total 없음")</f>
        <v>2</v>
      </c>
      <c r="F69" s="36" t="n">
        <f aca="false">C69*01_Inputs!$B$32</f>
        <v>1900</v>
      </c>
      <c r="G69" s="36" t="n">
        <f aca="false">IF(ISNUMBER(D69),D69*01_Inputs!$B$32,"-")</f>
        <v>1520</v>
      </c>
      <c r="H69" s="37" t="n">
        <f aca="false">_xlfn.MINIFS($E$6:$E$61,$O$6:$O$61,9)</f>
        <v>46268</v>
      </c>
      <c r="I69" s="37" t="n">
        <f aca="false">_xlfn.MAXIFS($E$6:$E$61,$O$6:$O$61,9)</f>
        <v>46293</v>
      </c>
      <c r="J69" s="8" t="n">
        <f aca="false">COUNTIFS($O$6:$O$61,9,$P$6:$P$61,1)</f>
        <v>10</v>
      </c>
      <c r="K69" s="20" t="n">
        <f aca="false">IF(J69&gt;0,AVERAGEIFS($S$6:$S$61,$O$6:$O$61,9,$P$6:$P$61,1),"-")</f>
        <v>2.8</v>
      </c>
      <c r="L69" s="20" t="n">
        <f aca="false" t="array" ref="L69:L69">IF(J69&gt;0,MEDIAN(IF(($O$6:$O$61=9)*($P$6:$P$61=1),$S$6:$S$61)),"-")</f>
        <v>2.5</v>
      </c>
      <c r="M69" s="8" t="n">
        <f aca="false">IF(J69&gt;0,_xlfn.MINIFS($S$6:$S$61,$O$6:$O$61,9,$P$6:$P$61,1),"-")</f>
        <v>2</v>
      </c>
      <c r="N69" s="8" t="n">
        <f aca="false">IF(J69&gt;0,_xlfn.MAXIFS($S$6:$S$61,$O$6:$O$61,9,$P$6:$P$61,1),"-")</f>
        <v>5</v>
      </c>
      <c r="O69" s="8" t="n">
        <f aca="false">COUNTIFS($O$6:$O$61,9,$P$6:$P$61,1,$S$6:$S$61,1)</f>
        <v>0</v>
      </c>
      <c r="P69" s="8" t="n">
        <f aca="false">COUNTIFS($O$6:$O$61,9,$P$6:$P$61,1,$S$6:$S$61,2)</f>
        <v>5</v>
      </c>
      <c r="Q69" s="8" t="n">
        <f aca="false">COUNTIFS($O$6:$O$61,9,$P$6:$P$61,1,$S$6:$S$61,3)</f>
        <v>3</v>
      </c>
      <c r="R69" s="8" t="n">
        <f aca="false">COUNTIFS($O$6:$O$61,9,$P$6:$P$61,1,$S$6:$S$61,4)</f>
        <v>1</v>
      </c>
      <c r="S69" s="8" t="n">
        <f aca="false">COUNTIFS($O$6:$O$61,9,$P$6:$P$61,1,$S$6:$S$61,5)</f>
        <v>1</v>
      </c>
      <c r="T69" s="8" t="n">
        <f aca="false">COUNTIFS($O$6:$O$61,9,$P$6:$P$61,1,$S$6:$S$61,"&gt;=6")</f>
        <v>0</v>
      </c>
      <c r="U69" s="8" t="n">
        <f aca="false">COUNTIFS($O$6:$O$61,9,$P$6:$P$61,1,$T$6:$T$61,"월 경계")</f>
        <v>1</v>
      </c>
      <c r="V69" s="8"/>
    </row>
    <row r="70" customFormat="false" ht="15" hidden="false" customHeight="false" outlineLevel="0" collapsed="false">
      <c r="A70" s="8" t="s">
        <v>382</v>
      </c>
      <c r="B70" s="8" t="str">
        <f aca="false">"#"&amp;_xlfn.MINIFS($D$6:$D$61,$O$6:$O$61,10)&amp;"~#"&amp;_xlfn.MAXIFS($D$6:$D$61,$O$6:$O$61,10)</f>
        <v>#82~#92</v>
      </c>
      <c r="C70" s="38" t="n">
        <f aca="false">COUNTIF($O$6:$O$61,10)</f>
        <v>11</v>
      </c>
      <c r="D70" s="3" t="n">
        <v>11</v>
      </c>
      <c r="E70" s="38" t="n">
        <f aca="false">IF(ISNUMBER(D70),C70-D70,"원자료 Total 없음")</f>
        <v>0</v>
      </c>
      <c r="F70" s="36" t="n">
        <f aca="false">C70*01_Inputs!$B$32</f>
        <v>2090</v>
      </c>
      <c r="G70" s="36" t="n">
        <f aca="false">IF(ISNUMBER(D70),D70*01_Inputs!$B$32,"-")</f>
        <v>2090</v>
      </c>
      <c r="H70" s="37" t="n">
        <f aca="false">_xlfn.MINIFS($E$6:$E$61,$O$6:$O$61,10)</f>
        <v>46296</v>
      </c>
      <c r="I70" s="37" t="n">
        <f aca="false">_xlfn.MAXIFS($E$6:$E$61,$O$6:$O$61,10)</f>
        <v>46324</v>
      </c>
      <c r="J70" s="8" t="n">
        <f aca="false">COUNTIFS($O$6:$O$61,10,$P$6:$P$61,1)</f>
        <v>11</v>
      </c>
      <c r="K70" s="20" t="n">
        <f aca="false">IF(J70&gt;0,AVERAGEIFS($S$6:$S$61,$O$6:$O$61,10,$P$6:$P$61,1),"-")</f>
        <v>2.81818181818182</v>
      </c>
      <c r="L70" s="20" t="n">
        <f aca="false" t="array" ref="L70:L70">IF(J70&gt;0,MEDIAN(IF(($O$6:$O$61=10)*($P$6:$P$61=1),$S$6:$S$61)),"-")</f>
        <v>3</v>
      </c>
      <c r="M70" s="8" t="n">
        <f aca="false">IF(J70&gt;0,_xlfn.MINIFS($S$6:$S$61,$O$6:$O$61,10,$P$6:$P$61,1),"-")</f>
        <v>2</v>
      </c>
      <c r="N70" s="8" t="n">
        <f aca="false">IF(J70&gt;0,_xlfn.MAXIFS($S$6:$S$61,$O$6:$O$61,10,$P$6:$P$61,1),"-")</f>
        <v>3</v>
      </c>
      <c r="O70" s="8" t="n">
        <f aca="false">COUNTIFS($O$6:$O$61,10,$P$6:$P$61,1,$S$6:$S$61,1)</f>
        <v>0</v>
      </c>
      <c r="P70" s="8" t="n">
        <f aca="false">COUNTIFS($O$6:$O$61,10,$P$6:$P$61,1,$S$6:$S$61,2)</f>
        <v>2</v>
      </c>
      <c r="Q70" s="8" t="n">
        <f aca="false">COUNTIFS($O$6:$O$61,10,$P$6:$P$61,1,$S$6:$S$61,3)</f>
        <v>9</v>
      </c>
      <c r="R70" s="8" t="n">
        <f aca="false">COUNTIFS($O$6:$O$61,10,$P$6:$P$61,1,$S$6:$S$61,4)</f>
        <v>0</v>
      </c>
      <c r="S70" s="8" t="n">
        <f aca="false">COUNTIFS($O$6:$O$61,10,$P$6:$P$61,1,$S$6:$S$61,5)</f>
        <v>0</v>
      </c>
      <c r="T70" s="8" t="n">
        <f aca="false">COUNTIFS($O$6:$O$61,10,$P$6:$P$61,1,$S$6:$S$61,"&gt;=6")</f>
        <v>0</v>
      </c>
      <c r="U70" s="8" t="n">
        <f aca="false">COUNTIFS($O$6:$O$61,10,$P$6:$P$61,1,$T$6:$T$61,"월 경계")</f>
        <v>1</v>
      </c>
      <c r="V70" s="8"/>
    </row>
    <row r="71" customFormat="false" ht="39.55" hidden="false" customHeight="false" outlineLevel="0" collapsed="false">
      <c r="A71" s="30" t="s">
        <v>383</v>
      </c>
      <c r="B71" s="9" t="str">
        <f aca="false">"#"&amp;_xlfn.MINIFS($D$6:$D$61,$O$6:$O$61,"&gt;=6")&amp;"~#"&amp;_xlfn.MAXIFS($D$6:$D$61,$O$6:$O$61,"&lt;=10")</f>
        <v>#39~#92</v>
      </c>
      <c r="C71" s="9" t="n">
        <f aca="false">SUM(C66:C70)</f>
        <v>54</v>
      </c>
      <c r="D71" s="9" t="n">
        <f aca="false">SUM(D66:D70)</f>
        <v>46</v>
      </c>
      <c r="E71" s="39" t="n">
        <f aca="false">C71-D71</f>
        <v>8</v>
      </c>
      <c r="F71" s="40" t="n">
        <f aca="false">SUM(F66:F70)</f>
        <v>10260</v>
      </c>
      <c r="G71" s="40" t="n">
        <f aca="false">SUM(G66:G70)</f>
        <v>8740</v>
      </c>
      <c r="H71" s="41" t="n">
        <f aca="false">H66</f>
        <v>46175</v>
      </c>
      <c r="I71" s="41" t="n">
        <f aca="false">I70</f>
        <v>46324</v>
      </c>
      <c r="J71" s="9" t="n">
        <f aca="false">SUM(J66:J70)</f>
        <v>53</v>
      </c>
      <c r="K71" s="42" t="n">
        <f aca="false">AVERAGEIFS($S$6:$S$61,$P$6:$P$61,1)</f>
        <v>2.81132075471698</v>
      </c>
      <c r="L71" s="42" t="n">
        <f aca="false" t="array" ref="L71:L71">MEDIAN(IF($P$6:$P$61=1,$S$6:$S$61))</f>
        <v>3</v>
      </c>
      <c r="M71" s="9" t="n">
        <f aca="false">_xlfn.MINIFS($S$6:$S$61,$P$6:$P$61,1)</f>
        <v>1</v>
      </c>
      <c r="N71" s="9" t="n">
        <f aca="false">_xlfn.MAXIFS($S$6:$S$61,$P$6:$P$61,1)</f>
        <v>5</v>
      </c>
      <c r="O71" s="9" t="n">
        <f aca="false">SUM(O66:O70)</f>
        <v>1</v>
      </c>
      <c r="P71" s="9" t="n">
        <f aca="false">SUM(P66:P70)</f>
        <v>11</v>
      </c>
      <c r="Q71" s="9" t="n">
        <f aca="false">SUM(Q66:Q70)</f>
        <v>39</v>
      </c>
      <c r="R71" s="9" t="n">
        <f aca="false">SUM(R66:R70)</f>
        <v>1</v>
      </c>
      <c r="S71" s="9" t="n">
        <f aca="false">SUM(S66:S70)</f>
        <v>1</v>
      </c>
      <c r="T71" s="9" t="n">
        <f aca="false">SUM(T66:T70)</f>
        <v>0</v>
      </c>
      <c r="U71" s="9" t="n">
        <f aca="false">SUM(U66:U70)</f>
        <v>4</v>
      </c>
      <c r="V71" s="30" t="s">
        <v>384</v>
      </c>
    </row>
    <row r="73" customFormat="false" ht="15" hidden="false" customHeight="true" outlineLevel="0" collapsed="false">
      <c r="A73" s="13" t="s">
        <v>385</v>
      </c>
      <c r="B73" s="13"/>
      <c r="C73" s="13"/>
      <c r="D73" s="13"/>
      <c r="E73" s="43" t="n">
        <f aca="false">COUNTIF($N$6:$N$61,"차이 확인")</f>
        <v>0</v>
      </c>
    </row>
    <row r="74" customFormat="false" ht="15" hidden="false" customHeight="true" outlineLevel="0" collapsed="false">
      <c r="A74" s="13" t="s">
        <v>386</v>
      </c>
      <c r="B74" s="13"/>
      <c r="C74" s="13"/>
      <c r="D74" s="13"/>
      <c r="E74" s="43" t="n">
        <f aca="false">COUNTIF($Q$6:$Q$61,"확인")</f>
        <v>0</v>
      </c>
    </row>
    <row r="75" customFormat="false" ht="15" hidden="false" customHeight="true" outlineLevel="0" collapsed="false">
      <c r="A75" s="13" t="s">
        <v>387</v>
      </c>
      <c r="B75" s="13"/>
      <c r="C75" s="13"/>
      <c r="D75" s="13"/>
      <c r="E75" s="43" t="n">
        <f aca="false">COUNTIF($R$6:$R$61,"중복")</f>
        <v>0</v>
      </c>
    </row>
    <row r="76" customFormat="false" ht="15" hidden="false" customHeight="true" outlineLevel="0" collapsed="false">
      <c r="A76" s="13" t="s">
        <v>388</v>
      </c>
      <c r="B76" s="13"/>
      <c r="C76" s="13"/>
      <c r="D76" s="13"/>
      <c r="E76" s="43" t="n">
        <f aca="false">SUMPRODUCT(--(E66:E70&lt;&gt;0))</f>
        <v>3</v>
      </c>
    </row>
    <row r="77" customFormat="false" ht="15" hidden="false" customHeight="true" outlineLevel="0" collapsed="false">
      <c r="A77" s="8" t="s">
        <v>389</v>
      </c>
      <c r="B77" s="8"/>
      <c r="C77" s="8"/>
      <c r="D77" s="8"/>
      <c r="E77" s="43" t="n">
        <f aca="false">COUNTIF($Z$6:$Z$61,"확인 필요*")</f>
        <v>4</v>
      </c>
    </row>
    <row r="79" customFormat="false" ht="15" hidden="false" customHeight="false" outlineLevel="0" collapsed="false">
      <c r="A79" s="2" t="s">
        <v>390</v>
      </c>
    </row>
    <row r="80" customFormat="false" ht="15" hidden="false" customHeight="false" outlineLevel="0" collapsed="false">
      <c r="A80" s="2" t="s">
        <v>391</v>
      </c>
    </row>
    <row r="81" customFormat="false" ht="15" hidden="false" customHeight="false" outlineLevel="0" collapsed="false">
      <c r="A81" s="2" t="s">
        <v>392</v>
      </c>
    </row>
    <row r="82" customFormat="false" ht="15" hidden="false" customHeight="false" outlineLevel="0" collapsed="false">
      <c r="A82" s="2" t="s">
        <v>393</v>
      </c>
    </row>
  </sheetData>
  <autoFilter ref="A5:Z61"/>
  <mergeCells count="5">
    <mergeCell ref="A73:D73"/>
    <mergeCell ref="A74:D74"/>
    <mergeCell ref="A75:D75"/>
    <mergeCell ref="A76:D76"/>
    <mergeCell ref="A77:D77"/>
  </mergeCells>
  <conditionalFormatting sqref="E66:E71">
    <cfRule type="expression" priority="2" aboveAverage="0" equalAverage="0" bottom="0" percent="0" rank="0" text="" dxfId="14">
      <formula>AND(ISNUMBER(E66),E66&lt;&gt;0)</formula>
    </cfRule>
  </conditionalFormatting>
  <conditionalFormatting sqref="C66:D70">
    <cfRule type="expression" priority="3" aboveAverage="0" equalAverage="0" bottom="0" percent="0" rank="0" text="" dxfId="14">
      <formula>AND(ISNUMBER($D66),$C66&lt;&gt;$D66)</formula>
    </cfRule>
  </conditionalFormatting>
  <conditionalFormatting sqref="N6:N61">
    <cfRule type="expression" priority="4" aboveAverage="0" equalAverage="0" bottom="0" percent="0" rank="0" text="" dxfId="14">
      <formula>N6="차이 확인"</formula>
    </cfRule>
  </conditionalFormatting>
  <conditionalFormatting sqref="Z6:Z61">
    <cfRule type="expression" priority="5" aboveAverage="0" equalAverage="0" bottom="0" percent="0" rank="0" text="" dxfId="14">
      <formula>LEFT(Z6,2)="확인"</formula>
    </cfRule>
  </conditionalFormatting>
  <conditionalFormatting sqref="S6:S61">
    <cfRule type="expression" priority="6" aboveAverage="0" equalAverage="0" bottom="0" percent="0" rank="0" text="" dxfId="15">
      <formula>AND(ISNUMBER(S6),S6&lt;=2)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false"/>
  </sheetPr>
  <dimension ref="A1:AT1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4"/>
    <col collapsed="false" customWidth="true" hidden="false" outlineLevel="0" max="8" min="8" style="0" width="44"/>
    <col collapsed="false" customWidth="true" hidden="false" outlineLevel="0" max="46" min="10" style="0" width="3.2"/>
  </cols>
  <sheetData>
    <row r="1" customFormat="false" ht="21.6" hidden="false" customHeight="false" outlineLevel="0" collapsed="false">
      <c r="A1" s="1" t="s">
        <v>394</v>
      </c>
    </row>
    <row r="2" customFormat="false" ht="15" hidden="false" customHeight="false" outlineLevel="0" collapsed="false">
      <c r="A2" s="2" t="s">
        <v>395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</row>
    <row r="6" customFormat="false" ht="17.15" hidden="false" customHeight="false" outlineLevel="0" collapsed="false">
      <c r="A6" s="44" t="s">
        <v>396</v>
      </c>
    </row>
    <row r="7" customFormat="false" ht="30" hidden="false" customHeight="true" outlineLevel="0" collapsed="false">
      <c r="A7" s="10" t="s">
        <v>397</v>
      </c>
      <c r="B7" s="25" t="s">
        <v>398</v>
      </c>
      <c r="C7" s="25" t="s">
        <v>399</v>
      </c>
      <c r="D7" s="10" t="s">
        <v>400</v>
      </c>
      <c r="E7" s="10"/>
      <c r="F7" s="10"/>
      <c r="G7" s="10"/>
      <c r="H7" s="10" t="s">
        <v>15</v>
      </c>
    </row>
    <row r="8" customFormat="false" ht="15" hidden="false" customHeight="true" outlineLevel="0" collapsed="false">
      <c r="A8" s="13" t="s">
        <v>401</v>
      </c>
      <c r="B8" s="45" t="n">
        <f aca="false">IF(ISNUMBER(01_Inputs!$B$14),01_Inputs!$B$14,"미확인")</f>
        <v>2</v>
      </c>
      <c r="C8" s="45" t="n">
        <f aca="false">IF(ISNUMBER(01_Inputs!$B$14),01_Inputs!$B$14,"미확인")</f>
        <v>2</v>
      </c>
      <c r="D8" s="46" t="s">
        <v>402</v>
      </c>
      <c r="E8" s="46"/>
      <c r="F8" s="46"/>
      <c r="G8" s="46"/>
    </row>
    <row r="9" customFormat="false" ht="15" hidden="false" customHeight="true" outlineLevel="0" collapsed="false">
      <c r="A9" s="13" t="s">
        <v>403</v>
      </c>
      <c r="B9" s="45" t="str">
        <f aca="false">IF(ISNUMBER(01_Inputs!$B$16),01_Inputs!$B$16,"미확인")</f>
        <v>미확인</v>
      </c>
      <c r="C9" s="45" t="str">
        <f aca="false">IF(ISNUMBER(01_Inputs!$B$16),01_Inputs!$B$16,"미확인")</f>
        <v>미확인</v>
      </c>
      <c r="D9" s="47" t="s">
        <v>404</v>
      </c>
      <c r="E9" s="47"/>
      <c r="F9" s="47"/>
      <c r="G9" s="47"/>
    </row>
    <row r="10" customFormat="false" ht="15" hidden="false" customHeight="true" outlineLevel="0" collapsed="false">
      <c r="A10" s="13" t="s">
        <v>405</v>
      </c>
      <c r="B10" s="45" t="n">
        <f aca="false">IF(ISNUMBER(01_Inputs!$B$17),01_Inputs!$B$17,"미확인")</f>
        <v>57</v>
      </c>
      <c r="C10" s="45" t="n">
        <f aca="false">IF(ISNUMBER(01_Inputs!$B$17),01_Inputs!$B$17,"미확인")</f>
        <v>57</v>
      </c>
      <c r="D10" s="47" t="s">
        <v>406</v>
      </c>
      <c r="E10" s="47"/>
      <c r="F10" s="47"/>
      <c r="G10" s="47"/>
    </row>
    <row r="11" customFormat="false" ht="15" hidden="false" customHeight="true" outlineLevel="0" collapsed="false">
      <c r="A11" s="8" t="s">
        <v>407</v>
      </c>
      <c r="B11" s="45" t="str">
        <f aca="false">IF(ISNUMBER(01_Inputs!$B$18),01_Inputs!$B$18,"미확인")</f>
        <v>미확인</v>
      </c>
      <c r="C11" s="45" t="str">
        <f aca="false">IF(ISNUMBER(01_Inputs!$B$18),01_Inputs!$B$18,"미확인")</f>
        <v>미확인</v>
      </c>
      <c r="D11" s="47" t="s">
        <v>408</v>
      </c>
      <c r="E11" s="47"/>
      <c r="F11" s="47"/>
      <c r="G11" s="47"/>
    </row>
    <row r="12" customFormat="false" ht="15" hidden="false" customHeight="true" outlineLevel="0" collapsed="false">
      <c r="A12" s="8" t="s">
        <v>60</v>
      </c>
      <c r="B12" s="45" t="str">
        <f aca="false">IF(ISNUMBER(01_Inputs!$B$19),01_Inputs!$B$19,"미확인")</f>
        <v>미확인</v>
      </c>
      <c r="C12" s="45" t="str">
        <f aca="false">IF(ISNUMBER(01_Inputs!$B$19),01_Inputs!$B$19,"미확인")</f>
        <v>미확인</v>
      </c>
      <c r="D12" s="47" t="s">
        <v>408</v>
      </c>
      <c r="E12" s="47"/>
      <c r="F12" s="47"/>
      <c r="G12" s="47"/>
    </row>
    <row r="13" customFormat="false" ht="15" hidden="false" customHeight="true" outlineLevel="0" collapsed="false">
      <c r="A13" s="8" t="s">
        <v>409</v>
      </c>
      <c r="B13" s="45" t="n">
        <f aca="false">IF(ISNUMBER(01_Inputs!$B$20),01_Inputs!$B$20,"미확인")</f>
        <v>2</v>
      </c>
      <c r="C13" s="45" t="n">
        <f aca="false">IF(ISNUMBER(01_Inputs!$B$20),01_Inputs!$B$20,"미확인")</f>
        <v>2</v>
      </c>
      <c r="D13" s="47" t="s">
        <v>410</v>
      </c>
      <c r="E13" s="47"/>
      <c r="F13" s="47"/>
      <c r="G13" s="47"/>
    </row>
    <row r="14" customFormat="false" ht="15" hidden="false" customHeight="true" outlineLevel="0" collapsed="false">
      <c r="A14" s="8" t="s">
        <v>411</v>
      </c>
      <c r="B14" s="45" t="str">
        <f aca="false">IF(ISNUMBER(01_Inputs!$B$21),01_Inputs!$B$21,"미확인")</f>
        <v>미확인</v>
      </c>
      <c r="C14" s="45" t="str">
        <f aca="false">IF(ISNUMBER(01_Inputs!$B$21),01_Inputs!$B$21,"미확인")</f>
        <v>미확인</v>
      </c>
      <c r="D14" s="47" t="s">
        <v>408</v>
      </c>
      <c r="E14" s="47"/>
      <c r="F14" s="47"/>
      <c r="G14" s="47"/>
    </row>
    <row r="15" customFormat="false" ht="15" hidden="false" customHeight="true" outlineLevel="0" collapsed="false">
      <c r="A15" s="13" t="s">
        <v>412</v>
      </c>
      <c r="B15" s="45" t="n">
        <f aca="false">IF(ISNUMBER(01_Inputs!$B$25),01_Inputs!$B$25,"미확인")</f>
        <v>16</v>
      </c>
      <c r="C15" s="45" t="n">
        <f aca="false">IF(ISNUMBER(01_Inputs!$B$27),01_Inputs!$B$27,"미확인")</f>
        <v>8</v>
      </c>
      <c r="D15" s="47" t="s">
        <v>413</v>
      </c>
      <c r="E15" s="47"/>
      <c r="F15" s="47"/>
      <c r="G15" s="47"/>
    </row>
    <row r="16" customFormat="false" ht="15" hidden="false" customHeight="true" outlineLevel="0" collapsed="false">
      <c r="A16" s="8" t="s">
        <v>414</v>
      </c>
      <c r="B16" s="45" t="n">
        <f aca="false">IF(ISNUMBER(01_Inputs!$B$30),01_Inputs!$B$30,"미확인")</f>
        <v>2</v>
      </c>
      <c r="C16" s="45" t="n">
        <f aca="false">IF(ISNUMBER(01_Inputs!$B$30),01_Inputs!$B$30,"미확인")</f>
        <v>2</v>
      </c>
      <c r="D16" s="46" t="s">
        <v>415</v>
      </c>
      <c r="E16" s="46"/>
      <c r="F16" s="46"/>
      <c r="G16" s="46"/>
    </row>
    <row r="17" customFormat="false" ht="15" hidden="false" customHeight="true" outlineLevel="0" collapsed="false">
      <c r="A17" s="48" t="s">
        <v>416</v>
      </c>
      <c r="B17" s="49" t="n">
        <f aca="false">SUM(B8:B16)</f>
        <v>79</v>
      </c>
      <c r="C17" s="49" t="n">
        <f aca="false">SUM(C8:C16)</f>
        <v>71</v>
      </c>
      <c r="D17" s="46" t="s">
        <v>417</v>
      </c>
      <c r="E17" s="46"/>
      <c r="F17" s="46"/>
      <c r="G17" s="46"/>
      <c r="H17" s="46"/>
    </row>
    <row r="18" customFormat="false" ht="15" hidden="false" customHeight="false" outlineLevel="0" collapsed="false">
      <c r="A18" s="13" t="s">
        <v>418</v>
      </c>
      <c r="B18" s="15" t="n">
        <f aca="false">COUNTIF(B8:B16,"미확인")</f>
        <v>4</v>
      </c>
      <c r="C18" s="15" t="n">
        <f aca="false">COUNTIF(C8:C16,"미확인")</f>
        <v>4</v>
      </c>
    </row>
    <row r="20" customFormat="false" ht="17.15" hidden="false" customHeight="false" outlineLevel="0" collapsed="false">
      <c r="A20" s="44" t="s">
        <v>419</v>
      </c>
    </row>
    <row r="21" customFormat="false" ht="15" hidden="false" customHeight="true" outlineLevel="0" collapsed="false">
      <c r="A21" s="13" t="s">
        <v>420</v>
      </c>
      <c r="B21" s="45" t="n">
        <f aca="false">01_Inputs!$B$10</f>
        <v>720</v>
      </c>
      <c r="C21" s="8" t="s">
        <v>31</v>
      </c>
      <c r="D21" s="47" t="s">
        <v>421</v>
      </c>
      <c r="E21" s="47"/>
      <c r="F21" s="47"/>
      <c r="G21" s="47"/>
      <c r="H21" s="47"/>
    </row>
    <row r="22" customFormat="false" ht="15" hidden="false" customHeight="true" outlineLevel="0" collapsed="false">
      <c r="A22" s="8" t="s">
        <v>422</v>
      </c>
      <c r="B22" s="45" t="n">
        <f aca="false">01_Inputs!$B$17</f>
        <v>57</v>
      </c>
      <c r="C22" s="8" t="s">
        <v>53</v>
      </c>
      <c r="D22" s="46" t="s">
        <v>423</v>
      </c>
      <c r="E22" s="46"/>
      <c r="F22" s="46"/>
      <c r="G22" s="46"/>
      <c r="H22" s="46"/>
    </row>
    <row r="23" customFormat="false" ht="15" hidden="false" customHeight="true" outlineLevel="0" collapsed="false">
      <c r="A23" s="13" t="s">
        <v>424</v>
      </c>
      <c r="B23" s="20" t="n">
        <f aca="false">03_Capacity_Model!$B$21/03_Capacity_Model!$B$22</f>
        <v>12.6315789473684</v>
      </c>
      <c r="C23" s="8" t="s">
        <v>130</v>
      </c>
      <c r="D23" s="47" t="s">
        <v>425</v>
      </c>
      <c r="E23" s="47"/>
      <c r="F23" s="47"/>
      <c r="G23" s="47"/>
      <c r="H23" s="47"/>
    </row>
    <row r="24" customFormat="false" ht="15" hidden="false" customHeight="true" outlineLevel="0" collapsed="false">
      <c r="A24" s="13" t="s">
        <v>426</v>
      </c>
      <c r="B24" s="43" t="n">
        <f aca="false">INT(03_Capacity_Model!$B$23)</f>
        <v>12</v>
      </c>
      <c r="C24" s="8" t="s">
        <v>130</v>
      </c>
      <c r="D24" s="47" t="s">
        <v>427</v>
      </c>
      <c r="E24" s="47"/>
      <c r="F24" s="47"/>
      <c r="G24" s="47"/>
      <c r="H24" s="47"/>
    </row>
    <row r="25" customFormat="false" ht="15" hidden="false" customHeight="true" outlineLevel="0" collapsed="false">
      <c r="A25" s="13" t="s">
        <v>428</v>
      </c>
      <c r="B25" s="14" t="n">
        <f aca="false">03_Capacity_Model!$B$21-03_Capacity_Model!$B$24*03_Capacity_Model!$B$22</f>
        <v>36</v>
      </c>
      <c r="C25" s="8" t="s">
        <v>80</v>
      </c>
      <c r="D25" s="47" t="s">
        <v>429</v>
      </c>
      <c r="E25" s="47"/>
      <c r="F25" s="47"/>
      <c r="G25" s="47"/>
      <c r="H25" s="47"/>
    </row>
    <row r="26" customFormat="false" ht="15" hidden="false" customHeight="true" outlineLevel="0" collapsed="false">
      <c r="A26" s="13" t="s">
        <v>430</v>
      </c>
      <c r="B26" s="20" t="n">
        <f aca="false">03_Capacity_Model!$B$25/03_Capacity_Model!$B$22</f>
        <v>0.631578947368421</v>
      </c>
      <c r="C26" s="8" t="s">
        <v>431</v>
      </c>
      <c r="D26" s="46" t="s">
        <v>432</v>
      </c>
      <c r="E26" s="46"/>
      <c r="F26" s="46"/>
      <c r="G26" s="46"/>
      <c r="H26" s="46"/>
    </row>
    <row r="27" customFormat="false" ht="15" hidden="false" customHeight="false" outlineLevel="0" collapsed="false">
      <c r="A27" s="13" t="s">
        <v>433</v>
      </c>
      <c r="B27" s="40" t="n">
        <f aca="false">03_Capacity_Model!$B$24*01_Inputs!$B$32</f>
        <v>2280</v>
      </c>
      <c r="C27" s="8" t="s">
        <v>226</v>
      </c>
      <c r="D27" s="46"/>
      <c r="E27" s="46"/>
      <c r="F27" s="46"/>
      <c r="G27" s="46"/>
      <c r="H27" s="46"/>
    </row>
    <row r="28" customFormat="false" ht="15" hidden="false" customHeight="true" outlineLevel="0" collapsed="false">
      <c r="A28" s="13" t="s">
        <v>434</v>
      </c>
      <c r="B28" s="15" t="n">
        <f aca="false">INT(01_Inputs!$B$11/03_Capacity_Model!$B$22)</f>
        <v>153</v>
      </c>
      <c r="C28" s="8" t="s">
        <v>435</v>
      </c>
      <c r="D28" s="47" t="s">
        <v>436</v>
      </c>
      <c r="E28" s="47"/>
      <c r="F28" s="47"/>
      <c r="G28" s="47"/>
      <c r="H28" s="47"/>
    </row>
    <row r="29" customFormat="false" ht="15" hidden="false" customHeight="false" outlineLevel="0" collapsed="false">
      <c r="A29" s="13" t="s">
        <v>437</v>
      </c>
      <c r="B29" s="40" t="n">
        <f aca="false">03_Capacity_Model!$B$28*01_Inputs!$B$32</f>
        <v>29070</v>
      </c>
      <c r="C29" s="8" t="s">
        <v>222</v>
      </c>
      <c r="D29" s="46"/>
      <c r="E29" s="46"/>
      <c r="F29" s="46"/>
      <c r="G29" s="46"/>
      <c r="H29" s="46"/>
    </row>
    <row r="30" customFormat="false" ht="15" hidden="false" customHeight="true" outlineLevel="0" collapsed="false">
      <c r="A30" s="13" t="s">
        <v>438</v>
      </c>
      <c r="B30" s="15" t="n">
        <f aca="false">03_Capacity_Model!$B$24*12</f>
        <v>144</v>
      </c>
      <c r="C30" s="8" t="s">
        <v>435</v>
      </c>
      <c r="D30" s="46" t="s">
        <v>439</v>
      </c>
      <c r="E30" s="46"/>
      <c r="F30" s="46"/>
      <c r="G30" s="46"/>
      <c r="H30" s="46"/>
    </row>
    <row r="31" customFormat="false" ht="15" hidden="false" customHeight="false" outlineLevel="0" collapsed="false">
      <c r="A31" s="13" t="s">
        <v>440</v>
      </c>
      <c r="B31" s="36" t="n">
        <f aca="false">03_Capacity_Model!$B$30*01_Inputs!$B$32</f>
        <v>27360</v>
      </c>
      <c r="C31" s="8" t="s">
        <v>222</v>
      </c>
      <c r="D31" s="46"/>
      <c r="E31" s="46"/>
      <c r="F31" s="46"/>
      <c r="G31" s="46"/>
      <c r="H31" s="46"/>
    </row>
    <row r="33" customFormat="false" ht="17.15" hidden="false" customHeight="false" outlineLevel="0" collapsed="false">
      <c r="A33" s="44" t="s">
        <v>441</v>
      </c>
    </row>
    <row r="34" customFormat="false" ht="15" hidden="false" customHeight="true" outlineLevel="0" collapsed="false">
      <c r="A34" s="13" t="s">
        <v>442</v>
      </c>
      <c r="B34" s="50" t="n">
        <f aca="false">01_Inputs!$B$44</f>
        <v>11</v>
      </c>
      <c r="C34" s="8" t="s">
        <v>130</v>
      </c>
      <c r="D34" s="46" t="s">
        <v>443</v>
      </c>
      <c r="E34" s="46"/>
      <c r="F34" s="46"/>
      <c r="G34" s="46"/>
      <c r="H34" s="46"/>
    </row>
    <row r="35" customFormat="false" ht="15" hidden="false" customHeight="true" outlineLevel="0" collapsed="false">
      <c r="A35" s="8" t="s">
        <v>444</v>
      </c>
      <c r="B35" s="14" t="n">
        <f aca="false">03_Capacity_Model!$B$34*03_Capacity_Model!$B$22</f>
        <v>627</v>
      </c>
      <c r="C35" s="8" t="s">
        <v>31</v>
      </c>
      <c r="D35" s="47" t="s">
        <v>445</v>
      </c>
      <c r="E35" s="47"/>
      <c r="F35" s="47"/>
      <c r="G35" s="47"/>
      <c r="H35" s="47"/>
    </row>
    <row r="36" customFormat="false" ht="15" hidden="false" customHeight="true" outlineLevel="0" collapsed="false">
      <c r="A36" s="13" t="s">
        <v>446</v>
      </c>
      <c r="B36" s="14" t="n">
        <f aca="false">03_Capacity_Model!$B$21-03_Capacity_Model!$B$35</f>
        <v>93</v>
      </c>
      <c r="C36" s="8" t="s">
        <v>31</v>
      </c>
      <c r="D36" s="46" t="s">
        <v>447</v>
      </c>
      <c r="E36" s="46"/>
      <c r="F36" s="46"/>
      <c r="G36" s="46"/>
      <c r="H36" s="46"/>
    </row>
    <row r="37" customFormat="false" ht="15" hidden="false" customHeight="true" outlineLevel="0" collapsed="false">
      <c r="A37" s="13" t="s">
        <v>448</v>
      </c>
      <c r="B37" s="42" t="n">
        <f aca="false">03_Capacity_Model!$B$21/03_Capacity_Model!$B$34</f>
        <v>65.4545454545455</v>
      </c>
      <c r="C37" s="8" t="s">
        <v>53</v>
      </c>
      <c r="D37" s="47" t="s">
        <v>449</v>
      </c>
      <c r="E37" s="47"/>
      <c r="F37" s="47"/>
      <c r="G37" s="47"/>
      <c r="H37" s="47"/>
    </row>
    <row r="38" customFormat="false" ht="15" hidden="false" customHeight="true" outlineLevel="0" collapsed="false">
      <c r="A38" s="13" t="s">
        <v>450</v>
      </c>
      <c r="B38" s="20" t="n">
        <f aca="false">31*24/03_Capacity_Model!$B$34</f>
        <v>67.6363636363636</v>
      </c>
      <c r="C38" s="8" t="s">
        <v>53</v>
      </c>
      <c r="D38" s="47" t="s">
        <v>451</v>
      </c>
      <c r="E38" s="47"/>
      <c r="F38" s="47"/>
      <c r="G38" s="47"/>
      <c r="H38" s="47"/>
    </row>
    <row r="39" customFormat="false" ht="15" hidden="false" customHeight="true" outlineLevel="0" collapsed="false">
      <c r="A39" s="13" t="s">
        <v>452</v>
      </c>
      <c r="B39" s="20" t="n">
        <f aca="false">03_Capacity_Model!$B$37-03_Capacity_Model!$B$22</f>
        <v>8.45454545454545</v>
      </c>
      <c r="C39" s="8" t="s">
        <v>53</v>
      </c>
      <c r="D39" s="46" t="s">
        <v>453</v>
      </c>
      <c r="E39" s="46"/>
      <c r="F39" s="46"/>
      <c r="G39" s="46"/>
      <c r="H39" s="46"/>
    </row>
    <row r="40" customFormat="false" ht="15" hidden="false" customHeight="true" outlineLevel="0" collapsed="false">
      <c r="A40" s="13" t="s">
        <v>454</v>
      </c>
      <c r="B40" s="40" t="n">
        <f aca="false">03_Capacity_Model!$B$34*01_Inputs!$B$32</f>
        <v>2090</v>
      </c>
      <c r="C40" s="8" t="s">
        <v>226</v>
      </c>
      <c r="D40" s="47" t="s">
        <v>455</v>
      </c>
      <c r="E40" s="47"/>
      <c r="F40" s="47"/>
      <c r="G40" s="47"/>
      <c r="H40" s="47"/>
    </row>
    <row r="41" customFormat="false" ht="15" hidden="false" customHeight="true" outlineLevel="0" collapsed="false">
      <c r="A41" s="13" t="s">
        <v>456</v>
      </c>
      <c r="B41" s="15" t="n">
        <f aca="false">03_Capacity_Model!$B$34*12</f>
        <v>132</v>
      </c>
      <c r="C41" s="8" t="s">
        <v>435</v>
      </c>
      <c r="D41" s="46" t="s">
        <v>457</v>
      </c>
      <c r="E41" s="46"/>
      <c r="F41" s="46"/>
      <c r="G41" s="46"/>
      <c r="H41" s="46"/>
    </row>
    <row r="42" customFormat="false" ht="15" hidden="false" customHeight="false" outlineLevel="0" collapsed="false">
      <c r="A42" s="13" t="s">
        <v>458</v>
      </c>
      <c r="B42" s="36" t="n">
        <f aca="false">03_Capacity_Model!$B$41*01_Inputs!$B$32</f>
        <v>25080</v>
      </c>
      <c r="C42" s="8" t="s">
        <v>222</v>
      </c>
      <c r="D42" s="46"/>
      <c r="E42" s="46"/>
      <c r="F42" s="46"/>
      <c r="G42" s="46"/>
      <c r="H42" s="46"/>
    </row>
    <row r="43" customFormat="false" ht="15" hidden="false" customHeight="true" outlineLevel="0" collapsed="false">
      <c r="A43" s="13" t="s">
        <v>459</v>
      </c>
      <c r="B43" s="15" t="n">
        <f aca="false">INT(01_Inputs!$B$11/03_Capacity_Model!$B$37)</f>
        <v>133</v>
      </c>
      <c r="C43" s="8" t="s">
        <v>435</v>
      </c>
      <c r="D43" s="46" t="s">
        <v>460</v>
      </c>
      <c r="E43" s="46"/>
      <c r="F43" s="46"/>
      <c r="G43" s="46"/>
      <c r="H43" s="46"/>
    </row>
    <row r="44" customFormat="false" ht="15" hidden="false" customHeight="false" outlineLevel="0" collapsed="false">
      <c r="A44" s="13" t="s">
        <v>461</v>
      </c>
      <c r="B44" s="40" t="n">
        <f aca="false">03_Capacity_Model!$B$43*01_Inputs!$B$32</f>
        <v>25270</v>
      </c>
      <c r="C44" s="8" t="s">
        <v>222</v>
      </c>
      <c r="D44" s="46"/>
      <c r="E44" s="46"/>
      <c r="F44" s="46"/>
      <c r="G44" s="46"/>
      <c r="H44" s="46"/>
    </row>
    <row r="46" customFormat="false" ht="17.15" hidden="false" customHeight="false" outlineLevel="0" collapsed="false">
      <c r="A46" s="44" t="s">
        <v>462</v>
      </c>
    </row>
    <row r="47" customFormat="false" ht="26.85" hidden="false" customHeight="true" outlineLevel="0" collapsed="false">
      <c r="A47" s="13" t="s">
        <v>463</v>
      </c>
      <c r="B47" s="51" t="str">
        <f aca="false">"#"&amp;01_Inputs!$B$72&amp;" ~ #"&amp;01_Inputs!$B$73&amp;" (표시일자, 생산계획)"</f>
        <v>#39 ~ #92 (표시일자, 생산계획)</v>
      </c>
      <c r="C47" s="8"/>
      <c r="D47" s="46" t="s">
        <v>464</v>
      </c>
      <c r="E47" s="46"/>
      <c r="F47" s="46"/>
      <c r="G47" s="46"/>
      <c r="H47" s="46"/>
    </row>
    <row r="48" customFormat="false" ht="15" hidden="false" customHeight="false" outlineLevel="0" collapsed="false">
      <c r="A48" s="13" t="s">
        <v>465</v>
      </c>
      <c r="B48" s="52" t="n">
        <f aca="false">INDEX(02_Batch_Raw!$E$6:$E$61,MATCH(01_Inputs!$B$72,02_Batch_Raw!$D$6:$D$61,0))</f>
        <v>46175</v>
      </c>
      <c r="C48" s="13" t="s">
        <v>140</v>
      </c>
      <c r="D48" s="46"/>
      <c r="E48" s="46"/>
      <c r="F48" s="46"/>
      <c r="G48" s="46"/>
      <c r="H48" s="46"/>
    </row>
    <row r="49" customFormat="false" ht="15" hidden="false" customHeight="false" outlineLevel="0" collapsed="false">
      <c r="A49" s="13" t="s">
        <v>466</v>
      </c>
      <c r="B49" s="52" t="n">
        <f aca="false">INDEX(02_Batch_Raw!$E$6:$E$61,MATCH(01_Inputs!$B$73,02_Batch_Raw!$D$6:$D$61,0))</f>
        <v>46324</v>
      </c>
      <c r="C49" s="13" t="s">
        <v>140</v>
      </c>
      <c r="D49" s="46"/>
      <c r="E49" s="46"/>
      <c r="F49" s="46"/>
      <c r="G49" s="46"/>
      <c r="H49" s="46"/>
    </row>
    <row r="50" customFormat="false" ht="15" hidden="false" customHeight="false" outlineLevel="0" collapsed="false">
      <c r="A50" s="13" t="s">
        <v>467</v>
      </c>
      <c r="B50" s="15" t="n">
        <f aca="false">03_Capacity_Model!$B$49-03_Capacity_Model!$B$48</f>
        <v>149</v>
      </c>
      <c r="C50" s="13" t="s">
        <v>468</v>
      </c>
      <c r="D50" s="46"/>
      <c r="E50" s="46"/>
      <c r="F50" s="46"/>
      <c r="G50" s="46"/>
      <c r="H50" s="46"/>
    </row>
    <row r="51" customFormat="false" ht="15" hidden="false" customHeight="true" outlineLevel="0" collapsed="false">
      <c r="A51" s="8" t="s">
        <v>469</v>
      </c>
      <c r="B51" s="15" t="n">
        <f aca="false">01_Inputs!$B$73-01_Inputs!$B$72</f>
        <v>53</v>
      </c>
      <c r="C51" s="13" t="s">
        <v>194</v>
      </c>
      <c r="D51" s="46" t="s">
        <v>470</v>
      </c>
      <c r="E51" s="46"/>
      <c r="F51" s="46"/>
      <c r="G51" s="46"/>
      <c r="H51" s="46"/>
    </row>
    <row r="52" customFormat="false" ht="15" hidden="false" customHeight="true" outlineLevel="0" collapsed="false">
      <c r="A52" s="13" t="s">
        <v>471</v>
      </c>
      <c r="B52" s="15" t="n">
        <f aca="false">SUM(02_Batch_Raw!$P$6:$P$61)</f>
        <v>53</v>
      </c>
      <c r="C52" s="13" t="s">
        <v>194</v>
      </c>
      <c r="D52" s="46" t="s">
        <v>472</v>
      </c>
      <c r="E52" s="46"/>
      <c r="F52" s="46"/>
      <c r="G52" s="46"/>
      <c r="H52" s="46"/>
    </row>
    <row r="53" customFormat="false" ht="15" hidden="false" customHeight="true" outlineLevel="0" collapsed="false">
      <c r="A53" s="13" t="s">
        <v>473</v>
      </c>
      <c r="B53" s="53" t="n">
        <f aca="false">03_Capacity_Model!$B$50/03_Capacity_Model!$B$51</f>
        <v>2.81132075471698</v>
      </c>
      <c r="C53" s="13" t="s">
        <v>474</v>
      </c>
      <c r="D53" s="46" t="s">
        <v>475</v>
      </c>
      <c r="E53" s="46"/>
      <c r="F53" s="46"/>
      <c r="G53" s="46"/>
      <c r="H53" s="46"/>
    </row>
    <row r="54" customFormat="false" ht="15" hidden="false" customHeight="true" outlineLevel="0" collapsed="false">
      <c r="A54" s="13" t="s">
        <v>476</v>
      </c>
      <c r="B54" s="42" t="n">
        <f aca="false">03_Capacity_Model!$B$50*24/03_Capacity_Model!$B$51</f>
        <v>67.4716981132076</v>
      </c>
      <c r="C54" s="8" t="s">
        <v>53</v>
      </c>
      <c r="D54" s="46" t="s">
        <v>477</v>
      </c>
      <c r="E54" s="46"/>
      <c r="F54" s="46"/>
      <c r="G54" s="46"/>
      <c r="H54" s="46"/>
    </row>
    <row r="55" customFormat="false" ht="15" hidden="false" customHeight="true" outlineLevel="0" collapsed="false">
      <c r="A55" s="13" t="s">
        <v>478</v>
      </c>
      <c r="B55" s="20" t="n">
        <f aca="false">(03_Capacity_Model!$B$50-1)*24/03_Capacity_Model!$B$51</f>
        <v>67.0188679245283</v>
      </c>
      <c r="C55" s="8" t="s">
        <v>53</v>
      </c>
      <c r="D55" s="46" t="s">
        <v>479</v>
      </c>
      <c r="E55" s="46"/>
      <c r="F55" s="46"/>
      <c r="G55" s="46"/>
      <c r="H55" s="46"/>
    </row>
    <row r="56" customFormat="false" ht="15" hidden="false" customHeight="false" outlineLevel="0" collapsed="false">
      <c r="A56" s="13" t="s">
        <v>480</v>
      </c>
      <c r="B56" s="20" t="n">
        <f aca="false">(03_Capacity_Model!$B$50+1)*24/03_Capacity_Model!$B$51</f>
        <v>67.9245283018868</v>
      </c>
      <c r="C56" s="8" t="s">
        <v>53</v>
      </c>
      <c r="D56" s="46"/>
      <c r="E56" s="46"/>
      <c r="F56" s="46"/>
      <c r="G56" s="46"/>
      <c r="H56" s="46"/>
    </row>
    <row r="57" customFormat="false" ht="15" hidden="false" customHeight="true" outlineLevel="0" collapsed="false">
      <c r="A57" s="13" t="s">
        <v>481</v>
      </c>
      <c r="B57" s="45" t="n">
        <f aca="false">02_Batch_Raw!$L$71*24</f>
        <v>72</v>
      </c>
      <c r="C57" s="8" t="s">
        <v>80</v>
      </c>
      <c r="D57" s="47" t="s">
        <v>482</v>
      </c>
      <c r="E57" s="47"/>
      <c r="F57" s="47"/>
      <c r="G57" s="47"/>
      <c r="H57" s="47"/>
    </row>
    <row r="58" customFormat="false" ht="15" hidden="false" customHeight="false" outlineLevel="0" collapsed="false">
      <c r="A58" s="8" t="s">
        <v>483</v>
      </c>
      <c r="B58" s="54" t="n">
        <f aca="false">02_Batch_Raw!$Q$71/02_Batch_Raw!$J$71</f>
        <v>0.735849056603774</v>
      </c>
      <c r="C58" s="8" t="s">
        <v>214</v>
      </c>
      <c r="D58" s="46"/>
      <c r="E58" s="46"/>
      <c r="F58" s="46"/>
      <c r="G58" s="46"/>
      <c r="H58" s="46"/>
    </row>
    <row r="59" customFormat="false" ht="15" hidden="false" customHeight="true" outlineLevel="0" collapsed="false">
      <c r="A59" s="13" t="s">
        <v>484</v>
      </c>
      <c r="B59" s="42" t="n">
        <f aca="false">03_Capacity_Model!$B$54-03_Capacity_Model!$B$22</f>
        <v>10.4716981132076</v>
      </c>
      <c r="C59" s="8" t="s">
        <v>53</v>
      </c>
      <c r="D59" s="46" t="s">
        <v>485</v>
      </c>
      <c r="E59" s="46"/>
      <c r="F59" s="46"/>
      <c r="G59" s="46"/>
      <c r="H59" s="46"/>
    </row>
    <row r="60" customFormat="false" ht="15" hidden="false" customHeight="false" outlineLevel="0" collapsed="false">
      <c r="A60" s="13" t="s">
        <v>486</v>
      </c>
      <c r="B60" s="20" t="n">
        <f aca="false">03_Capacity_Model!$B$55-03_Capacity_Model!$B$22</f>
        <v>10.0188679245283</v>
      </c>
      <c r="C60" s="8" t="s">
        <v>53</v>
      </c>
      <c r="D60" s="46"/>
      <c r="E60" s="46"/>
      <c r="F60" s="46"/>
      <c r="G60" s="46"/>
      <c r="H60" s="46"/>
    </row>
    <row r="61" customFormat="false" ht="15" hidden="false" customHeight="false" outlineLevel="0" collapsed="false">
      <c r="A61" s="13" t="s">
        <v>487</v>
      </c>
      <c r="B61" s="20" t="n">
        <f aca="false">03_Capacity_Model!$B$56-03_Capacity_Model!$B$22</f>
        <v>10.9245283018868</v>
      </c>
      <c r="C61" s="8" t="s">
        <v>53</v>
      </c>
      <c r="D61" s="46"/>
      <c r="E61" s="46"/>
      <c r="F61" s="46"/>
      <c r="G61" s="46"/>
      <c r="H61" s="46"/>
    </row>
    <row r="62" customFormat="false" ht="15" hidden="false" customHeight="false" outlineLevel="0" collapsed="false">
      <c r="A62" s="13" t="s">
        <v>488</v>
      </c>
      <c r="B62" s="20" t="n">
        <f aca="false">30*24/03_Capacity_Model!$B$54</f>
        <v>10.6711409395973</v>
      </c>
      <c r="C62" s="8" t="s">
        <v>130</v>
      </c>
      <c r="D62" s="46"/>
      <c r="E62" s="46"/>
      <c r="F62" s="46"/>
      <c r="G62" s="46"/>
      <c r="H62" s="46"/>
    </row>
    <row r="63" customFormat="false" ht="15" hidden="false" customHeight="true" outlineLevel="0" collapsed="false">
      <c r="A63" s="13" t="s">
        <v>489</v>
      </c>
      <c r="B63" s="20" t="n">
        <f aca="false">31*24/03_Capacity_Model!$B$54</f>
        <v>11.0268456375839</v>
      </c>
      <c r="C63" s="8" t="s">
        <v>130</v>
      </c>
      <c r="D63" s="46" t="s">
        <v>490</v>
      </c>
      <c r="E63" s="46"/>
      <c r="F63" s="46"/>
      <c r="G63" s="46"/>
      <c r="H63" s="46"/>
    </row>
    <row r="64" customFormat="false" ht="15" hidden="false" customHeight="false" outlineLevel="0" collapsed="false">
      <c r="A64" s="13" t="s">
        <v>491</v>
      </c>
      <c r="B64" s="15" t="n">
        <f aca="false">INT(01_Inputs!$B$11/03_Capacity_Model!$B$54)</f>
        <v>129</v>
      </c>
      <c r="C64" s="8" t="s">
        <v>435</v>
      </c>
      <c r="D64" s="46"/>
      <c r="E64" s="46"/>
      <c r="F64" s="46"/>
      <c r="G64" s="46"/>
      <c r="H64" s="46"/>
    </row>
    <row r="65" customFormat="false" ht="15" hidden="false" customHeight="true" outlineLevel="0" collapsed="false">
      <c r="A65" s="13" t="s">
        <v>437</v>
      </c>
      <c r="B65" s="40" t="n">
        <f aca="false">03_Capacity_Model!$B$64*01_Inputs!$B$32</f>
        <v>24510</v>
      </c>
      <c r="C65" s="8" t="s">
        <v>222</v>
      </c>
      <c r="D65" s="46" t="s">
        <v>492</v>
      </c>
      <c r="E65" s="46"/>
      <c r="F65" s="46"/>
      <c r="G65" s="46"/>
      <c r="H65" s="46"/>
    </row>
    <row r="66" customFormat="false" ht="15" hidden="false" customHeight="false" outlineLevel="0" collapsed="false">
      <c r="A66" s="13" t="s">
        <v>493</v>
      </c>
      <c r="B66" s="36" t="n">
        <f aca="false">03_Capacity_Model!$B$62*01_Inputs!$B$32</f>
        <v>2027.51677852349</v>
      </c>
      <c r="C66" s="8" t="s">
        <v>226</v>
      </c>
      <c r="D66" s="46"/>
      <c r="E66" s="46"/>
      <c r="F66" s="46"/>
      <c r="G66" s="46"/>
      <c r="H66" s="46"/>
    </row>
    <row r="67" customFormat="false" ht="15" hidden="false" customHeight="true" outlineLevel="0" collapsed="false">
      <c r="A67" s="13" t="s">
        <v>494</v>
      </c>
      <c r="B67" s="20" t="n">
        <f aca="false">(02_Batch_Raw!$E$61-02_Batch_Raw!$E$6)*24/(02_Batch_Raw!$D$61-02_Batch_Raw!$D$6)</f>
        <v>69.3818181818182</v>
      </c>
      <c r="C67" s="8" t="s">
        <v>53</v>
      </c>
      <c r="D67" s="47" t="s">
        <v>495</v>
      </c>
      <c r="E67" s="47"/>
      <c r="F67" s="47"/>
      <c r="G67" s="47"/>
      <c r="H67" s="47"/>
    </row>
    <row r="68" customFormat="false" ht="15" hidden="false" customHeight="false" outlineLevel="0" collapsed="false">
      <c r="A68" s="13" t="s">
        <v>496</v>
      </c>
      <c r="B68" s="15" t="n">
        <f aca="false">DATE(01_Inputs!$B$76,11,1)-DATE(01_Inputs!$B$76,6,1)</f>
        <v>153</v>
      </c>
      <c r="C68" s="13" t="s">
        <v>468</v>
      </c>
      <c r="D68" s="46"/>
      <c r="E68" s="46"/>
      <c r="F68" s="46"/>
      <c r="G68" s="46"/>
      <c r="H68" s="46"/>
    </row>
    <row r="69" customFormat="false" ht="15" hidden="false" customHeight="true" outlineLevel="0" collapsed="false">
      <c r="A69" s="13" t="s">
        <v>497</v>
      </c>
      <c r="B69" s="20" t="n">
        <f aca="false">03_Capacity_Model!$B$68*24/02_Batch_Raw!$D$71</f>
        <v>79.8260869565217</v>
      </c>
      <c r="C69" s="8" t="s">
        <v>53</v>
      </c>
      <c r="D69" s="47" t="s">
        <v>498</v>
      </c>
      <c r="E69" s="47"/>
      <c r="F69" s="47"/>
      <c r="G69" s="47"/>
      <c r="H69" s="47"/>
    </row>
    <row r="70" customFormat="false" ht="15" hidden="false" customHeight="true" outlineLevel="0" collapsed="false">
      <c r="A70" s="13" t="s">
        <v>499</v>
      </c>
      <c r="B70" s="20" t="n">
        <f aca="false">03_Capacity_Model!$B$68*24/02_Batch_Raw!$C$71</f>
        <v>68</v>
      </c>
      <c r="C70" s="8" t="s">
        <v>53</v>
      </c>
      <c r="D70" s="46" t="s">
        <v>500</v>
      </c>
      <c r="E70" s="46"/>
      <c r="F70" s="46"/>
      <c r="G70" s="46"/>
      <c r="H70" s="46"/>
    </row>
    <row r="71" customFormat="false" ht="15" hidden="false" customHeight="true" outlineLevel="0" collapsed="false">
      <c r="A71" s="8" t="s">
        <v>389</v>
      </c>
      <c r="B71" s="50" t="n">
        <f aca="false">02_Batch_Raw!$E$77</f>
        <v>4</v>
      </c>
      <c r="C71" s="13" t="s">
        <v>501</v>
      </c>
      <c r="D71" s="46" t="s">
        <v>502</v>
      </c>
      <c r="E71" s="46"/>
      <c r="F71" s="46"/>
      <c r="G71" s="46"/>
      <c r="H71" s="46"/>
    </row>
    <row r="73" customFormat="false" ht="17.15" hidden="false" customHeight="false" outlineLevel="0" collapsed="false">
      <c r="A73" s="44" t="s">
        <v>503</v>
      </c>
    </row>
    <row r="74" customFormat="false" ht="15" hidden="false" customHeight="true" outlineLevel="0" collapsed="false">
      <c r="A74" s="13" t="s">
        <v>504</v>
      </c>
      <c r="B74" s="55" t="n">
        <f aca="false">01_Inputs!$B$38*1000</f>
        <v>26200</v>
      </c>
      <c r="C74" s="8" t="s">
        <v>222</v>
      </c>
      <c r="D74" s="46" t="s">
        <v>505</v>
      </c>
      <c r="E74" s="46"/>
      <c r="F74" s="46"/>
      <c r="G74" s="46"/>
      <c r="H74" s="46"/>
    </row>
    <row r="75" customFormat="false" ht="15" hidden="false" customHeight="true" outlineLevel="0" collapsed="false">
      <c r="A75" s="8" t="s">
        <v>506</v>
      </c>
      <c r="B75" s="53" t="n">
        <f aca="false">03_Capacity_Model!$B$74/01_Inputs!$B$32</f>
        <v>137.894736842105</v>
      </c>
      <c r="C75" s="8" t="s">
        <v>435</v>
      </c>
      <c r="D75" s="47" t="s">
        <v>507</v>
      </c>
      <c r="E75" s="47"/>
      <c r="F75" s="47"/>
      <c r="G75" s="47"/>
      <c r="H75" s="47"/>
    </row>
    <row r="76" customFormat="false" ht="15" hidden="false" customHeight="false" outlineLevel="0" collapsed="false">
      <c r="A76" s="13" t="s">
        <v>508</v>
      </c>
      <c r="B76" s="15" t="n">
        <f aca="false">INT(03_Capacity_Model!$B$75)</f>
        <v>137</v>
      </c>
      <c r="C76" s="8" t="s">
        <v>435</v>
      </c>
      <c r="D76" s="46"/>
      <c r="E76" s="46"/>
      <c r="F76" s="46"/>
      <c r="G76" s="46"/>
      <c r="H76" s="46"/>
    </row>
    <row r="77" customFormat="false" ht="15" hidden="false" customHeight="true" outlineLevel="0" collapsed="false">
      <c r="A77" s="13" t="s">
        <v>509</v>
      </c>
      <c r="B77" s="36" t="n">
        <f aca="false">03_Capacity_Model!$B$76*01_Inputs!$B$32</f>
        <v>26030</v>
      </c>
      <c r="C77" s="8" t="s">
        <v>222</v>
      </c>
      <c r="D77" s="47" t="s">
        <v>510</v>
      </c>
      <c r="E77" s="47"/>
      <c r="F77" s="47"/>
      <c r="G77" s="47"/>
      <c r="H77" s="47"/>
    </row>
    <row r="78" customFormat="false" ht="15" hidden="false" customHeight="false" outlineLevel="0" collapsed="false">
      <c r="A78" s="13" t="s">
        <v>511</v>
      </c>
      <c r="B78" s="15" t="n">
        <f aca="false">ROUND(03_Capacity_Model!$B$75,0)</f>
        <v>138</v>
      </c>
      <c r="C78" s="8" t="s">
        <v>435</v>
      </c>
      <c r="D78" s="46"/>
      <c r="E78" s="46"/>
      <c r="F78" s="46"/>
      <c r="G78" s="46"/>
      <c r="H78" s="46"/>
    </row>
    <row r="79" customFormat="false" ht="15" hidden="false" customHeight="true" outlineLevel="0" collapsed="false">
      <c r="A79" s="13" t="s">
        <v>512</v>
      </c>
      <c r="B79" s="36" t="n">
        <f aca="false">03_Capacity_Model!$B$78*01_Inputs!$B$32</f>
        <v>26220</v>
      </c>
      <c r="C79" s="8" t="s">
        <v>222</v>
      </c>
      <c r="D79" s="47" t="s">
        <v>513</v>
      </c>
      <c r="E79" s="47"/>
      <c r="F79" s="47"/>
      <c r="G79" s="47"/>
      <c r="H79" s="47"/>
    </row>
    <row r="80" customFormat="false" ht="15" hidden="false" customHeight="true" outlineLevel="0" collapsed="false">
      <c r="A80" s="13" t="s">
        <v>514</v>
      </c>
      <c r="B80" s="20" t="n">
        <f aca="false">03_Capacity_Model!$B$75/12</f>
        <v>11.4912280701754</v>
      </c>
      <c r="C80" s="8" t="s">
        <v>130</v>
      </c>
      <c r="D80" s="46" t="s">
        <v>515</v>
      </c>
      <c r="E80" s="46"/>
      <c r="F80" s="46"/>
      <c r="G80" s="46"/>
      <c r="H80" s="46"/>
    </row>
    <row r="81" customFormat="false" ht="15" hidden="false" customHeight="true" outlineLevel="0" collapsed="false">
      <c r="A81" s="8" t="s">
        <v>516</v>
      </c>
      <c r="B81" s="42" t="n">
        <f aca="false">01_Inputs!$B$11/03_Capacity_Model!$B$75</f>
        <v>63.5267175572519</v>
      </c>
      <c r="C81" s="8" t="s">
        <v>53</v>
      </c>
      <c r="D81" s="46" t="s">
        <v>517</v>
      </c>
      <c r="E81" s="46"/>
      <c r="F81" s="46"/>
      <c r="G81" s="46"/>
      <c r="H81" s="46"/>
    </row>
    <row r="82" customFormat="false" ht="15" hidden="false" customHeight="true" outlineLevel="0" collapsed="false">
      <c r="A82" s="13" t="s">
        <v>518</v>
      </c>
      <c r="B82" s="20" t="n">
        <f aca="false">(03_Capacity_Model!$B$65-03_Capacity_Model!$B$74)/1000</f>
        <v>-1.69</v>
      </c>
      <c r="C82" s="8" t="s">
        <v>112</v>
      </c>
      <c r="D82" s="46" t="s">
        <v>519</v>
      </c>
      <c r="E82" s="46"/>
      <c r="F82" s="46"/>
      <c r="G82" s="46"/>
      <c r="H82" s="46"/>
    </row>
    <row r="84" customFormat="false" ht="17.15" hidden="false" customHeight="false" outlineLevel="0" collapsed="false">
      <c r="A84" s="44" t="s">
        <v>520</v>
      </c>
    </row>
    <row r="85" customFormat="false" ht="30" hidden="false" customHeight="true" outlineLevel="0" collapsed="false">
      <c r="A85" s="10" t="s">
        <v>13</v>
      </c>
      <c r="B85" s="25" t="s">
        <v>521</v>
      </c>
      <c r="C85" s="10" t="s">
        <v>522</v>
      </c>
      <c r="D85" s="10" t="s">
        <v>523</v>
      </c>
      <c r="E85" s="10" t="s">
        <v>524</v>
      </c>
      <c r="F85" s="10" t="s">
        <v>525</v>
      </c>
      <c r="G85" s="25" t="s">
        <v>526</v>
      </c>
      <c r="H85" s="10" t="s">
        <v>527</v>
      </c>
    </row>
    <row r="86" customFormat="false" ht="15" hidden="false" customHeight="false" outlineLevel="0" collapsed="false">
      <c r="A86" s="48" t="s">
        <v>528</v>
      </c>
      <c r="B86" s="20" t="n">
        <f aca="false">03_Capacity_Model!$B$22</f>
        <v>57</v>
      </c>
      <c r="C86" s="20" t="n">
        <f aca="false">30*24/B86</f>
        <v>12.6315789473684</v>
      </c>
      <c r="D86" s="20" t="n">
        <f aca="false">31*24/B86</f>
        <v>13.0526315789474</v>
      </c>
      <c r="E86" s="15" t="n">
        <f aca="false">INT(01_Inputs!$B$11/B86)</f>
        <v>153</v>
      </c>
      <c r="F86" s="42" t="n">
        <f aca="false">E86*01_Inputs!$B$32/1000</f>
        <v>29.07</v>
      </c>
      <c r="G86" s="20" t="n">
        <f aca="false">F86-01_Inputs!$B$38</f>
        <v>2.87</v>
      </c>
      <c r="H86" s="56" t="s">
        <v>529</v>
      </c>
    </row>
    <row r="87" customFormat="false" ht="15" hidden="false" customHeight="false" outlineLevel="0" collapsed="false">
      <c r="A87" s="48" t="s">
        <v>530</v>
      </c>
      <c r="B87" s="20" t="n">
        <f aca="false">03_Capacity_Model!$B$81</f>
        <v>63.5267175572519</v>
      </c>
      <c r="C87" s="20" t="n">
        <f aca="false">30*24/B87</f>
        <v>11.3338139870224</v>
      </c>
      <c r="D87" s="20" t="n">
        <f aca="false">31*24/B87</f>
        <v>11.7116077865898</v>
      </c>
      <c r="E87" s="15" t="n">
        <f aca="false">INT(01_Inputs!$B$11/B87)</f>
        <v>137</v>
      </c>
      <c r="F87" s="42" t="n">
        <f aca="false">E87*01_Inputs!$B$32/1000</f>
        <v>26.03</v>
      </c>
      <c r="G87" s="20" t="n">
        <f aca="false">F87-01_Inputs!$B$38</f>
        <v>-0.169999999999998</v>
      </c>
      <c r="H87" s="56" t="s">
        <v>531</v>
      </c>
    </row>
    <row r="88" customFormat="false" ht="15" hidden="false" customHeight="false" outlineLevel="0" collapsed="false">
      <c r="A88" s="48" t="s">
        <v>532</v>
      </c>
      <c r="B88" s="20" t="n">
        <f aca="false">03_Capacity_Model!$B$37</f>
        <v>65.4545454545455</v>
      </c>
      <c r="C88" s="20" t="n">
        <f aca="false">30*24/B88</f>
        <v>11</v>
      </c>
      <c r="D88" s="20" t="n">
        <f aca="false">31*24/B88</f>
        <v>11.3666666666667</v>
      </c>
      <c r="E88" s="15" t="n">
        <f aca="false">INT(01_Inputs!$B$11/B88)</f>
        <v>133</v>
      </c>
      <c r="F88" s="42" t="n">
        <f aca="false">E88*01_Inputs!$B$32/1000</f>
        <v>25.27</v>
      </c>
      <c r="G88" s="20" t="n">
        <f aca="false">F88-01_Inputs!$B$38</f>
        <v>-0.93</v>
      </c>
      <c r="H88" s="57" t="s">
        <v>533</v>
      </c>
    </row>
    <row r="89" customFormat="false" ht="15" hidden="false" customHeight="false" outlineLevel="0" collapsed="false">
      <c r="A89" s="48" t="s">
        <v>534</v>
      </c>
      <c r="B89" s="20" t="n">
        <f aca="false">03_Capacity_Model!$B$54</f>
        <v>67.4716981132076</v>
      </c>
      <c r="C89" s="20" t="n">
        <f aca="false">30*24/B89</f>
        <v>10.6711409395973</v>
      </c>
      <c r="D89" s="20" t="n">
        <f aca="false">31*24/B89</f>
        <v>11.0268456375839</v>
      </c>
      <c r="E89" s="15" t="n">
        <f aca="false">INT(01_Inputs!$B$11/B89)</f>
        <v>129</v>
      </c>
      <c r="F89" s="42" t="n">
        <f aca="false">E89*01_Inputs!$B$32/1000</f>
        <v>24.51</v>
      </c>
      <c r="G89" s="20" t="n">
        <f aca="false">F89-01_Inputs!$B$38</f>
        <v>-1.69</v>
      </c>
      <c r="H89" s="57" t="s">
        <v>535</v>
      </c>
    </row>
    <row r="90" customFormat="false" ht="15" hidden="false" customHeight="false" outlineLevel="0" collapsed="false">
      <c r="A90" s="48" t="s">
        <v>536</v>
      </c>
      <c r="B90" s="20" t="n">
        <f aca="false">03_Capacity_Model!$B$69</f>
        <v>79.8260869565217</v>
      </c>
      <c r="C90" s="20" t="n">
        <f aca="false">30*24/B90</f>
        <v>9.01960784313726</v>
      </c>
      <c r="D90" s="20" t="n">
        <f aca="false">31*24/B90</f>
        <v>9.3202614379085</v>
      </c>
      <c r="E90" s="15" t="n">
        <f aca="false">INT(01_Inputs!$B$11/B90)</f>
        <v>109</v>
      </c>
      <c r="F90" s="42" t="n">
        <f aca="false">E90*01_Inputs!$B$32/1000</f>
        <v>20.71</v>
      </c>
      <c r="G90" s="20" t="n">
        <f aca="false">F90-01_Inputs!$B$38</f>
        <v>-5.49</v>
      </c>
      <c r="H90" s="57" t="s">
        <v>537</v>
      </c>
    </row>
    <row r="91" customFormat="false" ht="15" hidden="false" customHeight="true" outlineLevel="0" collapsed="false">
      <c r="A91" s="8" t="s">
        <v>538</v>
      </c>
      <c r="B91" s="42" t="n">
        <f aca="false">CHOOSE(01_Inputs!$B$75,03_Capacity_Model!$B$22,03_Capacity_Model!$B$37,03_Capacity_Model!$B$54,03_Capacity_Model!$B$81)</f>
        <v>67.4716981132076</v>
      </c>
      <c r="C91" s="8" t="s">
        <v>53</v>
      </c>
      <c r="D91" s="47" t="s">
        <v>539</v>
      </c>
      <c r="E91" s="47"/>
      <c r="F91" s="47"/>
      <c r="G91" s="47"/>
      <c r="H91" s="47"/>
    </row>
    <row r="92" customFormat="false" ht="15" hidden="false" customHeight="false" outlineLevel="0" collapsed="false">
      <c r="A92" s="13" t="s">
        <v>540</v>
      </c>
      <c r="B92" s="8" t="str">
        <f aca="false">CHOOSE(01_Inputs!$B$75,"이론 57 h","과거 최대 11 Batch","과거 일정 관측 추정","26.2톤 역산")</f>
        <v>과거 일정 관측 추정</v>
      </c>
      <c r="C92" s="8"/>
      <c r="D92" s="46"/>
      <c r="E92" s="46"/>
      <c r="F92" s="46"/>
      <c r="G92" s="46"/>
      <c r="H92" s="46"/>
    </row>
    <row r="94" customFormat="false" ht="17.15" hidden="false" customHeight="false" outlineLevel="0" collapsed="false">
      <c r="A94" s="44" t="s">
        <v>541</v>
      </c>
    </row>
    <row r="95" customFormat="false" ht="15" hidden="false" customHeight="true" outlineLevel="0" collapsed="false">
      <c r="A95" s="8" t="s">
        <v>542</v>
      </c>
      <c r="B95" s="45" t="n">
        <f aca="false">01_Inputs!$B$25</f>
        <v>16</v>
      </c>
      <c r="C95" s="8" t="s">
        <v>53</v>
      </c>
      <c r="D95" s="46" t="s">
        <v>543</v>
      </c>
      <c r="E95" s="46"/>
      <c r="F95" s="46"/>
      <c r="G95" s="46"/>
      <c r="H95" s="46"/>
    </row>
    <row r="96" customFormat="false" ht="15" hidden="false" customHeight="false" outlineLevel="0" collapsed="false">
      <c r="A96" s="8" t="s">
        <v>544</v>
      </c>
      <c r="B96" s="45" t="n">
        <f aca="false">01_Inputs!$B$20</f>
        <v>2</v>
      </c>
      <c r="C96" s="8" t="s">
        <v>53</v>
      </c>
      <c r="D96" s="46"/>
      <c r="E96" s="46"/>
      <c r="F96" s="46"/>
      <c r="G96" s="46"/>
      <c r="H96" s="46"/>
    </row>
    <row r="97" customFormat="false" ht="15" hidden="false" customHeight="true" outlineLevel="0" collapsed="false">
      <c r="A97" s="8" t="s">
        <v>545</v>
      </c>
      <c r="B97" s="45" t="n">
        <f aca="false">04_Monthly_2026_2027!$Z$32</f>
        <v>160</v>
      </c>
      <c r="C97" s="8" t="s">
        <v>31</v>
      </c>
      <c r="D97" s="47" t="s">
        <v>546</v>
      </c>
      <c r="E97" s="47"/>
      <c r="F97" s="47"/>
      <c r="G97" s="47"/>
      <c r="H97" s="47"/>
    </row>
    <row r="98" customFormat="false" ht="15" hidden="false" customHeight="true" outlineLevel="0" collapsed="false">
      <c r="A98" s="8" t="s">
        <v>547</v>
      </c>
      <c r="B98" s="45" t="n">
        <f aca="false">04_Monthly_2026_2027!$Z$33</f>
        <v>248</v>
      </c>
      <c r="C98" s="8" t="s">
        <v>31</v>
      </c>
      <c r="D98" s="47" t="s">
        <v>548</v>
      </c>
      <c r="E98" s="47"/>
      <c r="F98" s="47"/>
      <c r="G98" s="47"/>
      <c r="H98" s="47"/>
    </row>
    <row r="99" customFormat="false" ht="15" hidden="false" customHeight="true" outlineLevel="0" collapsed="false">
      <c r="A99" s="8" t="s">
        <v>549</v>
      </c>
      <c r="B99" s="45" t="n">
        <f aca="false">04_Monthly_2026_2027!$AD$33</f>
        <v>48</v>
      </c>
      <c r="C99" s="8" t="s">
        <v>31</v>
      </c>
      <c r="D99" s="47" t="s">
        <v>550</v>
      </c>
      <c r="E99" s="47"/>
      <c r="F99" s="47"/>
      <c r="G99" s="47"/>
      <c r="H99" s="47"/>
    </row>
    <row r="100" customFormat="false" ht="15" hidden="false" customHeight="true" outlineLevel="0" collapsed="false">
      <c r="A100" s="13" t="s">
        <v>551</v>
      </c>
      <c r="B100" s="45" t="n">
        <f aca="false">04_Monthly_2026_2027!$AE$32</f>
        <v>72</v>
      </c>
      <c r="C100" s="8" t="s">
        <v>31</v>
      </c>
      <c r="D100" s="47" t="s">
        <v>552</v>
      </c>
      <c r="E100" s="47"/>
      <c r="F100" s="47"/>
      <c r="G100" s="47"/>
      <c r="H100" s="47"/>
    </row>
    <row r="101" customFormat="false" ht="30" hidden="false" customHeight="true" outlineLevel="0" collapsed="false">
      <c r="A101" s="10" t="s">
        <v>553</v>
      </c>
      <c r="B101" s="10" t="s">
        <v>554</v>
      </c>
      <c r="C101" s="10" t="s">
        <v>555</v>
      </c>
      <c r="D101" s="10" t="s">
        <v>556</v>
      </c>
      <c r="E101" s="25" t="s">
        <v>557</v>
      </c>
      <c r="F101" s="25" t="s">
        <v>558</v>
      </c>
      <c r="G101" s="25" t="s">
        <v>559</v>
      </c>
      <c r="H101" s="10" t="s">
        <v>15</v>
      </c>
    </row>
    <row r="102" customFormat="false" ht="15" hidden="false" customHeight="false" outlineLevel="0" collapsed="false">
      <c r="A102" s="48" t="s">
        <v>560</v>
      </c>
      <c r="B102" s="14" t="s">
        <v>41</v>
      </c>
      <c r="C102" s="15" t="s">
        <v>41</v>
      </c>
      <c r="D102" s="14" t="str">
        <f aca="false">IF(ISNUMBER(01_Inputs!$B$62),01_Inputs!$B$62,"미확인")</f>
        <v>미확인</v>
      </c>
      <c r="E102" s="58" t="str">
        <f aca="false">IF(ISNUMBER(D102),03_Capacity_Model!$B$97/D102,"미확인")</f>
        <v>미확인</v>
      </c>
      <c r="F102" s="58" t="str">
        <f aca="false">IF(ISNUMBER(D102),03_Capacity_Model!$B$98/D102,"미확인")</f>
        <v>미확인</v>
      </c>
      <c r="G102" s="14" t="str">
        <f aca="false">IF(ISNUMBER(D102),D102-03_Capacity_Model!$B$98,"미확인")</f>
        <v>미확인</v>
      </c>
      <c r="H102" s="57" t="s">
        <v>561</v>
      </c>
    </row>
    <row r="103" customFormat="false" ht="15" hidden="false" customHeight="false" outlineLevel="0" collapsed="false">
      <c r="A103" s="48" t="s">
        <v>562</v>
      </c>
      <c r="B103" s="14" t="n">
        <f aca="false">01_Inputs!$B$68</f>
        <v>8</v>
      </c>
      <c r="C103" s="15" t="n">
        <f aca="false">01_Inputs!$B$67</f>
        <v>22</v>
      </c>
      <c r="D103" s="14" t="n">
        <f aca="false">B103*C103</f>
        <v>176</v>
      </c>
      <c r="E103" s="58" t="n">
        <f aca="false">IF(ISNUMBER(D103),03_Capacity_Model!$B$97/D103,"미확인")</f>
        <v>0.909090909090909</v>
      </c>
      <c r="F103" s="58" t="n">
        <f aca="false">IF(ISNUMBER(D103),03_Capacity_Model!$B$98/D103,"미확인")</f>
        <v>1.40909090909091</v>
      </c>
      <c r="G103" s="14" t="n">
        <f aca="false">IF(ISNUMBER(D103),D103-03_Capacity_Model!$B$98,"미확인")</f>
        <v>-72</v>
      </c>
      <c r="H103" s="56" t="s">
        <v>563</v>
      </c>
    </row>
    <row r="104" customFormat="false" ht="15" hidden="false" customHeight="false" outlineLevel="0" collapsed="false">
      <c r="A104" s="48" t="s">
        <v>564</v>
      </c>
      <c r="B104" s="14" t="n">
        <f aca="false">01_Inputs!$B$69</f>
        <v>16</v>
      </c>
      <c r="C104" s="15" t="n">
        <f aca="false">01_Inputs!$B$67</f>
        <v>22</v>
      </c>
      <c r="D104" s="14" t="n">
        <f aca="false">B104*C104</f>
        <v>352</v>
      </c>
      <c r="E104" s="58" t="n">
        <f aca="false">IF(ISNUMBER(D104),03_Capacity_Model!$B$97/D104,"미확인")</f>
        <v>0.454545454545455</v>
      </c>
      <c r="F104" s="58" t="n">
        <f aca="false">IF(ISNUMBER(D104),03_Capacity_Model!$B$98/D104,"미확인")</f>
        <v>0.704545454545455</v>
      </c>
      <c r="G104" s="14" t="n">
        <f aca="false">IF(ISNUMBER(D104),D104-03_Capacity_Model!$B$98,"미확인")</f>
        <v>104</v>
      </c>
      <c r="H104" s="56" t="s">
        <v>563</v>
      </c>
    </row>
    <row r="105" customFormat="false" ht="15" hidden="false" customHeight="false" outlineLevel="0" collapsed="false">
      <c r="A105" s="48" t="s">
        <v>565</v>
      </c>
      <c r="B105" s="14" t="n">
        <f aca="false">01_Inputs!$B$70</f>
        <v>24</v>
      </c>
      <c r="C105" s="15" t="n">
        <f aca="false">30</f>
        <v>30</v>
      </c>
      <c r="D105" s="14" t="n">
        <f aca="false">B105*C105</f>
        <v>720</v>
      </c>
      <c r="E105" s="58" t="n">
        <f aca="false">IF(ISNUMBER(D105),03_Capacity_Model!$B$97/D105,"미확인")</f>
        <v>0.222222222222222</v>
      </c>
      <c r="F105" s="58" t="n">
        <f aca="false">IF(ISNUMBER(D105),03_Capacity_Model!$B$98/D105,"미확인")</f>
        <v>0.344444444444444</v>
      </c>
      <c r="G105" s="14" t="n">
        <f aca="false">IF(ISNUMBER(D105),D105-03_Capacity_Model!$B$98,"미확인")</f>
        <v>472</v>
      </c>
      <c r="H105" s="56" t="s">
        <v>566</v>
      </c>
    </row>
    <row r="107" customFormat="false" ht="17.15" hidden="false" customHeight="false" outlineLevel="0" collapsed="false">
      <c r="A107" s="44" t="s">
        <v>567</v>
      </c>
    </row>
    <row r="108" customFormat="false" ht="15" hidden="false" customHeight="true" outlineLevel="0" collapsed="false">
      <c r="A108" s="13" t="s">
        <v>568</v>
      </c>
      <c r="B108" s="14" t="n">
        <f aca="false">N(01_Inputs!$B$18)+N(01_Inputs!$B$19)+01_Inputs!$B$20+N(01_Inputs!$B$21)</f>
        <v>2</v>
      </c>
      <c r="C108" s="8" t="s">
        <v>80</v>
      </c>
      <c r="D108" s="46" t="s">
        <v>569</v>
      </c>
      <c r="E108" s="46"/>
      <c r="F108" s="46"/>
      <c r="G108" s="46"/>
      <c r="H108" s="46"/>
    </row>
    <row r="109" customFormat="false" ht="15" hidden="false" customHeight="true" outlineLevel="0" collapsed="false">
      <c r="A109" s="13" t="s">
        <v>570</v>
      </c>
      <c r="B109" s="20" t="n">
        <f aca="false">01_Inputs!$B$11/(01_Inputs!$B$40*1000/01_Inputs!$B$32)</f>
        <v>35.2627118644068</v>
      </c>
      <c r="C109" s="8" t="s">
        <v>53</v>
      </c>
      <c r="D109" s="46" t="s">
        <v>571</v>
      </c>
      <c r="E109" s="46"/>
      <c r="F109" s="46"/>
      <c r="G109" s="46"/>
      <c r="H109" s="46"/>
    </row>
    <row r="110" customFormat="false" ht="30" hidden="false" customHeight="true" outlineLevel="0" collapsed="false">
      <c r="A110" s="25" t="s">
        <v>572</v>
      </c>
      <c r="B110" s="10" t="s">
        <v>554</v>
      </c>
      <c r="C110" s="10" t="s">
        <v>573</v>
      </c>
      <c r="D110" s="25" t="s">
        <v>574</v>
      </c>
      <c r="E110" s="10" t="s">
        <v>575</v>
      </c>
      <c r="F110" s="10" t="s">
        <v>576</v>
      </c>
      <c r="G110" s="10" t="s">
        <v>577</v>
      </c>
      <c r="H110" s="10" t="s">
        <v>578</v>
      </c>
    </row>
    <row r="111" customFormat="false" ht="15" hidden="false" customHeight="false" outlineLevel="0" collapsed="false">
      <c r="A111" s="48" t="s">
        <v>562</v>
      </c>
      <c r="B111" s="14" t="n">
        <f aca="false">01_Inputs!$B$68</f>
        <v>8</v>
      </c>
      <c r="C111" s="14" t="n">
        <f aca="false">01_Inputs!$B$25/(B111/24)</f>
        <v>48</v>
      </c>
      <c r="D111" s="14" t="n">
        <f aca="false">03_Capacity_Model!$B$108+C111</f>
        <v>50</v>
      </c>
      <c r="E111" s="14" t="n">
        <f aca="false">03_Capacity_Model!$B$22-D111</f>
        <v>7</v>
      </c>
      <c r="F111" s="14" t="n">
        <f aca="false">03_Capacity_Model!$B$54-D111</f>
        <v>17.4716981132076</v>
      </c>
      <c r="G111" s="14" t="n">
        <f aca="false">03_Capacity_Model!$B$109-D111</f>
        <v>-14.7372881355932</v>
      </c>
      <c r="H111" s="8" t="str">
        <f aca="false">IF(G111&lt;0,"리플럭스 후 병목 가능",IF(E111&lt;10,"여유 작음","여유"))</f>
        <v>리플럭스 후 병목 가능</v>
      </c>
    </row>
    <row r="112" customFormat="false" ht="15" hidden="false" customHeight="false" outlineLevel="0" collapsed="false">
      <c r="A112" s="48" t="s">
        <v>564</v>
      </c>
      <c r="B112" s="14" t="n">
        <f aca="false">01_Inputs!$B$69</f>
        <v>16</v>
      </c>
      <c r="C112" s="14" t="n">
        <f aca="false">01_Inputs!$B$25/(B112/24)</f>
        <v>24</v>
      </c>
      <c r="D112" s="14" t="n">
        <f aca="false">03_Capacity_Model!$B$108+C112</f>
        <v>26</v>
      </c>
      <c r="E112" s="14" t="n">
        <f aca="false">03_Capacity_Model!$B$22-D112</f>
        <v>31</v>
      </c>
      <c r="F112" s="14" t="n">
        <f aca="false">03_Capacity_Model!$B$54-D112</f>
        <v>41.4716981132076</v>
      </c>
      <c r="G112" s="14" t="n">
        <f aca="false">03_Capacity_Model!$B$109-D112</f>
        <v>9.26271186440678</v>
      </c>
      <c r="H112" s="8" t="str">
        <f aca="false">IF(G112&lt;0,"리플럭스 후 병목 가능",IF(E112&lt;10,"여유 작음","여유"))</f>
        <v>여유</v>
      </c>
    </row>
    <row r="113" customFormat="false" ht="15" hidden="false" customHeight="false" outlineLevel="0" collapsed="false">
      <c r="A113" s="48" t="s">
        <v>579</v>
      </c>
      <c r="B113" s="14" t="n">
        <f aca="false">01_Inputs!$B$70</f>
        <v>24</v>
      </c>
      <c r="C113" s="14" t="n">
        <f aca="false">01_Inputs!$B$25/(B113/24)</f>
        <v>16</v>
      </c>
      <c r="D113" s="14" t="n">
        <f aca="false">03_Capacity_Model!$B$108+C113</f>
        <v>18</v>
      </c>
      <c r="E113" s="14" t="n">
        <f aca="false">03_Capacity_Model!$B$22-D113</f>
        <v>39</v>
      </c>
      <c r="F113" s="14" t="n">
        <f aca="false">03_Capacity_Model!$B$54-D113</f>
        <v>49.4716981132076</v>
      </c>
      <c r="G113" s="14" t="n">
        <f aca="false">03_Capacity_Model!$B$109-D113</f>
        <v>17.2627118644068</v>
      </c>
      <c r="H113" s="8" t="str">
        <f aca="false">IF(G113&lt;0,"리플럭스 후 병목 가능",IF(E113&lt;10,"여유 작음","여유"))</f>
        <v>여유</v>
      </c>
    </row>
    <row r="114" customFormat="false" ht="26.85" hidden="false" customHeight="false" outlineLevel="0" collapsed="false">
      <c r="A114" s="57" t="s">
        <v>580</v>
      </c>
    </row>
    <row r="116" customFormat="false" ht="17.15" hidden="false" customHeight="false" outlineLevel="0" collapsed="false">
      <c r="A116" s="44" t="s">
        <v>581</v>
      </c>
    </row>
    <row r="117" customFormat="false" ht="15" hidden="false" customHeight="true" outlineLevel="0" collapsed="false">
      <c r="A117" s="8" t="s">
        <v>582</v>
      </c>
      <c r="B117" s="59" t="n">
        <f aca="false">ROUND(03_Capacity_Model!$B$54,1)</f>
        <v>67.5</v>
      </c>
      <c r="C117" s="8" t="s">
        <v>53</v>
      </c>
      <c r="D117" s="46" t="s">
        <v>583</v>
      </c>
      <c r="E117" s="46"/>
      <c r="F117" s="46"/>
      <c r="G117" s="46"/>
      <c r="H117" s="46"/>
    </row>
    <row r="118" customFormat="false" ht="30" hidden="false" customHeight="true" outlineLevel="0" collapsed="false">
      <c r="A118" s="10" t="s">
        <v>584</v>
      </c>
      <c r="B118" s="10" t="s">
        <v>585</v>
      </c>
      <c r="C118" s="10" t="s">
        <v>586</v>
      </c>
      <c r="D118" s="10" t="s">
        <v>587</v>
      </c>
      <c r="E118" s="10"/>
      <c r="F118" s="10"/>
      <c r="G118" s="10"/>
      <c r="H118" s="10" t="s">
        <v>15</v>
      </c>
      <c r="I118" s="60" t="s">
        <v>588</v>
      </c>
      <c r="J118" s="61" t="n">
        <v>0</v>
      </c>
      <c r="K118" s="61" t="n">
        <v>6</v>
      </c>
      <c r="L118" s="61" t="n">
        <v>12</v>
      </c>
      <c r="M118" s="61" t="n">
        <v>18</v>
      </c>
      <c r="N118" s="61" t="n">
        <v>24</v>
      </c>
      <c r="O118" s="61" t="n">
        <v>30</v>
      </c>
      <c r="P118" s="61" t="n">
        <v>36</v>
      </c>
      <c r="Q118" s="61" t="n">
        <v>42</v>
      </c>
      <c r="R118" s="61" t="n">
        <v>48</v>
      </c>
      <c r="S118" s="61" t="n">
        <v>54</v>
      </c>
      <c r="T118" s="61" t="n">
        <v>60</v>
      </c>
      <c r="U118" s="61" t="n">
        <v>66</v>
      </c>
      <c r="V118" s="61" t="n">
        <v>72</v>
      </c>
      <c r="W118" s="61" t="n">
        <v>78</v>
      </c>
      <c r="X118" s="61" t="n">
        <v>84</v>
      </c>
      <c r="Y118" s="61" t="n">
        <v>90</v>
      </c>
      <c r="Z118" s="61" t="n">
        <v>96</v>
      </c>
      <c r="AA118" s="61" t="n">
        <v>102</v>
      </c>
      <c r="AB118" s="61" t="n">
        <v>108</v>
      </c>
      <c r="AC118" s="61" t="n">
        <v>114</v>
      </c>
      <c r="AD118" s="61" t="n">
        <v>120</v>
      </c>
      <c r="AE118" s="61" t="n">
        <v>126</v>
      </c>
      <c r="AF118" s="61" t="n">
        <v>132</v>
      </c>
      <c r="AG118" s="61" t="n">
        <v>138</v>
      </c>
      <c r="AH118" s="61" t="n">
        <v>144</v>
      </c>
      <c r="AI118" s="61" t="n">
        <v>150</v>
      </c>
      <c r="AJ118" s="61" t="n">
        <v>156</v>
      </c>
      <c r="AK118" s="61" t="n">
        <v>162</v>
      </c>
      <c r="AL118" s="61" t="n">
        <v>168</v>
      </c>
      <c r="AM118" s="61" t="n">
        <v>174</v>
      </c>
      <c r="AN118" s="61" t="n">
        <v>180</v>
      </c>
      <c r="AO118" s="61" t="n">
        <v>186</v>
      </c>
      <c r="AP118" s="61" t="n">
        <v>192</v>
      </c>
      <c r="AQ118" s="61" t="n">
        <v>198</v>
      </c>
      <c r="AR118" s="61" t="n">
        <v>204</v>
      </c>
      <c r="AS118" s="61" t="n">
        <v>210</v>
      </c>
      <c r="AT118" s="61" t="n">
        <v>216</v>
      </c>
    </row>
    <row r="119" customFormat="false" ht="15" hidden="false" customHeight="false" outlineLevel="0" collapsed="false">
      <c r="A119" s="8" t="s">
        <v>589</v>
      </c>
      <c r="B119" s="14" t="n">
        <f aca="false">(1-1)*03_Capacity_Model!$B$117</f>
        <v>0</v>
      </c>
      <c r="C119" s="14" t="n">
        <f aca="false">B119+01_Inputs!$B$17</f>
        <v>57</v>
      </c>
      <c r="D119" s="13" t="s">
        <v>590</v>
      </c>
      <c r="H119" s="56" t="s">
        <v>591</v>
      </c>
      <c r="J119" s="62" t="n">
        <f aca="false">IF(AND(J$118+6&gt;$B119,J$118&lt;$C119),1,"")</f>
        <v>1</v>
      </c>
      <c r="K119" s="62" t="n">
        <f aca="false">IF(AND(K$118+6&gt;$B119,K$118&lt;$C119),1,"")</f>
        <v>1</v>
      </c>
      <c r="L119" s="62" t="n">
        <f aca="false">IF(AND(L$118+6&gt;$B119,L$118&lt;$C119),1,"")</f>
        <v>1</v>
      </c>
      <c r="M119" s="62" t="n">
        <f aca="false">IF(AND(M$118+6&gt;$B119,M$118&lt;$C119),1,"")</f>
        <v>1</v>
      </c>
      <c r="N119" s="62" t="n">
        <f aca="false">IF(AND(N$118+6&gt;$B119,N$118&lt;$C119),1,"")</f>
        <v>1</v>
      </c>
      <c r="O119" s="62" t="n">
        <f aca="false">IF(AND(O$118+6&gt;$B119,O$118&lt;$C119),1,"")</f>
        <v>1</v>
      </c>
      <c r="P119" s="62" t="n">
        <f aca="false">IF(AND(P$118+6&gt;$B119,P$118&lt;$C119),1,"")</f>
        <v>1</v>
      </c>
      <c r="Q119" s="62" t="n">
        <f aca="false">IF(AND(Q$118+6&gt;$B119,Q$118&lt;$C119),1,"")</f>
        <v>1</v>
      </c>
      <c r="R119" s="62" t="n">
        <f aca="false">IF(AND(R$118+6&gt;$B119,R$118&lt;$C119),1,"")</f>
        <v>1</v>
      </c>
      <c r="S119" s="62" t="n">
        <f aca="false">IF(AND(S$118+6&gt;$B119,S$118&lt;$C119),1,"")</f>
        <v>1</v>
      </c>
      <c r="T119" s="62" t="str">
        <f aca="false">IF(AND(T$118+6&gt;$B119,T$118&lt;$C119),1,"")</f>
        <v/>
      </c>
      <c r="U119" s="62" t="str">
        <f aca="false">IF(AND(U$118+6&gt;$B119,U$118&lt;$C119),1,"")</f>
        <v/>
      </c>
      <c r="V119" s="62" t="str">
        <f aca="false">IF(AND(V$118+6&gt;$B119,V$118&lt;$C119),1,"")</f>
        <v/>
      </c>
      <c r="W119" s="62" t="str">
        <f aca="false">IF(AND(W$118+6&gt;$B119,W$118&lt;$C119),1,"")</f>
        <v/>
      </c>
      <c r="X119" s="62" t="str">
        <f aca="false">IF(AND(X$118+6&gt;$B119,X$118&lt;$C119),1,"")</f>
        <v/>
      </c>
      <c r="Y119" s="62" t="str">
        <f aca="false">IF(AND(Y$118+6&gt;$B119,Y$118&lt;$C119),1,"")</f>
        <v/>
      </c>
      <c r="Z119" s="62" t="str">
        <f aca="false">IF(AND(Z$118+6&gt;$B119,Z$118&lt;$C119),1,"")</f>
        <v/>
      </c>
      <c r="AA119" s="62" t="str">
        <f aca="false">IF(AND(AA$118+6&gt;$B119,AA$118&lt;$C119),1,"")</f>
        <v/>
      </c>
      <c r="AB119" s="62" t="str">
        <f aca="false">IF(AND(AB$118+6&gt;$B119,AB$118&lt;$C119),1,"")</f>
        <v/>
      </c>
      <c r="AC119" s="62" t="str">
        <f aca="false">IF(AND(AC$118+6&gt;$B119,AC$118&lt;$C119),1,"")</f>
        <v/>
      </c>
      <c r="AD119" s="62" t="str">
        <f aca="false">IF(AND(AD$118+6&gt;$B119,AD$118&lt;$C119),1,"")</f>
        <v/>
      </c>
      <c r="AE119" s="62" t="str">
        <f aca="false">IF(AND(AE$118+6&gt;$B119,AE$118&lt;$C119),1,"")</f>
        <v/>
      </c>
      <c r="AF119" s="62" t="str">
        <f aca="false">IF(AND(AF$118+6&gt;$B119,AF$118&lt;$C119),1,"")</f>
        <v/>
      </c>
      <c r="AG119" s="62" t="str">
        <f aca="false">IF(AND(AG$118+6&gt;$B119,AG$118&lt;$C119),1,"")</f>
        <v/>
      </c>
      <c r="AH119" s="62" t="str">
        <f aca="false">IF(AND(AH$118+6&gt;$B119,AH$118&lt;$C119),1,"")</f>
        <v/>
      </c>
      <c r="AI119" s="62" t="str">
        <f aca="false">IF(AND(AI$118+6&gt;$B119,AI$118&lt;$C119),1,"")</f>
        <v/>
      </c>
      <c r="AJ119" s="62" t="str">
        <f aca="false">IF(AND(AJ$118+6&gt;$B119,AJ$118&lt;$C119),1,"")</f>
        <v/>
      </c>
      <c r="AK119" s="62" t="str">
        <f aca="false">IF(AND(AK$118+6&gt;$B119,AK$118&lt;$C119),1,"")</f>
        <v/>
      </c>
      <c r="AL119" s="62" t="str">
        <f aca="false">IF(AND(AL$118+6&gt;$B119,AL$118&lt;$C119),1,"")</f>
        <v/>
      </c>
      <c r="AM119" s="62" t="str">
        <f aca="false">IF(AND(AM$118+6&gt;$B119,AM$118&lt;$C119),1,"")</f>
        <v/>
      </c>
      <c r="AN119" s="62" t="str">
        <f aca="false">IF(AND(AN$118+6&gt;$B119,AN$118&lt;$C119),1,"")</f>
        <v/>
      </c>
      <c r="AO119" s="62" t="str">
        <f aca="false">IF(AND(AO$118+6&gt;$B119,AO$118&lt;$C119),1,"")</f>
        <v/>
      </c>
      <c r="AP119" s="62" t="str">
        <f aca="false">IF(AND(AP$118+6&gt;$B119,AP$118&lt;$C119),1,"")</f>
        <v/>
      </c>
      <c r="AQ119" s="62" t="str">
        <f aca="false">IF(AND(AQ$118+6&gt;$B119,AQ$118&lt;$C119),1,"")</f>
        <v/>
      </c>
      <c r="AR119" s="62" t="str">
        <f aca="false">IF(AND(AR$118+6&gt;$B119,AR$118&lt;$C119),1,"")</f>
        <v/>
      </c>
      <c r="AS119" s="62" t="str">
        <f aca="false">IF(AND(AS$118+6&gt;$B119,AS$118&lt;$C119),1,"")</f>
        <v/>
      </c>
      <c r="AT119" s="62" t="str">
        <f aca="false">IF(AND(AT$118+6&gt;$B119,AT$118&lt;$C119),1,"")</f>
        <v/>
      </c>
    </row>
    <row r="120" customFormat="false" ht="15" hidden="false" customHeight="false" outlineLevel="0" collapsed="false">
      <c r="A120" s="8" t="s">
        <v>592</v>
      </c>
      <c r="B120" s="14" t="n">
        <f aca="false">B119+01_Inputs!$B$17</f>
        <v>57</v>
      </c>
      <c r="C120" s="14" t="n">
        <f aca="false">(1)*03_Capacity_Model!$B$117</f>
        <v>67.5</v>
      </c>
      <c r="D120" s="13" t="s">
        <v>590</v>
      </c>
      <c r="H120" s="56" t="s">
        <v>593</v>
      </c>
      <c r="J120" s="62" t="str">
        <f aca="false">IF(AND(J$118+6&gt;$B120,J$118&lt;$C120),1,"")</f>
        <v/>
      </c>
      <c r="K120" s="62" t="str">
        <f aca="false">IF(AND(K$118+6&gt;$B120,K$118&lt;$C120),1,"")</f>
        <v/>
      </c>
      <c r="L120" s="62" t="str">
        <f aca="false">IF(AND(L$118+6&gt;$B120,L$118&lt;$C120),1,"")</f>
        <v/>
      </c>
      <c r="M120" s="62" t="str">
        <f aca="false">IF(AND(M$118+6&gt;$B120,M$118&lt;$C120),1,"")</f>
        <v/>
      </c>
      <c r="N120" s="62" t="str">
        <f aca="false">IF(AND(N$118+6&gt;$B120,N$118&lt;$C120),1,"")</f>
        <v/>
      </c>
      <c r="O120" s="62" t="str">
        <f aca="false">IF(AND(O$118+6&gt;$B120,O$118&lt;$C120),1,"")</f>
        <v/>
      </c>
      <c r="P120" s="62" t="str">
        <f aca="false">IF(AND(P$118+6&gt;$B120,P$118&lt;$C120),1,"")</f>
        <v/>
      </c>
      <c r="Q120" s="62" t="str">
        <f aca="false">IF(AND(Q$118+6&gt;$B120,Q$118&lt;$C120),1,"")</f>
        <v/>
      </c>
      <c r="R120" s="62" t="str">
        <f aca="false">IF(AND(R$118+6&gt;$B120,R$118&lt;$C120),1,"")</f>
        <v/>
      </c>
      <c r="S120" s="62" t="n">
        <f aca="false">IF(AND(S$118+6&gt;$B120,S$118&lt;$C120),1,"")</f>
        <v>1</v>
      </c>
      <c r="T120" s="62" t="n">
        <f aca="false">IF(AND(T$118+6&gt;$B120,T$118&lt;$C120),1,"")</f>
        <v>1</v>
      </c>
      <c r="U120" s="62" t="n">
        <f aca="false">IF(AND(U$118+6&gt;$B120,U$118&lt;$C120),1,"")</f>
        <v>1</v>
      </c>
      <c r="V120" s="62" t="str">
        <f aca="false">IF(AND(V$118+6&gt;$B120,V$118&lt;$C120),1,"")</f>
        <v/>
      </c>
      <c r="W120" s="62" t="str">
        <f aca="false">IF(AND(W$118+6&gt;$B120,W$118&lt;$C120),1,"")</f>
        <v/>
      </c>
      <c r="X120" s="62" t="str">
        <f aca="false">IF(AND(X$118+6&gt;$B120,X$118&lt;$C120),1,"")</f>
        <v/>
      </c>
      <c r="Y120" s="62" t="str">
        <f aca="false">IF(AND(Y$118+6&gt;$B120,Y$118&lt;$C120),1,"")</f>
        <v/>
      </c>
      <c r="Z120" s="62" t="str">
        <f aca="false">IF(AND(Z$118+6&gt;$B120,Z$118&lt;$C120),1,"")</f>
        <v/>
      </c>
      <c r="AA120" s="62" t="str">
        <f aca="false">IF(AND(AA$118+6&gt;$B120,AA$118&lt;$C120),1,"")</f>
        <v/>
      </c>
      <c r="AB120" s="62" t="str">
        <f aca="false">IF(AND(AB$118+6&gt;$B120,AB$118&lt;$C120),1,"")</f>
        <v/>
      </c>
      <c r="AC120" s="62" t="str">
        <f aca="false">IF(AND(AC$118+6&gt;$B120,AC$118&lt;$C120),1,"")</f>
        <v/>
      </c>
      <c r="AD120" s="62" t="str">
        <f aca="false">IF(AND(AD$118+6&gt;$B120,AD$118&lt;$C120),1,"")</f>
        <v/>
      </c>
      <c r="AE120" s="62" t="str">
        <f aca="false">IF(AND(AE$118+6&gt;$B120,AE$118&lt;$C120),1,"")</f>
        <v/>
      </c>
      <c r="AF120" s="62" t="str">
        <f aca="false">IF(AND(AF$118+6&gt;$B120,AF$118&lt;$C120),1,"")</f>
        <v/>
      </c>
      <c r="AG120" s="62" t="str">
        <f aca="false">IF(AND(AG$118+6&gt;$B120,AG$118&lt;$C120),1,"")</f>
        <v/>
      </c>
      <c r="AH120" s="62" t="str">
        <f aca="false">IF(AND(AH$118+6&gt;$B120,AH$118&lt;$C120),1,"")</f>
        <v/>
      </c>
      <c r="AI120" s="62" t="str">
        <f aca="false">IF(AND(AI$118+6&gt;$B120,AI$118&lt;$C120),1,"")</f>
        <v/>
      </c>
      <c r="AJ120" s="62" t="str">
        <f aca="false">IF(AND(AJ$118+6&gt;$B120,AJ$118&lt;$C120),1,"")</f>
        <v/>
      </c>
      <c r="AK120" s="62" t="str">
        <f aca="false">IF(AND(AK$118+6&gt;$B120,AK$118&lt;$C120),1,"")</f>
        <v/>
      </c>
      <c r="AL120" s="62" t="str">
        <f aca="false">IF(AND(AL$118+6&gt;$B120,AL$118&lt;$C120),1,"")</f>
        <v/>
      </c>
      <c r="AM120" s="62" t="str">
        <f aca="false">IF(AND(AM$118+6&gt;$B120,AM$118&lt;$C120),1,"")</f>
        <v/>
      </c>
      <c r="AN120" s="62" t="str">
        <f aca="false">IF(AND(AN$118+6&gt;$B120,AN$118&lt;$C120),1,"")</f>
        <v/>
      </c>
      <c r="AO120" s="62" t="str">
        <f aca="false">IF(AND(AO$118+6&gt;$B120,AO$118&lt;$C120),1,"")</f>
        <v/>
      </c>
      <c r="AP120" s="62" t="str">
        <f aca="false">IF(AND(AP$118+6&gt;$B120,AP$118&lt;$C120),1,"")</f>
        <v/>
      </c>
      <c r="AQ120" s="62" t="str">
        <f aca="false">IF(AND(AQ$118+6&gt;$B120,AQ$118&lt;$C120),1,"")</f>
        <v/>
      </c>
      <c r="AR120" s="62" t="str">
        <f aca="false">IF(AND(AR$118+6&gt;$B120,AR$118&lt;$C120),1,"")</f>
        <v/>
      </c>
      <c r="AS120" s="62" t="str">
        <f aca="false">IF(AND(AS$118+6&gt;$B120,AS$118&lt;$C120),1,"")</f>
        <v/>
      </c>
      <c r="AT120" s="62" t="str">
        <f aca="false">IF(AND(AT$118+6&gt;$B120,AT$118&lt;$C120),1,"")</f>
        <v/>
      </c>
    </row>
    <row r="121" customFormat="false" ht="15" hidden="false" customHeight="false" outlineLevel="0" collapsed="false">
      <c r="A121" s="8" t="s">
        <v>594</v>
      </c>
      <c r="B121" s="14" t="n">
        <f aca="false">C119</f>
        <v>57</v>
      </c>
      <c r="C121" s="14" t="n">
        <f aca="false">B121+03_Capacity_Model!$B$108</f>
        <v>59</v>
      </c>
      <c r="D121" s="13" t="s">
        <v>595</v>
      </c>
      <c r="H121" s="56" t="s">
        <v>596</v>
      </c>
      <c r="J121" s="62" t="str">
        <f aca="false">IF(AND(J$118+6&gt;$B121,J$118&lt;$C121),1,"")</f>
        <v/>
      </c>
      <c r="K121" s="62" t="str">
        <f aca="false">IF(AND(K$118+6&gt;$B121,K$118&lt;$C121),1,"")</f>
        <v/>
      </c>
      <c r="L121" s="62" t="str">
        <f aca="false">IF(AND(L$118+6&gt;$B121,L$118&lt;$C121),1,"")</f>
        <v/>
      </c>
      <c r="M121" s="62" t="str">
        <f aca="false">IF(AND(M$118+6&gt;$B121,M$118&lt;$C121),1,"")</f>
        <v/>
      </c>
      <c r="N121" s="62" t="str">
        <f aca="false">IF(AND(N$118+6&gt;$B121,N$118&lt;$C121),1,"")</f>
        <v/>
      </c>
      <c r="O121" s="62" t="str">
        <f aca="false">IF(AND(O$118+6&gt;$B121,O$118&lt;$C121),1,"")</f>
        <v/>
      </c>
      <c r="P121" s="62" t="str">
        <f aca="false">IF(AND(P$118+6&gt;$B121,P$118&lt;$C121),1,"")</f>
        <v/>
      </c>
      <c r="Q121" s="62" t="str">
        <f aca="false">IF(AND(Q$118+6&gt;$B121,Q$118&lt;$C121),1,"")</f>
        <v/>
      </c>
      <c r="R121" s="62" t="str">
        <f aca="false">IF(AND(R$118+6&gt;$B121,R$118&lt;$C121),1,"")</f>
        <v/>
      </c>
      <c r="S121" s="62" t="n">
        <f aca="false">IF(AND(S$118+6&gt;$B121,S$118&lt;$C121),1,"")</f>
        <v>1</v>
      </c>
      <c r="T121" s="62" t="str">
        <f aca="false">IF(AND(T$118+6&gt;$B121,T$118&lt;$C121),1,"")</f>
        <v/>
      </c>
      <c r="U121" s="62" t="str">
        <f aca="false">IF(AND(U$118+6&gt;$B121,U$118&lt;$C121),1,"")</f>
        <v/>
      </c>
      <c r="V121" s="62" t="str">
        <f aca="false">IF(AND(V$118+6&gt;$B121,V$118&lt;$C121),1,"")</f>
        <v/>
      </c>
      <c r="W121" s="62" t="str">
        <f aca="false">IF(AND(W$118+6&gt;$B121,W$118&lt;$C121),1,"")</f>
        <v/>
      </c>
      <c r="X121" s="62" t="str">
        <f aca="false">IF(AND(X$118+6&gt;$B121,X$118&lt;$C121),1,"")</f>
        <v/>
      </c>
      <c r="Y121" s="62" t="str">
        <f aca="false">IF(AND(Y$118+6&gt;$B121,Y$118&lt;$C121),1,"")</f>
        <v/>
      </c>
      <c r="Z121" s="62" t="str">
        <f aca="false">IF(AND(Z$118+6&gt;$B121,Z$118&lt;$C121),1,"")</f>
        <v/>
      </c>
      <c r="AA121" s="62" t="str">
        <f aca="false">IF(AND(AA$118+6&gt;$B121,AA$118&lt;$C121),1,"")</f>
        <v/>
      </c>
      <c r="AB121" s="62" t="str">
        <f aca="false">IF(AND(AB$118+6&gt;$B121,AB$118&lt;$C121),1,"")</f>
        <v/>
      </c>
      <c r="AC121" s="62" t="str">
        <f aca="false">IF(AND(AC$118+6&gt;$B121,AC$118&lt;$C121),1,"")</f>
        <v/>
      </c>
      <c r="AD121" s="62" t="str">
        <f aca="false">IF(AND(AD$118+6&gt;$B121,AD$118&lt;$C121),1,"")</f>
        <v/>
      </c>
      <c r="AE121" s="62" t="str">
        <f aca="false">IF(AND(AE$118+6&gt;$B121,AE$118&lt;$C121),1,"")</f>
        <v/>
      </c>
      <c r="AF121" s="62" t="str">
        <f aca="false">IF(AND(AF$118+6&gt;$B121,AF$118&lt;$C121),1,"")</f>
        <v/>
      </c>
      <c r="AG121" s="62" t="str">
        <f aca="false">IF(AND(AG$118+6&gt;$B121,AG$118&lt;$C121),1,"")</f>
        <v/>
      </c>
      <c r="AH121" s="62" t="str">
        <f aca="false">IF(AND(AH$118+6&gt;$B121,AH$118&lt;$C121),1,"")</f>
        <v/>
      </c>
      <c r="AI121" s="62" t="str">
        <f aca="false">IF(AND(AI$118+6&gt;$B121,AI$118&lt;$C121),1,"")</f>
        <v/>
      </c>
      <c r="AJ121" s="62" t="str">
        <f aca="false">IF(AND(AJ$118+6&gt;$B121,AJ$118&lt;$C121),1,"")</f>
        <v/>
      </c>
      <c r="AK121" s="62" t="str">
        <f aca="false">IF(AND(AK$118+6&gt;$B121,AK$118&lt;$C121),1,"")</f>
        <v/>
      </c>
      <c r="AL121" s="62" t="str">
        <f aca="false">IF(AND(AL$118+6&gt;$B121,AL$118&lt;$C121),1,"")</f>
        <v/>
      </c>
      <c r="AM121" s="62" t="str">
        <f aca="false">IF(AND(AM$118+6&gt;$B121,AM$118&lt;$C121),1,"")</f>
        <v/>
      </c>
      <c r="AN121" s="62" t="str">
        <f aca="false">IF(AND(AN$118+6&gt;$B121,AN$118&lt;$C121),1,"")</f>
        <v/>
      </c>
      <c r="AO121" s="62" t="str">
        <f aca="false">IF(AND(AO$118+6&gt;$B121,AO$118&lt;$C121),1,"")</f>
        <v/>
      </c>
      <c r="AP121" s="62" t="str">
        <f aca="false">IF(AND(AP$118+6&gt;$B121,AP$118&lt;$C121),1,"")</f>
        <v/>
      </c>
      <c r="AQ121" s="62" t="str">
        <f aca="false">IF(AND(AQ$118+6&gt;$B121,AQ$118&lt;$C121),1,"")</f>
        <v/>
      </c>
      <c r="AR121" s="62" t="str">
        <f aca="false">IF(AND(AR$118+6&gt;$B121,AR$118&lt;$C121),1,"")</f>
        <v/>
      </c>
      <c r="AS121" s="62" t="str">
        <f aca="false">IF(AND(AS$118+6&gt;$B121,AS$118&lt;$C121),1,"")</f>
        <v/>
      </c>
      <c r="AT121" s="62" t="str">
        <f aca="false">IF(AND(AT$118+6&gt;$B121,AT$118&lt;$C121),1,"")</f>
        <v/>
      </c>
    </row>
    <row r="122" customFormat="false" ht="15" hidden="false" customHeight="false" outlineLevel="0" collapsed="false">
      <c r="A122" s="8" t="s">
        <v>597</v>
      </c>
      <c r="B122" s="14" t="n">
        <f aca="false">C121</f>
        <v>59</v>
      </c>
      <c r="C122" s="14" t="n">
        <f aca="false">B122+01_Inputs!$B$25</f>
        <v>75</v>
      </c>
      <c r="D122" s="13" t="s">
        <v>598</v>
      </c>
      <c r="H122" s="56" t="s">
        <v>599</v>
      </c>
      <c r="J122" s="62" t="str">
        <f aca="false">IF(AND(J$118+6&gt;$B122,J$118&lt;$C122),1,"")</f>
        <v/>
      </c>
      <c r="K122" s="62" t="str">
        <f aca="false">IF(AND(K$118+6&gt;$B122,K$118&lt;$C122),1,"")</f>
        <v/>
      </c>
      <c r="L122" s="62" t="str">
        <f aca="false">IF(AND(L$118+6&gt;$B122,L$118&lt;$C122),1,"")</f>
        <v/>
      </c>
      <c r="M122" s="62" t="str">
        <f aca="false">IF(AND(M$118+6&gt;$B122,M$118&lt;$C122),1,"")</f>
        <v/>
      </c>
      <c r="N122" s="62" t="str">
        <f aca="false">IF(AND(N$118+6&gt;$B122,N$118&lt;$C122),1,"")</f>
        <v/>
      </c>
      <c r="O122" s="62" t="str">
        <f aca="false">IF(AND(O$118+6&gt;$B122,O$118&lt;$C122),1,"")</f>
        <v/>
      </c>
      <c r="P122" s="62" t="str">
        <f aca="false">IF(AND(P$118+6&gt;$B122,P$118&lt;$C122),1,"")</f>
        <v/>
      </c>
      <c r="Q122" s="62" t="str">
        <f aca="false">IF(AND(Q$118+6&gt;$B122,Q$118&lt;$C122),1,"")</f>
        <v/>
      </c>
      <c r="R122" s="62" t="str">
        <f aca="false">IF(AND(R$118+6&gt;$B122,R$118&lt;$C122),1,"")</f>
        <v/>
      </c>
      <c r="S122" s="62" t="n">
        <f aca="false">IF(AND(S$118+6&gt;$B122,S$118&lt;$C122),1,"")</f>
        <v>1</v>
      </c>
      <c r="T122" s="62" t="n">
        <f aca="false">IF(AND(T$118+6&gt;$B122,T$118&lt;$C122),1,"")</f>
        <v>1</v>
      </c>
      <c r="U122" s="62" t="n">
        <f aca="false">IF(AND(U$118+6&gt;$B122,U$118&lt;$C122),1,"")</f>
        <v>1</v>
      </c>
      <c r="V122" s="62" t="n">
        <f aca="false">IF(AND(V$118+6&gt;$B122,V$118&lt;$C122),1,"")</f>
        <v>1</v>
      </c>
      <c r="W122" s="62" t="str">
        <f aca="false">IF(AND(W$118+6&gt;$B122,W$118&lt;$C122),1,"")</f>
        <v/>
      </c>
      <c r="X122" s="62" t="str">
        <f aca="false">IF(AND(X$118+6&gt;$B122,X$118&lt;$C122),1,"")</f>
        <v/>
      </c>
      <c r="Y122" s="62" t="str">
        <f aca="false">IF(AND(Y$118+6&gt;$B122,Y$118&lt;$C122),1,"")</f>
        <v/>
      </c>
      <c r="Z122" s="62" t="str">
        <f aca="false">IF(AND(Z$118+6&gt;$B122,Z$118&lt;$C122),1,"")</f>
        <v/>
      </c>
      <c r="AA122" s="62" t="str">
        <f aca="false">IF(AND(AA$118+6&gt;$B122,AA$118&lt;$C122),1,"")</f>
        <v/>
      </c>
      <c r="AB122" s="62" t="str">
        <f aca="false">IF(AND(AB$118+6&gt;$B122,AB$118&lt;$C122),1,"")</f>
        <v/>
      </c>
      <c r="AC122" s="62" t="str">
        <f aca="false">IF(AND(AC$118+6&gt;$B122,AC$118&lt;$C122),1,"")</f>
        <v/>
      </c>
      <c r="AD122" s="62" t="str">
        <f aca="false">IF(AND(AD$118+6&gt;$B122,AD$118&lt;$C122),1,"")</f>
        <v/>
      </c>
      <c r="AE122" s="62" t="str">
        <f aca="false">IF(AND(AE$118+6&gt;$B122,AE$118&lt;$C122),1,"")</f>
        <v/>
      </c>
      <c r="AF122" s="62" t="str">
        <f aca="false">IF(AND(AF$118+6&gt;$B122,AF$118&lt;$C122),1,"")</f>
        <v/>
      </c>
      <c r="AG122" s="62" t="str">
        <f aca="false">IF(AND(AG$118+6&gt;$B122,AG$118&lt;$C122),1,"")</f>
        <v/>
      </c>
      <c r="AH122" s="62" t="str">
        <f aca="false">IF(AND(AH$118+6&gt;$B122,AH$118&lt;$C122),1,"")</f>
        <v/>
      </c>
      <c r="AI122" s="62" t="str">
        <f aca="false">IF(AND(AI$118+6&gt;$B122,AI$118&lt;$C122),1,"")</f>
        <v/>
      </c>
      <c r="AJ122" s="62" t="str">
        <f aca="false">IF(AND(AJ$118+6&gt;$B122,AJ$118&lt;$C122),1,"")</f>
        <v/>
      </c>
      <c r="AK122" s="62" t="str">
        <f aca="false">IF(AND(AK$118+6&gt;$B122,AK$118&lt;$C122),1,"")</f>
        <v/>
      </c>
      <c r="AL122" s="62" t="str">
        <f aca="false">IF(AND(AL$118+6&gt;$B122,AL$118&lt;$C122),1,"")</f>
        <v/>
      </c>
      <c r="AM122" s="62" t="str">
        <f aca="false">IF(AND(AM$118+6&gt;$B122,AM$118&lt;$C122),1,"")</f>
        <v/>
      </c>
      <c r="AN122" s="62" t="str">
        <f aca="false">IF(AND(AN$118+6&gt;$B122,AN$118&lt;$C122),1,"")</f>
        <v/>
      </c>
      <c r="AO122" s="62" t="str">
        <f aca="false">IF(AND(AO$118+6&gt;$B122,AO$118&lt;$C122),1,"")</f>
        <v/>
      </c>
      <c r="AP122" s="62" t="str">
        <f aca="false">IF(AND(AP$118+6&gt;$B122,AP$118&lt;$C122),1,"")</f>
        <v/>
      </c>
      <c r="AQ122" s="62" t="str">
        <f aca="false">IF(AND(AQ$118+6&gt;$B122,AQ$118&lt;$C122),1,"")</f>
        <v/>
      </c>
      <c r="AR122" s="62" t="str">
        <f aca="false">IF(AND(AR$118+6&gt;$B122,AR$118&lt;$C122),1,"")</f>
        <v/>
      </c>
      <c r="AS122" s="62" t="str">
        <f aca="false">IF(AND(AS$118+6&gt;$B122,AS$118&lt;$C122),1,"")</f>
        <v/>
      </c>
      <c r="AT122" s="62" t="str">
        <f aca="false">IF(AND(AT$118+6&gt;$B122,AT$118&lt;$C122),1,"")</f>
        <v/>
      </c>
    </row>
    <row r="123" customFormat="false" ht="15" hidden="false" customHeight="false" outlineLevel="0" collapsed="false">
      <c r="A123" s="8" t="s">
        <v>600</v>
      </c>
      <c r="B123" s="14" t="n">
        <f aca="false">C122</f>
        <v>75</v>
      </c>
      <c r="C123" s="14" t="n">
        <f aca="false">B123+01_Inputs!$B$30</f>
        <v>77</v>
      </c>
      <c r="D123" s="13" t="s">
        <v>601</v>
      </c>
      <c r="H123" s="56"/>
      <c r="J123" s="62" t="str">
        <f aca="false">IF(AND(J$118+6&gt;$B123,J$118&lt;$C123),1,"")</f>
        <v/>
      </c>
      <c r="K123" s="62" t="str">
        <f aca="false">IF(AND(K$118+6&gt;$B123,K$118&lt;$C123),1,"")</f>
        <v/>
      </c>
      <c r="L123" s="62" t="str">
        <f aca="false">IF(AND(L$118+6&gt;$B123,L$118&lt;$C123),1,"")</f>
        <v/>
      </c>
      <c r="M123" s="62" t="str">
        <f aca="false">IF(AND(M$118+6&gt;$B123,M$118&lt;$C123),1,"")</f>
        <v/>
      </c>
      <c r="N123" s="62" t="str">
        <f aca="false">IF(AND(N$118+6&gt;$B123,N$118&lt;$C123),1,"")</f>
        <v/>
      </c>
      <c r="O123" s="62" t="str">
        <f aca="false">IF(AND(O$118+6&gt;$B123,O$118&lt;$C123),1,"")</f>
        <v/>
      </c>
      <c r="P123" s="62" t="str">
        <f aca="false">IF(AND(P$118+6&gt;$B123,P$118&lt;$C123),1,"")</f>
        <v/>
      </c>
      <c r="Q123" s="62" t="str">
        <f aca="false">IF(AND(Q$118+6&gt;$B123,Q$118&lt;$C123),1,"")</f>
        <v/>
      </c>
      <c r="R123" s="62" t="str">
        <f aca="false">IF(AND(R$118+6&gt;$B123,R$118&lt;$C123),1,"")</f>
        <v/>
      </c>
      <c r="S123" s="62" t="str">
        <f aca="false">IF(AND(S$118+6&gt;$B123,S$118&lt;$C123),1,"")</f>
        <v/>
      </c>
      <c r="T123" s="62" t="str">
        <f aca="false">IF(AND(T$118+6&gt;$B123,T$118&lt;$C123),1,"")</f>
        <v/>
      </c>
      <c r="U123" s="62" t="str">
        <f aca="false">IF(AND(U$118+6&gt;$B123,U$118&lt;$C123),1,"")</f>
        <v/>
      </c>
      <c r="V123" s="62" t="n">
        <f aca="false">IF(AND(V$118+6&gt;$B123,V$118&lt;$C123),1,"")</f>
        <v>1</v>
      </c>
      <c r="W123" s="62" t="str">
        <f aca="false">IF(AND(W$118+6&gt;$B123,W$118&lt;$C123),1,"")</f>
        <v/>
      </c>
      <c r="X123" s="62" t="str">
        <f aca="false">IF(AND(X$118+6&gt;$B123,X$118&lt;$C123),1,"")</f>
        <v/>
      </c>
      <c r="Y123" s="62" t="str">
        <f aca="false">IF(AND(Y$118+6&gt;$B123,Y$118&lt;$C123),1,"")</f>
        <v/>
      </c>
      <c r="Z123" s="62" t="str">
        <f aca="false">IF(AND(Z$118+6&gt;$B123,Z$118&lt;$C123),1,"")</f>
        <v/>
      </c>
      <c r="AA123" s="62" t="str">
        <f aca="false">IF(AND(AA$118+6&gt;$B123,AA$118&lt;$C123),1,"")</f>
        <v/>
      </c>
      <c r="AB123" s="62" t="str">
        <f aca="false">IF(AND(AB$118+6&gt;$B123,AB$118&lt;$C123),1,"")</f>
        <v/>
      </c>
      <c r="AC123" s="62" t="str">
        <f aca="false">IF(AND(AC$118+6&gt;$B123,AC$118&lt;$C123),1,"")</f>
        <v/>
      </c>
      <c r="AD123" s="62" t="str">
        <f aca="false">IF(AND(AD$118+6&gt;$B123,AD$118&lt;$C123),1,"")</f>
        <v/>
      </c>
      <c r="AE123" s="62" t="str">
        <f aca="false">IF(AND(AE$118+6&gt;$B123,AE$118&lt;$C123),1,"")</f>
        <v/>
      </c>
      <c r="AF123" s="62" t="str">
        <f aca="false">IF(AND(AF$118+6&gt;$B123,AF$118&lt;$C123),1,"")</f>
        <v/>
      </c>
      <c r="AG123" s="62" t="str">
        <f aca="false">IF(AND(AG$118+6&gt;$B123,AG$118&lt;$C123),1,"")</f>
        <v/>
      </c>
      <c r="AH123" s="62" t="str">
        <f aca="false">IF(AND(AH$118+6&gt;$B123,AH$118&lt;$C123),1,"")</f>
        <v/>
      </c>
      <c r="AI123" s="62" t="str">
        <f aca="false">IF(AND(AI$118+6&gt;$B123,AI$118&lt;$C123),1,"")</f>
        <v/>
      </c>
      <c r="AJ123" s="62" t="str">
        <f aca="false">IF(AND(AJ$118+6&gt;$B123,AJ$118&lt;$C123),1,"")</f>
        <v/>
      </c>
      <c r="AK123" s="62" t="str">
        <f aca="false">IF(AND(AK$118+6&gt;$B123,AK$118&lt;$C123),1,"")</f>
        <v/>
      </c>
      <c r="AL123" s="62" t="str">
        <f aca="false">IF(AND(AL$118+6&gt;$B123,AL$118&lt;$C123),1,"")</f>
        <v/>
      </c>
      <c r="AM123" s="62" t="str">
        <f aca="false">IF(AND(AM$118+6&gt;$B123,AM$118&lt;$C123),1,"")</f>
        <v/>
      </c>
      <c r="AN123" s="62" t="str">
        <f aca="false">IF(AND(AN$118+6&gt;$B123,AN$118&lt;$C123),1,"")</f>
        <v/>
      </c>
      <c r="AO123" s="62" t="str">
        <f aca="false">IF(AND(AO$118+6&gt;$B123,AO$118&lt;$C123),1,"")</f>
        <v/>
      </c>
      <c r="AP123" s="62" t="str">
        <f aca="false">IF(AND(AP$118+6&gt;$B123,AP$118&lt;$C123),1,"")</f>
        <v/>
      </c>
      <c r="AQ123" s="62" t="str">
        <f aca="false">IF(AND(AQ$118+6&gt;$B123,AQ$118&lt;$C123),1,"")</f>
        <v/>
      </c>
      <c r="AR123" s="62" t="str">
        <f aca="false">IF(AND(AR$118+6&gt;$B123,AR$118&lt;$C123),1,"")</f>
        <v/>
      </c>
      <c r="AS123" s="62" t="str">
        <f aca="false">IF(AND(AS$118+6&gt;$B123,AS$118&lt;$C123),1,"")</f>
        <v/>
      </c>
      <c r="AT123" s="62" t="str">
        <f aca="false">IF(AND(AT$118+6&gt;$B123,AT$118&lt;$C123),1,"")</f>
        <v/>
      </c>
    </row>
    <row r="124" customFormat="false" ht="15" hidden="false" customHeight="false" outlineLevel="0" collapsed="false">
      <c r="A124" s="8" t="s">
        <v>602</v>
      </c>
      <c r="B124" s="14" t="n">
        <f aca="false">(2-1)*03_Capacity_Model!$B$117</f>
        <v>67.5</v>
      </c>
      <c r="C124" s="14" t="n">
        <f aca="false">B124+01_Inputs!$B$17</f>
        <v>124.5</v>
      </c>
      <c r="D124" s="13" t="s">
        <v>590</v>
      </c>
      <c r="H124" s="56" t="s">
        <v>591</v>
      </c>
      <c r="J124" s="62" t="str">
        <f aca="false">IF(AND(J$118+6&gt;$B124,J$118&lt;$C124),1,"")</f>
        <v/>
      </c>
      <c r="K124" s="62" t="str">
        <f aca="false">IF(AND(K$118+6&gt;$B124,K$118&lt;$C124),1,"")</f>
        <v/>
      </c>
      <c r="L124" s="62" t="str">
        <f aca="false">IF(AND(L$118+6&gt;$B124,L$118&lt;$C124),1,"")</f>
        <v/>
      </c>
      <c r="M124" s="62" t="str">
        <f aca="false">IF(AND(M$118+6&gt;$B124,M$118&lt;$C124),1,"")</f>
        <v/>
      </c>
      <c r="N124" s="62" t="str">
        <f aca="false">IF(AND(N$118+6&gt;$B124,N$118&lt;$C124),1,"")</f>
        <v/>
      </c>
      <c r="O124" s="62" t="str">
        <f aca="false">IF(AND(O$118+6&gt;$B124,O$118&lt;$C124),1,"")</f>
        <v/>
      </c>
      <c r="P124" s="62" t="str">
        <f aca="false">IF(AND(P$118+6&gt;$B124,P$118&lt;$C124),1,"")</f>
        <v/>
      </c>
      <c r="Q124" s="62" t="str">
        <f aca="false">IF(AND(Q$118+6&gt;$B124,Q$118&lt;$C124),1,"")</f>
        <v/>
      </c>
      <c r="R124" s="62" t="str">
        <f aca="false">IF(AND(R$118+6&gt;$B124,R$118&lt;$C124),1,"")</f>
        <v/>
      </c>
      <c r="S124" s="62" t="str">
        <f aca="false">IF(AND(S$118+6&gt;$B124,S$118&lt;$C124),1,"")</f>
        <v/>
      </c>
      <c r="T124" s="62" t="str">
        <f aca="false">IF(AND(T$118+6&gt;$B124,T$118&lt;$C124),1,"")</f>
        <v/>
      </c>
      <c r="U124" s="62" t="n">
        <f aca="false">IF(AND(U$118+6&gt;$B124,U$118&lt;$C124),1,"")</f>
        <v>1</v>
      </c>
      <c r="V124" s="62" t="n">
        <f aca="false">IF(AND(V$118+6&gt;$B124,V$118&lt;$C124),1,"")</f>
        <v>1</v>
      </c>
      <c r="W124" s="62" t="n">
        <f aca="false">IF(AND(W$118+6&gt;$B124,W$118&lt;$C124),1,"")</f>
        <v>1</v>
      </c>
      <c r="X124" s="62" t="n">
        <f aca="false">IF(AND(X$118+6&gt;$B124,X$118&lt;$C124),1,"")</f>
        <v>1</v>
      </c>
      <c r="Y124" s="62" t="n">
        <f aca="false">IF(AND(Y$118+6&gt;$B124,Y$118&lt;$C124),1,"")</f>
        <v>1</v>
      </c>
      <c r="Z124" s="62" t="n">
        <f aca="false">IF(AND(Z$118+6&gt;$B124,Z$118&lt;$C124),1,"")</f>
        <v>1</v>
      </c>
      <c r="AA124" s="62" t="n">
        <f aca="false">IF(AND(AA$118+6&gt;$B124,AA$118&lt;$C124),1,"")</f>
        <v>1</v>
      </c>
      <c r="AB124" s="62" t="n">
        <f aca="false">IF(AND(AB$118+6&gt;$B124,AB$118&lt;$C124),1,"")</f>
        <v>1</v>
      </c>
      <c r="AC124" s="62" t="n">
        <f aca="false">IF(AND(AC$118+6&gt;$B124,AC$118&lt;$C124),1,"")</f>
        <v>1</v>
      </c>
      <c r="AD124" s="62" t="n">
        <f aca="false">IF(AND(AD$118+6&gt;$B124,AD$118&lt;$C124),1,"")</f>
        <v>1</v>
      </c>
      <c r="AE124" s="62" t="str">
        <f aca="false">IF(AND(AE$118+6&gt;$B124,AE$118&lt;$C124),1,"")</f>
        <v/>
      </c>
      <c r="AF124" s="62" t="str">
        <f aca="false">IF(AND(AF$118+6&gt;$B124,AF$118&lt;$C124),1,"")</f>
        <v/>
      </c>
      <c r="AG124" s="62" t="str">
        <f aca="false">IF(AND(AG$118+6&gt;$B124,AG$118&lt;$C124),1,"")</f>
        <v/>
      </c>
      <c r="AH124" s="62" t="str">
        <f aca="false">IF(AND(AH$118+6&gt;$B124,AH$118&lt;$C124),1,"")</f>
        <v/>
      </c>
      <c r="AI124" s="62" t="str">
        <f aca="false">IF(AND(AI$118+6&gt;$B124,AI$118&lt;$C124),1,"")</f>
        <v/>
      </c>
      <c r="AJ124" s="62" t="str">
        <f aca="false">IF(AND(AJ$118+6&gt;$B124,AJ$118&lt;$C124),1,"")</f>
        <v/>
      </c>
      <c r="AK124" s="62" t="str">
        <f aca="false">IF(AND(AK$118+6&gt;$B124,AK$118&lt;$C124),1,"")</f>
        <v/>
      </c>
      <c r="AL124" s="62" t="str">
        <f aca="false">IF(AND(AL$118+6&gt;$B124,AL$118&lt;$C124),1,"")</f>
        <v/>
      </c>
      <c r="AM124" s="62" t="str">
        <f aca="false">IF(AND(AM$118+6&gt;$B124,AM$118&lt;$C124),1,"")</f>
        <v/>
      </c>
      <c r="AN124" s="62" t="str">
        <f aca="false">IF(AND(AN$118+6&gt;$B124,AN$118&lt;$C124),1,"")</f>
        <v/>
      </c>
      <c r="AO124" s="62" t="str">
        <f aca="false">IF(AND(AO$118+6&gt;$B124,AO$118&lt;$C124),1,"")</f>
        <v/>
      </c>
      <c r="AP124" s="62" t="str">
        <f aca="false">IF(AND(AP$118+6&gt;$B124,AP$118&lt;$C124),1,"")</f>
        <v/>
      </c>
      <c r="AQ124" s="62" t="str">
        <f aca="false">IF(AND(AQ$118+6&gt;$B124,AQ$118&lt;$C124),1,"")</f>
        <v/>
      </c>
      <c r="AR124" s="62" t="str">
        <f aca="false">IF(AND(AR$118+6&gt;$B124,AR$118&lt;$C124),1,"")</f>
        <v/>
      </c>
      <c r="AS124" s="62" t="str">
        <f aca="false">IF(AND(AS$118+6&gt;$B124,AS$118&lt;$C124),1,"")</f>
        <v/>
      </c>
      <c r="AT124" s="62" t="str">
        <f aca="false">IF(AND(AT$118+6&gt;$B124,AT$118&lt;$C124),1,"")</f>
        <v/>
      </c>
    </row>
    <row r="125" customFormat="false" ht="15" hidden="false" customHeight="false" outlineLevel="0" collapsed="false">
      <c r="A125" s="8" t="s">
        <v>603</v>
      </c>
      <c r="B125" s="14" t="n">
        <f aca="false">B124+01_Inputs!$B$17</f>
        <v>124.5</v>
      </c>
      <c r="C125" s="14" t="n">
        <f aca="false">(2)*03_Capacity_Model!$B$117</f>
        <v>135</v>
      </c>
      <c r="D125" s="13" t="s">
        <v>590</v>
      </c>
      <c r="H125" s="56" t="s">
        <v>593</v>
      </c>
      <c r="J125" s="62" t="str">
        <f aca="false">IF(AND(J$118+6&gt;$B125,J$118&lt;$C125),1,"")</f>
        <v/>
      </c>
      <c r="K125" s="62" t="str">
        <f aca="false">IF(AND(K$118+6&gt;$B125,K$118&lt;$C125),1,"")</f>
        <v/>
      </c>
      <c r="L125" s="62" t="str">
        <f aca="false">IF(AND(L$118+6&gt;$B125,L$118&lt;$C125),1,"")</f>
        <v/>
      </c>
      <c r="M125" s="62" t="str">
        <f aca="false">IF(AND(M$118+6&gt;$B125,M$118&lt;$C125),1,"")</f>
        <v/>
      </c>
      <c r="N125" s="62" t="str">
        <f aca="false">IF(AND(N$118+6&gt;$B125,N$118&lt;$C125),1,"")</f>
        <v/>
      </c>
      <c r="O125" s="62" t="str">
        <f aca="false">IF(AND(O$118+6&gt;$B125,O$118&lt;$C125),1,"")</f>
        <v/>
      </c>
      <c r="P125" s="62" t="str">
        <f aca="false">IF(AND(P$118+6&gt;$B125,P$118&lt;$C125),1,"")</f>
        <v/>
      </c>
      <c r="Q125" s="62" t="str">
        <f aca="false">IF(AND(Q$118+6&gt;$B125,Q$118&lt;$C125),1,"")</f>
        <v/>
      </c>
      <c r="R125" s="62" t="str">
        <f aca="false">IF(AND(R$118+6&gt;$B125,R$118&lt;$C125),1,"")</f>
        <v/>
      </c>
      <c r="S125" s="62" t="str">
        <f aca="false">IF(AND(S$118+6&gt;$B125,S$118&lt;$C125),1,"")</f>
        <v/>
      </c>
      <c r="T125" s="62" t="str">
        <f aca="false">IF(AND(T$118+6&gt;$B125,T$118&lt;$C125),1,"")</f>
        <v/>
      </c>
      <c r="U125" s="62" t="str">
        <f aca="false">IF(AND(U$118+6&gt;$B125,U$118&lt;$C125),1,"")</f>
        <v/>
      </c>
      <c r="V125" s="62" t="str">
        <f aca="false">IF(AND(V$118+6&gt;$B125,V$118&lt;$C125),1,"")</f>
        <v/>
      </c>
      <c r="W125" s="62" t="str">
        <f aca="false">IF(AND(W$118+6&gt;$B125,W$118&lt;$C125),1,"")</f>
        <v/>
      </c>
      <c r="X125" s="62" t="str">
        <f aca="false">IF(AND(X$118+6&gt;$B125,X$118&lt;$C125),1,"")</f>
        <v/>
      </c>
      <c r="Y125" s="62" t="str">
        <f aca="false">IF(AND(Y$118+6&gt;$B125,Y$118&lt;$C125),1,"")</f>
        <v/>
      </c>
      <c r="Z125" s="62" t="str">
        <f aca="false">IF(AND(Z$118+6&gt;$B125,Z$118&lt;$C125),1,"")</f>
        <v/>
      </c>
      <c r="AA125" s="62" t="str">
        <f aca="false">IF(AND(AA$118+6&gt;$B125,AA$118&lt;$C125),1,"")</f>
        <v/>
      </c>
      <c r="AB125" s="62" t="str">
        <f aca="false">IF(AND(AB$118+6&gt;$B125,AB$118&lt;$C125),1,"")</f>
        <v/>
      </c>
      <c r="AC125" s="62" t="str">
        <f aca="false">IF(AND(AC$118+6&gt;$B125,AC$118&lt;$C125),1,"")</f>
        <v/>
      </c>
      <c r="AD125" s="62" t="n">
        <f aca="false">IF(AND(AD$118+6&gt;$B125,AD$118&lt;$C125),1,"")</f>
        <v>1</v>
      </c>
      <c r="AE125" s="62" t="n">
        <f aca="false">IF(AND(AE$118+6&gt;$B125,AE$118&lt;$C125),1,"")</f>
        <v>1</v>
      </c>
      <c r="AF125" s="62" t="n">
        <f aca="false">IF(AND(AF$118+6&gt;$B125,AF$118&lt;$C125),1,"")</f>
        <v>1</v>
      </c>
      <c r="AG125" s="62" t="str">
        <f aca="false">IF(AND(AG$118+6&gt;$B125,AG$118&lt;$C125),1,"")</f>
        <v/>
      </c>
      <c r="AH125" s="62" t="str">
        <f aca="false">IF(AND(AH$118+6&gt;$B125,AH$118&lt;$C125),1,"")</f>
        <v/>
      </c>
      <c r="AI125" s="62" t="str">
        <f aca="false">IF(AND(AI$118+6&gt;$B125,AI$118&lt;$C125),1,"")</f>
        <v/>
      </c>
      <c r="AJ125" s="62" t="str">
        <f aca="false">IF(AND(AJ$118+6&gt;$B125,AJ$118&lt;$C125),1,"")</f>
        <v/>
      </c>
      <c r="AK125" s="62" t="str">
        <f aca="false">IF(AND(AK$118+6&gt;$B125,AK$118&lt;$C125),1,"")</f>
        <v/>
      </c>
      <c r="AL125" s="62" t="str">
        <f aca="false">IF(AND(AL$118+6&gt;$B125,AL$118&lt;$C125),1,"")</f>
        <v/>
      </c>
      <c r="AM125" s="62" t="str">
        <f aca="false">IF(AND(AM$118+6&gt;$B125,AM$118&lt;$C125),1,"")</f>
        <v/>
      </c>
      <c r="AN125" s="62" t="str">
        <f aca="false">IF(AND(AN$118+6&gt;$B125,AN$118&lt;$C125),1,"")</f>
        <v/>
      </c>
      <c r="AO125" s="62" t="str">
        <f aca="false">IF(AND(AO$118+6&gt;$B125,AO$118&lt;$C125),1,"")</f>
        <v/>
      </c>
      <c r="AP125" s="62" t="str">
        <f aca="false">IF(AND(AP$118+6&gt;$B125,AP$118&lt;$C125),1,"")</f>
        <v/>
      </c>
      <c r="AQ125" s="62" t="str">
        <f aca="false">IF(AND(AQ$118+6&gt;$B125,AQ$118&lt;$C125),1,"")</f>
        <v/>
      </c>
      <c r="AR125" s="62" t="str">
        <f aca="false">IF(AND(AR$118+6&gt;$B125,AR$118&lt;$C125),1,"")</f>
        <v/>
      </c>
      <c r="AS125" s="62" t="str">
        <f aca="false">IF(AND(AS$118+6&gt;$B125,AS$118&lt;$C125),1,"")</f>
        <v/>
      </c>
      <c r="AT125" s="62" t="str">
        <f aca="false">IF(AND(AT$118+6&gt;$B125,AT$118&lt;$C125),1,"")</f>
        <v/>
      </c>
    </row>
    <row r="126" customFormat="false" ht="15" hidden="false" customHeight="false" outlineLevel="0" collapsed="false">
      <c r="A126" s="8" t="s">
        <v>604</v>
      </c>
      <c r="B126" s="14" t="n">
        <f aca="false">C124</f>
        <v>124.5</v>
      </c>
      <c r="C126" s="14" t="n">
        <f aca="false">B126+03_Capacity_Model!$B$108</f>
        <v>126.5</v>
      </c>
      <c r="D126" s="13" t="s">
        <v>595</v>
      </c>
      <c r="H126" s="56" t="s">
        <v>596</v>
      </c>
      <c r="J126" s="62" t="str">
        <f aca="false">IF(AND(J$118+6&gt;$B126,J$118&lt;$C126),1,"")</f>
        <v/>
      </c>
      <c r="K126" s="62" t="str">
        <f aca="false">IF(AND(K$118+6&gt;$B126,K$118&lt;$C126),1,"")</f>
        <v/>
      </c>
      <c r="L126" s="62" t="str">
        <f aca="false">IF(AND(L$118+6&gt;$B126,L$118&lt;$C126),1,"")</f>
        <v/>
      </c>
      <c r="M126" s="62" t="str">
        <f aca="false">IF(AND(M$118+6&gt;$B126,M$118&lt;$C126),1,"")</f>
        <v/>
      </c>
      <c r="N126" s="62" t="str">
        <f aca="false">IF(AND(N$118+6&gt;$B126,N$118&lt;$C126),1,"")</f>
        <v/>
      </c>
      <c r="O126" s="62" t="str">
        <f aca="false">IF(AND(O$118+6&gt;$B126,O$118&lt;$C126),1,"")</f>
        <v/>
      </c>
      <c r="P126" s="62" t="str">
        <f aca="false">IF(AND(P$118+6&gt;$B126,P$118&lt;$C126),1,"")</f>
        <v/>
      </c>
      <c r="Q126" s="62" t="str">
        <f aca="false">IF(AND(Q$118+6&gt;$B126,Q$118&lt;$C126),1,"")</f>
        <v/>
      </c>
      <c r="R126" s="62" t="str">
        <f aca="false">IF(AND(R$118+6&gt;$B126,R$118&lt;$C126),1,"")</f>
        <v/>
      </c>
      <c r="S126" s="62" t="str">
        <f aca="false">IF(AND(S$118+6&gt;$B126,S$118&lt;$C126),1,"")</f>
        <v/>
      </c>
      <c r="T126" s="62" t="str">
        <f aca="false">IF(AND(T$118+6&gt;$B126,T$118&lt;$C126),1,"")</f>
        <v/>
      </c>
      <c r="U126" s="62" t="str">
        <f aca="false">IF(AND(U$118+6&gt;$B126,U$118&lt;$C126),1,"")</f>
        <v/>
      </c>
      <c r="V126" s="62" t="str">
        <f aca="false">IF(AND(V$118+6&gt;$B126,V$118&lt;$C126),1,"")</f>
        <v/>
      </c>
      <c r="W126" s="62" t="str">
        <f aca="false">IF(AND(W$118+6&gt;$B126,W$118&lt;$C126),1,"")</f>
        <v/>
      </c>
      <c r="X126" s="62" t="str">
        <f aca="false">IF(AND(X$118+6&gt;$B126,X$118&lt;$C126),1,"")</f>
        <v/>
      </c>
      <c r="Y126" s="62" t="str">
        <f aca="false">IF(AND(Y$118+6&gt;$B126,Y$118&lt;$C126),1,"")</f>
        <v/>
      </c>
      <c r="Z126" s="62" t="str">
        <f aca="false">IF(AND(Z$118+6&gt;$B126,Z$118&lt;$C126),1,"")</f>
        <v/>
      </c>
      <c r="AA126" s="62" t="str">
        <f aca="false">IF(AND(AA$118+6&gt;$B126,AA$118&lt;$C126),1,"")</f>
        <v/>
      </c>
      <c r="AB126" s="62" t="str">
        <f aca="false">IF(AND(AB$118+6&gt;$B126,AB$118&lt;$C126),1,"")</f>
        <v/>
      </c>
      <c r="AC126" s="62" t="str">
        <f aca="false">IF(AND(AC$118+6&gt;$B126,AC$118&lt;$C126),1,"")</f>
        <v/>
      </c>
      <c r="AD126" s="62" t="n">
        <f aca="false">IF(AND(AD$118+6&gt;$B126,AD$118&lt;$C126),1,"")</f>
        <v>1</v>
      </c>
      <c r="AE126" s="62" t="n">
        <f aca="false">IF(AND(AE$118+6&gt;$B126,AE$118&lt;$C126),1,"")</f>
        <v>1</v>
      </c>
      <c r="AF126" s="62" t="str">
        <f aca="false">IF(AND(AF$118+6&gt;$B126,AF$118&lt;$C126),1,"")</f>
        <v/>
      </c>
      <c r="AG126" s="62" t="str">
        <f aca="false">IF(AND(AG$118+6&gt;$B126,AG$118&lt;$C126),1,"")</f>
        <v/>
      </c>
      <c r="AH126" s="62" t="str">
        <f aca="false">IF(AND(AH$118+6&gt;$B126,AH$118&lt;$C126),1,"")</f>
        <v/>
      </c>
      <c r="AI126" s="62" t="str">
        <f aca="false">IF(AND(AI$118+6&gt;$B126,AI$118&lt;$C126),1,"")</f>
        <v/>
      </c>
      <c r="AJ126" s="62" t="str">
        <f aca="false">IF(AND(AJ$118+6&gt;$B126,AJ$118&lt;$C126),1,"")</f>
        <v/>
      </c>
      <c r="AK126" s="62" t="str">
        <f aca="false">IF(AND(AK$118+6&gt;$B126,AK$118&lt;$C126),1,"")</f>
        <v/>
      </c>
      <c r="AL126" s="62" t="str">
        <f aca="false">IF(AND(AL$118+6&gt;$B126,AL$118&lt;$C126),1,"")</f>
        <v/>
      </c>
      <c r="AM126" s="62" t="str">
        <f aca="false">IF(AND(AM$118+6&gt;$B126,AM$118&lt;$C126),1,"")</f>
        <v/>
      </c>
      <c r="AN126" s="62" t="str">
        <f aca="false">IF(AND(AN$118+6&gt;$B126,AN$118&lt;$C126),1,"")</f>
        <v/>
      </c>
      <c r="AO126" s="62" t="str">
        <f aca="false">IF(AND(AO$118+6&gt;$B126,AO$118&lt;$C126),1,"")</f>
        <v/>
      </c>
      <c r="AP126" s="62" t="str">
        <f aca="false">IF(AND(AP$118+6&gt;$B126,AP$118&lt;$C126),1,"")</f>
        <v/>
      </c>
      <c r="AQ126" s="62" t="str">
        <f aca="false">IF(AND(AQ$118+6&gt;$B126,AQ$118&lt;$C126),1,"")</f>
        <v/>
      </c>
      <c r="AR126" s="62" t="str">
        <f aca="false">IF(AND(AR$118+6&gt;$B126,AR$118&lt;$C126),1,"")</f>
        <v/>
      </c>
      <c r="AS126" s="62" t="str">
        <f aca="false">IF(AND(AS$118+6&gt;$B126,AS$118&lt;$C126),1,"")</f>
        <v/>
      </c>
      <c r="AT126" s="62" t="str">
        <f aca="false">IF(AND(AT$118+6&gt;$B126,AT$118&lt;$C126),1,"")</f>
        <v/>
      </c>
    </row>
    <row r="127" customFormat="false" ht="15" hidden="false" customHeight="false" outlineLevel="0" collapsed="false">
      <c r="A127" s="8" t="s">
        <v>605</v>
      </c>
      <c r="B127" s="14" t="n">
        <f aca="false">C126</f>
        <v>126.5</v>
      </c>
      <c r="C127" s="14" t="n">
        <f aca="false">B127+01_Inputs!$B$25</f>
        <v>142.5</v>
      </c>
      <c r="D127" s="13" t="s">
        <v>598</v>
      </c>
      <c r="H127" s="56" t="s">
        <v>599</v>
      </c>
      <c r="J127" s="62" t="str">
        <f aca="false">IF(AND(J$118+6&gt;$B127,J$118&lt;$C127),1,"")</f>
        <v/>
      </c>
      <c r="K127" s="62" t="str">
        <f aca="false">IF(AND(K$118+6&gt;$B127,K$118&lt;$C127),1,"")</f>
        <v/>
      </c>
      <c r="L127" s="62" t="str">
        <f aca="false">IF(AND(L$118+6&gt;$B127,L$118&lt;$C127),1,"")</f>
        <v/>
      </c>
      <c r="M127" s="62" t="str">
        <f aca="false">IF(AND(M$118+6&gt;$B127,M$118&lt;$C127),1,"")</f>
        <v/>
      </c>
      <c r="N127" s="62" t="str">
        <f aca="false">IF(AND(N$118+6&gt;$B127,N$118&lt;$C127),1,"")</f>
        <v/>
      </c>
      <c r="O127" s="62" t="str">
        <f aca="false">IF(AND(O$118+6&gt;$B127,O$118&lt;$C127),1,"")</f>
        <v/>
      </c>
      <c r="P127" s="62" t="str">
        <f aca="false">IF(AND(P$118+6&gt;$B127,P$118&lt;$C127),1,"")</f>
        <v/>
      </c>
      <c r="Q127" s="62" t="str">
        <f aca="false">IF(AND(Q$118+6&gt;$B127,Q$118&lt;$C127),1,"")</f>
        <v/>
      </c>
      <c r="R127" s="62" t="str">
        <f aca="false">IF(AND(R$118+6&gt;$B127,R$118&lt;$C127),1,"")</f>
        <v/>
      </c>
      <c r="S127" s="62" t="str">
        <f aca="false">IF(AND(S$118+6&gt;$B127,S$118&lt;$C127),1,"")</f>
        <v/>
      </c>
      <c r="T127" s="62" t="str">
        <f aca="false">IF(AND(T$118+6&gt;$B127,T$118&lt;$C127),1,"")</f>
        <v/>
      </c>
      <c r="U127" s="62" t="str">
        <f aca="false">IF(AND(U$118+6&gt;$B127,U$118&lt;$C127),1,"")</f>
        <v/>
      </c>
      <c r="V127" s="62" t="str">
        <f aca="false">IF(AND(V$118+6&gt;$B127,V$118&lt;$C127),1,"")</f>
        <v/>
      </c>
      <c r="W127" s="62" t="str">
        <f aca="false">IF(AND(W$118+6&gt;$B127,W$118&lt;$C127),1,"")</f>
        <v/>
      </c>
      <c r="X127" s="62" t="str">
        <f aca="false">IF(AND(X$118+6&gt;$B127,X$118&lt;$C127),1,"")</f>
        <v/>
      </c>
      <c r="Y127" s="62" t="str">
        <f aca="false">IF(AND(Y$118+6&gt;$B127,Y$118&lt;$C127),1,"")</f>
        <v/>
      </c>
      <c r="Z127" s="62" t="str">
        <f aca="false">IF(AND(Z$118+6&gt;$B127,Z$118&lt;$C127),1,"")</f>
        <v/>
      </c>
      <c r="AA127" s="62" t="str">
        <f aca="false">IF(AND(AA$118+6&gt;$B127,AA$118&lt;$C127),1,"")</f>
        <v/>
      </c>
      <c r="AB127" s="62" t="str">
        <f aca="false">IF(AND(AB$118+6&gt;$B127,AB$118&lt;$C127),1,"")</f>
        <v/>
      </c>
      <c r="AC127" s="62" t="str">
        <f aca="false">IF(AND(AC$118+6&gt;$B127,AC$118&lt;$C127),1,"")</f>
        <v/>
      </c>
      <c r="AD127" s="62" t="str">
        <f aca="false">IF(AND(AD$118+6&gt;$B127,AD$118&lt;$C127),1,"")</f>
        <v/>
      </c>
      <c r="AE127" s="62" t="n">
        <f aca="false">IF(AND(AE$118+6&gt;$B127,AE$118&lt;$C127),1,"")</f>
        <v>1</v>
      </c>
      <c r="AF127" s="62" t="n">
        <f aca="false">IF(AND(AF$118+6&gt;$B127,AF$118&lt;$C127),1,"")</f>
        <v>1</v>
      </c>
      <c r="AG127" s="62" t="n">
        <f aca="false">IF(AND(AG$118+6&gt;$B127,AG$118&lt;$C127),1,"")</f>
        <v>1</v>
      </c>
      <c r="AH127" s="62" t="str">
        <f aca="false">IF(AND(AH$118+6&gt;$B127,AH$118&lt;$C127),1,"")</f>
        <v/>
      </c>
      <c r="AI127" s="62" t="str">
        <f aca="false">IF(AND(AI$118+6&gt;$B127,AI$118&lt;$C127),1,"")</f>
        <v/>
      </c>
      <c r="AJ127" s="62" t="str">
        <f aca="false">IF(AND(AJ$118+6&gt;$B127,AJ$118&lt;$C127),1,"")</f>
        <v/>
      </c>
      <c r="AK127" s="62" t="str">
        <f aca="false">IF(AND(AK$118+6&gt;$B127,AK$118&lt;$C127),1,"")</f>
        <v/>
      </c>
      <c r="AL127" s="62" t="str">
        <f aca="false">IF(AND(AL$118+6&gt;$B127,AL$118&lt;$C127),1,"")</f>
        <v/>
      </c>
      <c r="AM127" s="62" t="str">
        <f aca="false">IF(AND(AM$118+6&gt;$B127,AM$118&lt;$C127),1,"")</f>
        <v/>
      </c>
      <c r="AN127" s="62" t="str">
        <f aca="false">IF(AND(AN$118+6&gt;$B127,AN$118&lt;$C127),1,"")</f>
        <v/>
      </c>
      <c r="AO127" s="62" t="str">
        <f aca="false">IF(AND(AO$118+6&gt;$B127,AO$118&lt;$C127),1,"")</f>
        <v/>
      </c>
      <c r="AP127" s="62" t="str">
        <f aca="false">IF(AND(AP$118+6&gt;$B127,AP$118&lt;$C127),1,"")</f>
        <v/>
      </c>
      <c r="AQ127" s="62" t="str">
        <f aca="false">IF(AND(AQ$118+6&gt;$B127,AQ$118&lt;$C127),1,"")</f>
        <v/>
      </c>
      <c r="AR127" s="62" t="str">
        <f aca="false">IF(AND(AR$118+6&gt;$B127,AR$118&lt;$C127),1,"")</f>
        <v/>
      </c>
      <c r="AS127" s="62" t="str">
        <f aca="false">IF(AND(AS$118+6&gt;$B127,AS$118&lt;$C127),1,"")</f>
        <v/>
      </c>
      <c r="AT127" s="62" t="str">
        <f aca="false">IF(AND(AT$118+6&gt;$B127,AT$118&lt;$C127),1,"")</f>
        <v/>
      </c>
    </row>
    <row r="128" customFormat="false" ht="15" hidden="false" customHeight="false" outlineLevel="0" collapsed="false">
      <c r="A128" s="8" t="s">
        <v>606</v>
      </c>
      <c r="B128" s="14" t="n">
        <f aca="false">C127</f>
        <v>142.5</v>
      </c>
      <c r="C128" s="14" t="n">
        <f aca="false">B128+01_Inputs!$B$30</f>
        <v>144.5</v>
      </c>
      <c r="D128" s="13" t="s">
        <v>601</v>
      </c>
      <c r="H128" s="56"/>
      <c r="J128" s="62" t="str">
        <f aca="false">IF(AND(J$118+6&gt;$B128,J$118&lt;$C128),1,"")</f>
        <v/>
      </c>
      <c r="K128" s="62" t="str">
        <f aca="false">IF(AND(K$118+6&gt;$B128,K$118&lt;$C128),1,"")</f>
        <v/>
      </c>
      <c r="L128" s="62" t="str">
        <f aca="false">IF(AND(L$118+6&gt;$B128,L$118&lt;$C128),1,"")</f>
        <v/>
      </c>
      <c r="M128" s="62" t="str">
        <f aca="false">IF(AND(M$118+6&gt;$B128,M$118&lt;$C128),1,"")</f>
        <v/>
      </c>
      <c r="N128" s="62" t="str">
        <f aca="false">IF(AND(N$118+6&gt;$B128,N$118&lt;$C128),1,"")</f>
        <v/>
      </c>
      <c r="O128" s="62" t="str">
        <f aca="false">IF(AND(O$118+6&gt;$B128,O$118&lt;$C128),1,"")</f>
        <v/>
      </c>
      <c r="P128" s="62" t="str">
        <f aca="false">IF(AND(P$118+6&gt;$B128,P$118&lt;$C128),1,"")</f>
        <v/>
      </c>
      <c r="Q128" s="62" t="str">
        <f aca="false">IF(AND(Q$118+6&gt;$B128,Q$118&lt;$C128),1,"")</f>
        <v/>
      </c>
      <c r="R128" s="62" t="str">
        <f aca="false">IF(AND(R$118+6&gt;$B128,R$118&lt;$C128),1,"")</f>
        <v/>
      </c>
      <c r="S128" s="62" t="str">
        <f aca="false">IF(AND(S$118+6&gt;$B128,S$118&lt;$C128),1,"")</f>
        <v/>
      </c>
      <c r="T128" s="62" t="str">
        <f aca="false">IF(AND(T$118+6&gt;$B128,T$118&lt;$C128),1,"")</f>
        <v/>
      </c>
      <c r="U128" s="62" t="str">
        <f aca="false">IF(AND(U$118+6&gt;$B128,U$118&lt;$C128),1,"")</f>
        <v/>
      </c>
      <c r="V128" s="62" t="str">
        <f aca="false">IF(AND(V$118+6&gt;$B128,V$118&lt;$C128),1,"")</f>
        <v/>
      </c>
      <c r="W128" s="62" t="str">
        <f aca="false">IF(AND(W$118+6&gt;$B128,W$118&lt;$C128),1,"")</f>
        <v/>
      </c>
      <c r="X128" s="62" t="str">
        <f aca="false">IF(AND(X$118+6&gt;$B128,X$118&lt;$C128),1,"")</f>
        <v/>
      </c>
      <c r="Y128" s="62" t="str">
        <f aca="false">IF(AND(Y$118+6&gt;$B128,Y$118&lt;$C128),1,"")</f>
        <v/>
      </c>
      <c r="Z128" s="62" t="str">
        <f aca="false">IF(AND(Z$118+6&gt;$B128,Z$118&lt;$C128),1,"")</f>
        <v/>
      </c>
      <c r="AA128" s="62" t="str">
        <f aca="false">IF(AND(AA$118+6&gt;$B128,AA$118&lt;$C128),1,"")</f>
        <v/>
      </c>
      <c r="AB128" s="62" t="str">
        <f aca="false">IF(AND(AB$118+6&gt;$B128,AB$118&lt;$C128),1,"")</f>
        <v/>
      </c>
      <c r="AC128" s="62" t="str">
        <f aca="false">IF(AND(AC$118+6&gt;$B128,AC$118&lt;$C128),1,"")</f>
        <v/>
      </c>
      <c r="AD128" s="62" t="str">
        <f aca="false">IF(AND(AD$118+6&gt;$B128,AD$118&lt;$C128),1,"")</f>
        <v/>
      </c>
      <c r="AE128" s="62" t="str">
        <f aca="false">IF(AND(AE$118+6&gt;$B128,AE$118&lt;$C128),1,"")</f>
        <v/>
      </c>
      <c r="AF128" s="62" t="str">
        <f aca="false">IF(AND(AF$118+6&gt;$B128,AF$118&lt;$C128),1,"")</f>
        <v/>
      </c>
      <c r="AG128" s="62" t="n">
        <f aca="false">IF(AND(AG$118+6&gt;$B128,AG$118&lt;$C128),1,"")</f>
        <v>1</v>
      </c>
      <c r="AH128" s="62" t="n">
        <f aca="false">IF(AND(AH$118+6&gt;$B128,AH$118&lt;$C128),1,"")</f>
        <v>1</v>
      </c>
      <c r="AI128" s="62" t="str">
        <f aca="false">IF(AND(AI$118+6&gt;$B128,AI$118&lt;$C128),1,"")</f>
        <v/>
      </c>
      <c r="AJ128" s="62" t="str">
        <f aca="false">IF(AND(AJ$118+6&gt;$B128,AJ$118&lt;$C128),1,"")</f>
        <v/>
      </c>
      <c r="AK128" s="62" t="str">
        <f aca="false">IF(AND(AK$118+6&gt;$B128,AK$118&lt;$C128),1,"")</f>
        <v/>
      </c>
      <c r="AL128" s="62" t="str">
        <f aca="false">IF(AND(AL$118+6&gt;$B128,AL$118&lt;$C128),1,"")</f>
        <v/>
      </c>
      <c r="AM128" s="62" t="str">
        <f aca="false">IF(AND(AM$118+6&gt;$B128,AM$118&lt;$C128),1,"")</f>
        <v/>
      </c>
      <c r="AN128" s="62" t="str">
        <f aca="false">IF(AND(AN$118+6&gt;$B128,AN$118&lt;$C128),1,"")</f>
        <v/>
      </c>
      <c r="AO128" s="62" t="str">
        <f aca="false">IF(AND(AO$118+6&gt;$B128,AO$118&lt;$C128),1,"")</f>
        <v/>
      </c>
      <c r="AP128" s="62" t="str">
        <f aca="false">IF(AND(AP$118+6&gt;$B128,AP$118&lt;$C128),1,"")</f>
        <v/>
      </c>
      <c r="AQ128" s="62" t="str">
        <f aca="false">IF(AND(AQ$118+6&gt;$B128,AQ$118&lt;$C128),1,"")</f>
        <v/>
      </c>
      <c r="AR128" s="62" t="str">
        <f aca="false">IF(AND(AR$118+6&gt;$B128,AR$118&lt;$C128),1,"")</f>
        <v/>
      </c>
      <c r="AS128" s="62" t="str">
        <f aca="false">IF(AND(AS$118+6&gt;$B128,AS$118&lt;$C128),1,"")</f>
        <v/>
      </c>
      <c r="AT128" s="62" t="str">
        <f aca="false">IF(AND(AT$118+6&gt;$B128,AT$118&lt;$C128),1,"")</f>
        <v/>
      </c>
    </row>
    <row r="129" customFormat="false" ht="15" hidden="false" customHeight="false" outlineLevel="0" collapsed="false">
      <c r="A129" s="8" t="s">
        <v>607</v>
      </c>
      <c r="B129" s="14" t="n">
        <f aca="false">(3-1)*03_Capacity_Model!$B$117</f>
        <v>135</v>
      </c>
      <c r="C129" s="14" t="n">
        <f aca="false">B129+01_Inputs!$B$17</f>
        <v>192</v>
      </c>
      <c r="D129" s="13" t="s">
        <v>590</v>
      </c>
      <c r="H129" s="56" t="s">
        <v>591</v>
      </c>
      <c r="J129" s="62" t="str">
        <f aca="false">IF(AND(J$118+6&gt;$B129,J$118&lt;$C129),1,"")</f>
        <v/>
      </c>
      <c r="K129" s="62" t="str">
        <f aca="false">IF(AND(K$118+6&gt;$B129,K$118&lt;$C129),1,"")</f>
        <v/>
      </c>
      <c r="L129" s="62" t="str">
        <f aca="false">IF(AND(L$118+6&gt;$B129,L$118&lt;$C129),1,"")</f>
        <v/>
      </c>
      <c r="M129" s="62" t="str">
        <f aca="false">IF(AND(M$118+6&gt;$B129,M$118&lt;$C129),1,"")</f>
        <v/>
      </c>
      <c r="N129" s="62" t="str">
        <f aca="false">IF(AND(N$118+6&gt;$B129,N$118&lt;$C129),1,"")</f>
        <v/>
      </c>
      <c r="O129" s="62" t="str">
        <f aca="false">IF(AND(O$118+6&gt;$B129,O$118&lt;$C129),1,"")</f>
        <v/>
      </c>
      <c r="P129" s="62" t="str">
        <f aca="false">IF(AND(P$118+6&gt;$B129,P$118&lt;$C129),1,"")</f>
        <v/>
      </c>
      <c r="Q129" s="62" t="str">
        <f aca="false">IF(AND(Q$118+6&gt;$B129,Q$118&lt;$C129),1,"")</f>
        <v/>
      </c>
      <c r="R129" s="62" t="str">
        <f aca="false">IF(AND(R$118+6&gt;$B129,R$118&lt;$C129),1,"")</f>
        <v/>
      </c>
      <c r="S129" s="62" t="str">
        <f aca="false">IF(AND(S$118+6&gt;$B129,S$118&lt;$C129),1,"")</f>
        <v/>
      </c>
      <c r="T129" s="62" t="str">
        <f aca="false">IF(AND(T$118+6&gt;$B129,T$118&lt;$C129),1,"")</f>
        <v/>
      </c>
      <c r="U129" s="62" t="str">
        <f aca="false">IF(AND(U$118+6&gt;$B129,U$118&lt;$C129),1,"")</f>
        <v/>
      </c>
      <c r="V129" s="62" t="str">
        <f aca="false">IF(AND(V$118+6&gt;$B129,V$118&lt;$C129),1,"")</f>
        <v/>
      </c>
      <c r="W129" s="62" t="str">
        <f aca="false">IF(AND(W$118+6&gt;$B129,W$118&lt;$C129),1,"")</f>
        <v/>
      </c>
      <c r="X129" s="62" t="str">
        <f aca="false">IF(AND(X$118+6&gt;$B129,X$118&lt;$C129),1,"")</f>
        <v/>
      </c>
      <c r="Y129" s="62" t="str">
        <f aca="false">IF(AND(Y$118+6&gt;$B129,Y$118&lt;$C129),1,"")</f>
        <v/>
      </c>
      <c r="Z129" s="62" t="str">
        <f aca="false">IF(AND(Z$118+6&gt;$B129,Z$118&lt;$C129),1,"")</f>
        <v/>
      </c>
      <c r="AA129" s="62" t="str">
        <f aca="false">IF(AND(AA$118+6&gt;$B129,AA$118&lt;$C129),1,"")</f>
        <v/>
      </c>
      <c r="AB129" s="62" t="str">
        <f aca="false">IF(AND(AB$118+6&gt;$B129,AB$118&lt;$C129),1,"")</f>
        <v/>
      </c>
      <c r="AC129" s="62" t="str">
        <f aca="false">IF(AND(AC$118+6&gt;$B129,AC$118&lt;$C129),1,"")</f>
        <v/>
      </c>
      <c r="AD129" s="62" t="str">
        <f aca="false">IF(AND(AD$118+6&gt;$B129,AD$118&lt;$C129),1,"")</f>
        <v/>
      </c>
      <c r="AE129" s="62" t="str">
        <f aca="false">IF(AND(AE$118+6&gt;$B129,AE$118&lt;$C129),1,"")</f>
        <v/>
      </c>
      <c r="AF129" s="62" t="n">
        <f aca="false">IF(AND(AF$118+6&gt;$B129,AF$118&lt;$C129),1,"")</f>
        <v>1</v>
      </c>
      <c r="AG129" s="62" t="n">
        <f aca="false">IF(AND(AG$118+6&gt;$B129,AG$118&lt;$C129),1,"")</f>
        <v>1</v>
      </c>
      <c r="AH129" s="62" t="n">
        <f aca="false">IF(AND(AH$118+6&gt;$B129,AH$118&lt;$C129),1,"")</f>
        <v>1</v>
      </c>
      <c r="AI129" s="62" t="n">
        <f aca="false">IF(AND(AI$118+6&gt;$B129,AI$118&lt;$C129),1,"")</f>
        <v>1</v>
      </c>
      <c r="AJ129" s="62" t="n">
        <f aca="false">IF(AND(AJ$118+6&gt;$B129,AJ$118&lt;$C129),1,"")</f>
        <v>1</v>
      </c>
      <c r="AK129" s="62" t="n">
        <f aca="false">IF(AND(AK$118+6&gt;$B129,AK$118&lt;$C129),1,"")</f>
        <v>1</v>
      </c>
      <c r="AL129" s="62" t="n">
        <f aca="false">IF(AND(AL$118+6&gt;$B129,AL$118&lt;$C129),1,"")</f>
        <v>1</v>
      </c>
      <c r="AM129" s="62" t="n">
        <f aca="false">IF(AND(AM$118+6&gt;$B129,AM$118&lt;$C129),1,"")</f>
        <v>1</v>
      </c>
      <c r="AN129" s="62" t="n">
        <f aca="false">IF(AND(AN$118+6&gt;$B129,AN$118&lt;$C129),1,"")</f>
        <v>1</v>
      </c>
      <c r="AO129" s="62" t="n">
        <f aca="false">IF(AND(AO$118+6&gt;$B129,AO$118&lt;$C129),1,"")</f>
        <v>1</v>
      </c>
      <c r="AP129" s="62" t="str">
        <f aca="false">IF(AND(AP$118+6&gt;$B129,AP$118&lt;$C129),1,"")</f>
        <v/>
      </c>
      <c r="AQ129" s="62" t="str">
        <f aca="false">IF(AND(AQ$118+6&gt;$B129,AQ$118&lt;$C129),1,"")</f>
        <v/>
      </c>
      <c r="AR129" s="62" t="str">
        <f aca="false">IF(AND(AR$118+6&gt;$B129,AR$118&lt;$C129),1,"")</f>
        <v/>
      </c>
      <c r="AS129" s="62" t="str">
        <f aca="false">IF(AND(AS$118+6&gt;$B129,AS$118&lt;$C129),1,"")</f>
        <v/>
      </c>
      <c r="AT129" s="62" t="str">
        <f aca="false">IF(AND(AT$118+6&gt;$B129,AT$118&lt;$C129),1,"")</f>
        <v/>
      </c>
    </row>
    <row r="130" customFormat="false" ht="15" hidden="false" customHeight="false" outlineLevel="0" collapsed="false">
      <c r="A130" s="8" t="s">
        <v>608</v>
      </c>
      <c r="B130" s="14" t="n">
        <f aca="false">B129+01_Inputs!$B$17</f>
        <v>192</v>
      </c>
      <c r="C130" s="14" t="n">
        <f aca="false">(3)*03_Capacity_Model!$B$117</f>
        <v>202.5</v>
      </c>
      <c r="D130" s="13" t="s">
        <v>590</v>
      </c>
      <c r="H130" s="56" t="s">
        <v>593</v>
      </c>
      <c r="J130" s="62" t="str">
        <f aca="false">IF(AND(J$118+6&gt;$B130,J$118&lt;$C130),1,"")</f>
        <v/>
      </c>
      <c r="K130" s="62" t="str">
        <f aca="false">IF(AND(K$118+6&gt;$B130,K$118&lt;$C130),1,"")</f>
        <v/>
      </c>
      <c r="L130" s="62" t="str">
        <f aca="false">IF(AND(L$118+6&gt;$B130,L$118&lt;$C130),1,"")</f>
        <v/>
      </c>
      <c r="M130" s="62" t="str">
        <f aca="false">IF(AND(M$118+6&gt;$B130,M$118&lt;$C130),1,"")</f>
        <v/>
      </c>
      <c r="N130" s="62" t="str">
        <f aca="false">IF(AND(N$118+6&gt;$B130,N$118&lt;$C130),1,"")</f>
        <v/>
      </c>
      <c r="O130" s="62" t="str">
        <f aca="false">IF(AND(O$118+6&gt;$B130,O$118&lt;$C130),1,"")</f>
        <v/>
      </c>
      <c r="P130" s="62" t="str">
        <f aca="false">IF(AND(P$118+6&gt;$B130,P$118&lt;$C130),1,"")</f>
        <v/>
      </c>
      <c r="Q130" s="62" t="str">
        <f aca="false">IF(AND(Q$118+6&gt;$B130,Q$118&lt;$C130),1,"")</f>
        <v/>
      </c>
      <c r="R130" s="62" t="str">
        <f aca="false">IF(AND(R$118+6&gt;$B130,R$118&lt;$C130),1,"")</f>
        <v/>
      </c>
      <c r="S130" s="62" t="str">
        <f aca="false">IF(AND(S$118+6&gt;$B130,S$118&lt;$C130),1,"")</f>
        <v/>
      </c>
      <c r="T130" s="62" t="str">
        <f aca="false">IF(AND(T$118+6&gt;$B130,T$118&lt;$C130),1,"")</f>
        <v/>
      </c>
      <c r="U130" s="62" t="str">
        <f aca="false">IF(AND(U$118+6&gt;$B130,U$118&lt;$C130),1,"")</f>
        <v/>
      </c>
      <c r="V130" s="62" t="str">
        <f aca="false">IF(AND(V$118+6&gt;$B130,V$118&lt;$C130),1,"")</f>
        <v/>
      </c>
      <c r="W130" s="62" t="str">
        <f aca="false">IF(AND(W$118+6&gt;$B130,W$118&lt;$C130),1,"")</f>
        <v/>
      </c>
      <c r="X130" s="62" t="str">
        <f aca="false">IF(AND(X$118+6&gt;$B130,X$118&lt;$C130),1,"")</f>
        <v/>
      </c>
      <c r="Y130" s="62" t="str">
        <f aca="false">IF(AND(Y$118+6&gt;$B130,Y$118&lt;$C130),1,"")</f>
        <v/>
      </c>
      <c r="Z130" s="62" t="str">
        <f aca="false">IF(AND(Z$118+6&gt;$B130,Z$118&lt;$C130),1,"")</f>
        <v/>
      </c>
      <c r="AA130" s="62" t="str">
        <f aca="false">IF(AND(AA$118+6&gt;$B130,AA$118&lt;$C130),1,"")</f>
        <v/>
      </c>
      <c r="AB130" s="62" t="str">
        <f aca="false">IF(AND(AB$118+6&gt;$B130,AB$118&lt;$C130),1,"")</f>
        <v/>
      </c>
      <c r="AC130" s="62" t="str">
        <f aca="false">IF(AND(AC$118+6&gt;$B130,AC$118&lt;$C130),1,"")</f>
        <v/>
      </c>
      <c r="AD130" s="62" t="str">
        <f aca="false">IF(AND(AD$118+6&gt;$B130,AD$118&lt;$C130),1,"")</f>
        <v/>
      </c>
      <c r="AE130" s="62" t="str">
        <f aca="false">IF(AND(AE$118+6&gt;$B130,AE$118&lt;$C130),1,"")</f>
        <v/>
      </c>
      <c r="AF130" s="62" t="str">
        <f aca="false">IF(AND(AF$118+6&gt;$B130,AF$118&lt;$C130),1,"")</f>
        <v/>
      </c>
      <c r="AG130" s="62" t="str">
        <f aca="false">IF(AND(AG$118+6&gt;$B130,AG$118&lt;$C130),1,"")</f>
        <v/>
      </c>
      <c r="AH130" s="62" t="str">
        <f aca="false">IF(AND(AH$118+6&gt;$B130,AH$118&lt;$C130),1,"")</f>
        <v/>
      </c>
      <c r="AI130" s="62" t="str">
        <f aca="false">IF(AND(AI$118+6&gt;$B130,AI$118&lt;$C130),1,"")</f>
        <v/>
      </c>
      <c r="AJ130" s="62" t="str">
        <f aca="false">IF(AND(AJ$118+6&gt;$B130,AJ$118&lt;$C130),1,"")</f>
        <v/>
      </c>
      <c r="AK130" s="62" t="str">
        <f aca="false">IF(AND(AK$118+6&gt;$B130,AK$118&lt;$C130),1,"")</f>
        <v/>
      </c>
      <c r="AL130" s="62" t="str">
        <f aca="false">IF(AND(AL$118+6&gt;$B130,AL$118&lt;$C130),1,"")</f>
        <v/>
      </c>
      <c r="AM130" s="62" t="str">
        <f aca="false">IF(AND(AM$118+6&gt;$B130,AM$118&lt;$C130),1,"")</f>
        <v/>
      </c>
      <c r="AN130" s="62" t="str">
        <f aca="false">IF(AND(AN$118+6&gt;$B130,AN$118&lt;$C130),1,"")</f>
        <v/>
      </c>
      <c r="AO130" s="62" t="str">
        <f aca="false">IF(AND(AO$118+6&gt;$B130,AO$118&lt;$C130),1,"")</f>
        <v/>
      </c>
      <c r="AP130" s="62" t="n">
        <f aca="false">IF(AND(AP$118+6&gt;$B130,AP$118&lt;$C130),1,"")</f>
        <v>1</v>
      </c>
      <c r="AQ130" s="62" t="n">
        <f aca="false">IF(AND(AQ$118+6&gt;$B130,AQ$118&lt;$C130),1,"")</f>
        <v>1</v>
      </c>
      <c r="AR130" s="62" t="str">
        <f aca="false">IF(AND(AR$118+6&gt;$B130,AR$118&lt;$C130),1,"")</f>
        <v/>
      </c>
      <c r="AS130" s="62" t="str">
        <f aca="false">IF(AND(AS$118+6&gt;$B130,AS$118&lt;$C130),1,"")</f>
        <v/>
      </c>
      <c r="AT130" s="62" t="str">
        <f aca="false">IF(AND(AT$118+6&gt;$B130,AT$118&lt;$C130),1,"")</f>
        <v/>
      </c>
    </row>
    <row r="131" customFormat="false" ht="15" hidden="false" customHeight="false" outlineLevel="0" collapsed="false">
      <c r="A131" s="8" t="s">
        <v>609</v>
      </c>
      <c r="B131" s="14" t="n">
        <f aca="false">C129</f>
        <v>192</v>
      </c>
      <c r="C131" s="14" t="n">
        <f aca="false">B131+03_Capacity_Model!$B$108</f>
        <v>194</v>
      </c>
      <c r="D131" s="13" t="s">
        <v>595</v>
      </c>
      <c r="H131" s="56" t="s">
        <v>596</v>
      </c>
      <c r="J131" s="62" t="str">
        <f aca="false">IF(AND(J$118+6&gt;$B131,J$118&lt;$C131),1,"")</f>
        <v/>
      </c>
      <c r="K131" s="62" t="str">
        <f aca="false">IF(AND(K$118+6&gt;$B131,K$118&lt;$C131),1,"")</f>
        <v/>
      </c>
      <c r="L131" s="62" t="str">
        <f aca="false">IF(AND(L$118+6&gt;$B131,L$118&lt;$C131),1,"")</f>
        <v/>
      </c>
      <c r="M131" s="62" t="str">
        <f aca="false">IF(AND(M$118+6&gt;$B131,M$118&lt;$C131),1,"")</f>
        <v/>
      </c>
      <c r="N131" s="62" t="str">
        <f aca="false">IF(AND(N$118+6&gt;$B131,N$118&lt;$C131),1,"")</f>
        <v/>
      </c>
      <c r="O131" s="62" t="str">
        <f aca="false">IF(AND(O$118+6&gt;$B131,O$118&lt;$C131),1,"")</f>
        <v/>
      </c>
      <c r="P131" s="62" t="str">
        <f aca="false">IF(AND(P$118+6&gt;$B131,P$118&lt;$C131),1,"")</f>
        <v/>
      </c>
      <c r="Q131" s="62" t="str">
        <f aca="false">IF(AND(Q$118+6&gt;$B131,Q$118&lt;$C131),1,"")</f>
        <v/>
      </c>
      <c r="R131" s="62" t="str">
        <f aca="false">IF(AND(R$118+6&gt;$B131,R$118&lt;$C131),1,"")</f>
        <v/>
      </c>
      <c r="S131" s="62" t="str">
        <f aca="false">IF(AND(S$118+6&gt;$B131,S$118&lt;$C131),1,"")</f>
        <v/>
      </c>
      <c r="T131" s="62" t="str">
        <f aca="false">IF(AND(T$118+6&gt;$B131,T$118&lt;$C131),1,"")</f>
        <v/>
      </c>
      <c r="U131" s="62" t="str">
        <f aca="false">IF(AND(U$118+6&gt;$B131,U$118&lt;$C131),1,"")</f>
        <v/>
      </c>
      <c r="V131" s="62" t="str">
        <f aca="false">IF(AND(V$118+6&gt;$B131,V$118&lt;$C131),1,"")</f>
        <v/>
      </c>
      <c r="W131" s="62" t="str">
        <f aca="false">IF(AND(W$118+6&gt;$B131,W$118&lt;$C131),1,"")</f>
        <v/>
      </c>
      <c r="X131" s="62" t="str">
        <f aca="false">IF(AND(X$118+6&gt;$B131,X$118&lt;$C131),1,"")</f>
        <v/>
      </c>
      <c r="Y131" s="62" t="str">
        <f aca="false">IF(AND(Y$118+6&gt;$B131,Y$118&lt;$C131),1,"")</f>
        <v/>
      </c>
      <c r="Z131" s="62" t="str">
        <f aca="false">IF(AND(Z$118+6&gt;$B131,Z$118&lt;$C131),1,"")</f>
        <v/>
      </c>
      <c r="AA131" s="62" t="str">
        <f aca="false">IF(AND(AA$118+6&gt;$B131,AA$118&lt;$C131),1,"")</f>
        <v/>
      </c>
      <c r="AB131" s="62" t="str">
        <f aca="false">IF(AND(AB$118+6&gt;$B131,AB$118&lt;$C131),1,"")</f>
        <v/>
      </c>
      <c r="AC131" s="62" t="str">
        <f aca="false">IF(AND(AC$118+6&gt;$B131,AC$118&lt;$C131),1,"")</f>
        <v/>
      </c>
      <c r="AD131" s="62" t="str">
        <f aca="false">IF(AND(AD$118+6&gt;$B131,AD$118&lt;$C131),1,"")</f>
        <v/>
      </c>
      <c r="AE131" s="62" t="str">
        <f aca="false">IF(AND(AE$118+6&gt;$B131,AE$118&lt;$C131),1,"")</f>
        <v/>
      </c>
      <c r="AF131" s="62" t="str">
        <f aca="false">IF(AND(AF$118+6&gt;$B131,AF$118&lt;$C131),1,"")</f>
        <v/>
      </c>
      <c r="AG131" s="62" t="str">
        <f aca="false">IF(AND(AG$118+6&gt;$B131,AG$118&lt;$C131),1,"")</f>
        <v/>
      </c>
      <c r="AH131" s="62" t="str">
        <f aca="false">IF(AND(AH$118+6&gt;$B131,AH$118&lt;$C131),1,"")</f>
        <v/>
      </c>
      <c r="AI131" s="62" t="str">
        <f aca="false">IF(AND(AI$118+6&gt;$B131,AI$118&lt;$C131),1,"")</f>
        <v/>
      </c>
      <c r="AJ131" s="62" t="str">
        <f aca="false">IF(AND(AJ$118+6&gt;$B131,AJ$118&lt;$C131),1,"")</f>
        <v/>
      </c>
      <c r="AK131" s="62" t="str">
        <f aca="false">IF(AND(AK$118+6&gt;$B131,AK$118&lt;$C131),1,"")</f>
        <v/>
      </c>
      <c r="AL131" s="62" t="str">
        <f aca="false">IF(AND(AL$118+6&gt;$B131,AL$118&lt;$C131),1,"")</f>
        <v/>
      </c>
      <c r="AM131" s="62" t="str">
        <f aca="false">IF(AND(AM$118+6&gt;$B131,AM$118&lt;$C131),1,"")</f>
        <v/>
      </c>
      <c r="AN131" s="62" t="str">
        <f aca="false">IF(AND(AN$118+6&gt;$B131,AN$118&lt;$C131),1,"")</f>
        <v/>
      </c>
      <c r="AO131" s="62" t="str">
        <f aca="false">IF(AND(AO$118+6&gt;$B131,AO$118&lt;$C131),1,"")</f>
        <v/>
      </c>
      <c r="AP131" s="62" t="n">
        <f aca="false">IF(AND(AP$118+6&gt;$B131,AP$118&lt;$C131),1,"")</f>
        <v>1</v>
      </c>
      <c r="AQ131" s="62" t="str">
        <f aca="false">IF(AND(AQ$118+6&gt;$B131,AQ$118&lt;$C131),1,"")</f>
        <v/>
      </c>
      <c r="AR131" s="62" t="str">
        <f aca="false">IF(AND(AR$118+6&gt;$B131,AR$118&lt;$C131),1,"")</f>
        <v/>
      </c>
      <c r="AS131" s="62" t="str">
        <f aca="false">IF(AND(AS$118+6&gt;$B131,AS$118&lt;$C131),1,"")</f>
        <v/>
      </c>
      <c r="AT131" s="62" t="str">
        <f aca="false">IF(AND(AT$118+6&gt;$B131,AT$118&lt;$C131),1,"")</f>
        <v/>
      </c>
    </row>
    <row r="132" customFormat="false" ht="15" hidden="false" customHeight="false" outlineLevel="0" collapsed="false">
      <c r="A132" s="8" t="s">
        <v>610</v>
      </c>
      <c r="B132" s="14" t="n">
        <f aca="false">C131</f>
        <v>194</v>
      </c>
      <c r="C132" s="14" t="n">
        <f aca="false">B132+01_Inputs!$B$25</f>
        <v>210</v>
      </c>
      <c r="D132" s="13" t="s">
        <v>598</v>
      </c>
      <c r="H132" s="56" t="s">
        <v>599</v>
      </c>
      <c r="J132" s="62" t="str">
        <f aca="false">IF(AND(J$118+6&gt;$B132,J$118&lt;$C132),1,"")</f>
        <v/>
      </c>
      <c r="K132" s="62" t="str">
        <f aca="false">IF(AND(K$118+6&gt;$B132,K$118&lt;$C132),1,"")</f>
        <v/>
      </c>
      <c r="L132" s="62" t="str">
        <f aca="false">IF(AND(L$118+6&gt;$B132,L$118&lt;$C132),1,"")</f>
        <v/>
      </c>
      <c r="M132" s="62" t="str">
        <f aca="false">IF(AND(M$118+6&gt;$B132,M$118&lt;$C132),1,"")</f>
        <v/>
      </c>
      <c r="N132" s="62" t="str">
        <f aca="false">IF(AND(N$118+6&gt;$B132,N$118&lt;$C132),1,"")</f>
        <v/>
      </c>
      <c r="O132" s="62" t="str">
        <f aca="false">IF(AND(O$118+6&gt;$B132,O$118&lt;$C132),1,"")</f>
        <v/>
      </c>
      <c r="P132" s="62" t="str">
        <f aca="false">IF(AND(P$118+6&gt;$B132,P$118&lt;$C132),1,"")</f>
        <v/>
      </c>
      <c r="Q132" s="62" t="str">
        <f aca="false">IF(AND(Q$118+6&gt;$B132,Q$118&lt;$C132),1,"")</f>
        <v/>
      </c>
      <c r="R132" s="62" t="str">
        <f aca="false">IF(AND(R$118+6&gt;$B132,R$118&lt;$C132),1,"")</f>
        <v/>
      </c>
      <c r="S132" s="62" t="str">
        <f aca="false">IF(AND(S$118+6&gt;$B132,S$118&lt;$C132),1,"")</f>
        <v/>
      </c>
      <c r="T132" s="62" t="str">
        <f aca="false">IF(AND(T$118+6&gt;$B132,T$118&lt;$C132),1,"")</f>
        <v/>
      </c>
      <c r="U132" s="62" t="str">
        <f aca="false">IF(AND(U$118+6&gt;$B132,U$118&lt;$C132),1,"")</f>
        <v/>
      </c>
      <c r="V132" s="62" t="str">
        <f aca="false">IF(AND(V$118+6&gt;$B132,V$118&lt;$C132),1,"")</f>
        <v/>
      </c>
      <c r="W132" s="62" t="str">
        <f aca="false">IF(AND(W$118+6&gt;$B132,W$118&lt;$C132),1,"")</f>
        <v/>
      </c>
      <c r="X132" s="62" t="str">
        <f aca="false">IF(AND(X$118+6&gt;$B132,X$118&lt;$C132),1,"")</f>
        <v/>
      </c>
      <c r="Y132" s="62" t="str">
        <f aca="false">IF(AND(Y$118+6&gt;$B132,Y$118&lt;$C132),1,"")</f>
        <v/>
      </c>
      <c r="Z132" s="62" t="str">
        <f aca="false">IF(AND(Z$118+6&gt;$B132,Z$118&lt;$C132),1,"")</f>
        <v/>
      </c>
      <c r="AA132" s="62" t="str">
        <f aca="false">IF(AND(AA$118+6&gt;$B132,AA$118&lt;$C132),1,"")</f>
        <v/>
      </c>
      <c r="AB132" s="62" t="str">
        <f aca="false">IF(AND(AB$118+6&gt;$B132,AB$118&lt;$C132),1,"")</f>
        <v/>
      </c>
      <c r="AC132" s="62" t="str">
        <f aca="false">IF(AND(AC$118+6&gt;$B132,AC$118&lt;$C132),1,"")</f>
        <v/>
      </c>
      <c r="AD132" s="62" t="str">
        <f aca="false">IF(AND(AD$118+6&gt;$B132,AD$118&lt;$C132),1,"")</f>
        <v/>
      </c>
      <c r="AE132" s="62" t="str">
        <f aca="false">IF(AND(AE$118+6&gt;$B132,AE$118&lt;$C132),1,"")</f>
        <v/>
      </c>
      <c r="AF132" s="62" t="str">
        <f aca="false">IF(AND(AF$118+6&gt;$B132,AF$118&lt;$C132),1,"")</f>
        <v/>
      </c>
      <c r="AG132" s="62" t="str">
        <f aca="false">IF(AND(AG$118+6&gt;$B132,AG$118&lt;$C132),1,"")</f>
        <v/>
      </c>
      <c r="AH132" s="62" t="str">
        <f aca="false">IF(AND(AH$118+6&gt;$B132,AH$118&lt;$C132),1,"")</f>
        <v/>
      </c>
      <c r="AI132" s="62" t="str">
        <f aca="false">IF(AND(AI$118+6&gt;$B132,AI$118&lt;$C132),1,"")</f>
        <v/>
      </c>
      <c r="AJ132" s="62" t="str">
        <f aca="false">IF(AND(AJ$118+6&gt;$B132,AJ$118&lt;$C132),1,"")</f>
        <v/>
      </c>
      <c r="AK132" s="62" t="str">
        <f aca="false">IF(AND(AK$118+6&gt;$B132,AK$118&lt;$C132),1,"")</f>
        <v/>
      </c>
      <c r="AL132" s="62" t="str">
        <f aca="false">IF(AND(AL$118+6&gt;$B132,AL$118&lt;$C132),1,"")</f>
        <v/>
      </c>
      <c r="AM132" s="62" t="str">
        <f aca="false">IF(AND(AM$118+6&gt;$B132,AM$118&lt;$C132),1,"")</f>
        <v/>
      </c>
      <c r="AN132" s="62" t="str">
        <f aca="false">IF(AND(AN$118+6&gt;$B132,AN$118&lt;$C132),1,"")</f>
        <v/>
      </c>
      <c r="AO132" s="62" t="str">
        <f aca="false">IF(AND(AO$118+6&gt;$B132,AO$118&lt;$C132),1,"")</f>
        <v/>
      </c>
      <c r="AP132" s="62" t="n">
        <f aca="false">IF(AND(AP$118+6&gt;$B132,AP$118&lt;$C132),1,"")</f>
        <v>1</v>
      </c>
      <c r="AQ132" s="62" t="n">
        <f aca="false">IF(AND(AQ$118+6&gt;$B132,AQ$118&lt;$C132),1,"")</f>
        <v>1</v>
      </c>
      <c r="AR132" s="62" t="n">
        <f aca="false">IF(AND(AR$118+6&gt;$B132,AR$118&lt;$C132),1,"")</f>
        <v>1</v>
      </c>
      <c r="AS132" s="62" t="str">
        <f aca="false">IF(AND(AS$118+6&gt;$B132,AS$118&lt;$C132),1,"")</f>
        <v/>
      </c>
      <c r="AT132" s="62" t="str">
        <f aca="false">IF(AND(AT$118+6&gt;$B132,AT$118&lt;$C132),1,"")</f>
        <v/>
      </c>
    </row>
    <row r="133" customFormat="false" ht="15" hidden="false" customHeight="false" outlineLevel="0" collapsed="false">
      <c r="A133" s="8" t="s">
        <v>611</v>
      </c>
      <c r="B133" s="14" t="n">
        <f aca="false">C132</f>
        <v>210</v>
      </c>
      <c r="C133" s="14" t="n">
        <f aca="false">B133+01_Inputs!$B$30</f>
        <v>212</v>
      </c>
      <c r="D133" s="13" t="s">
        <v>601</v>
      </c>
      <c r="H133" s="56"/>
      <c r="J133" s="62" t="str">
        <f aca="false">IF(AND(J$118+6&gt;$B133,J$118&lt;$C133),1,"")</f>
        <v/>
      </c>
      <c r="K133" s="62" t="str">
        <f aca="false">IF(AND(K$118+6&gt;$B133,K$118&lt;$C133),1,"")</f>
        <v/>
      </c>
      <c r="L133" s="62" t="str">
        <f aca="false">IF(AND(L$118+6&gt;$B133,L$118&lt;$C133),1,"")</f>
        <v/>
      </c>
      <c r="M133" s="62" t="str">
        <f aca="false">IF(AND(M$118+6&gt;$B133,M$118&lt;$C133),1,"")</f>
        <v/>
      </c>
      <c r="N133" s="62" t="str">
        <f aca="false">IF(AND(N$118+6&gt;$B133,N$118&lt;$C133),1,"")</f>
        <v/>
      </c>
      <c r="O133" s="62" t="str">
        <f aca="false">IF(AND(O$118+6&gt;$B133,O$118&lt;$C133),1,"")</f>
        <v/>
      </c>
      <c r="P133" s="62" t="str">
        <f aca="false">IF(AND(P$118+6&gt;$B133,P$118&lt;$C133),1,"")</f>
        <v/>
      </c>
      <c r="Q133" s="62" t="str">
        <f aca="false">IF(AND(Q$118+6&gt;$B133,Q$118&lt;$C133),1,"")</f>
        <v/>
      </c>
      <c r="R133" s="62" t="str">
        <f aca="false">IF(AND(R$118+6&gt;$B133,R$118&lt;$C133),1,"")</f>
        <v/>
      </c>
      <c r="S133" s="62" t="str">
        <f aca="false">IF(AND(S$118+6&gt;$B133,S$118&lt;$C133),1,"")</f>
        <v/>
      </c>
      <c r="T133" s="62" t="str">
        <f aca="false">IF(AND(T$118+6&gt;$B133,T$118&lt;$C133),1,"")</f>
        <v/>
      </c>
      <c r="U133" s="62" t="str">
        <f aca="false">IF(AND(U$118+6&gt;$B133,U$118&lt;$C133),1,"")</f>
        <v/>
      </c>
      <c r="V133" s="62" t="str">
        <f aca="false">IF(AND(V$118+6&gt;$B133,V$118&lt;$C133),1,"")</f>
        <v/>
      </c>
      <c r="W133" s="62" t="str">
        <f aca="false">IF(AND(W$118+6&gt;$B133,W$118&lt;$C133),1,"")</f>
        <v/>
      </c>
      <c r="X133" s="62" t="str">
        <f aca="false">IF(AND(X$118+6&gt;$B133,X$118&lt;$C133),1,"")</f>
        <v/>
      </c>
      <c r="Y133" s="62" t="str">
        <f aca="false">IF(AND(Y$118+6&gt;$B133,Y$118&lt;$C133),1,"")</f>
        <v/>
      </c>
      <c r="Z133" s="62" t="str">
        <f aca="false">IF(AND(Z$118+6&gt;$B133,Z$118&lt;$C133),1,"")</f>
        <v/>
      </c>
      <c r="AA133" s="62" t="str">
        <f aca="false">IF(AND(AA$118+6&gt;$B133,AA$118&lt;$C133),1,"")</f>
        <v/>
      </c>
      <c r="AB133" s="62" t="str">
        <f aca="false">IF(AND(AB$118+6&gt;$B133,AB$118&lt;$C133),1,"")</f>
        <v/>
      </c>
      <c r="AC133" s="62" t="str">
        <f aca="false">IF(AND(AC$118+6&gt;$B133,AC$118&lt;$C133),1,"")</f>
        <v/>
      </c>
      <c r="AD133" s="62" t="str">
        <f aca="false">IF(AND(AD$118+6&gt;$B133,AD$118&lt;$C133),1,"")</f>
        <v/>
      </c>
      <c r="AE133" s="62" t="str">
        <f aca="false">IF(AND(AE$118+6&gt;$B133,AE$118&lt;$C133),1,"")</f>
        <v/>
      </c>
      <c r="AF133" s="62" t="str">
        <f aca="false">IF(AND(AF$118+6&gt;$B133,AF$118&lt;$C133),1,"")</f>
        <v/>
      </c>
      <c r="AG133" s="62" t="str">
        <f aca="false">IF(AND(AG$118+6&gt;$B133,AG$118&lt;$C133),1,"")</f>
        <v/>
      </c>
      <c r="AH133" s="62" t="str">
        <f aca="false">IF(AND(AH$118+6&gt;$B133,AH$118&lt;$C133),1,"")</f>
        <v/>
      </c>
      <c r="AI133" s="62" t="str">
        <f aca="false">IF(AND(AI$118+6&gt;$B133,AI$118&lt;$C133),1,"")</f>
        <v/>
      </c>
      <c r="AJ133" s="62" t="str">
        <f aca="false">IF(AND(AJ$118+6&gt;$B133,AJ$118&lt;$C133),1,"")</f>
        <v/>
      </c>
      <c r="AK133" s="62" t="str">
        <f aca="false">IF(AND(AK$118+6&gt;$B133,AK$118&lt;$C133),1,"")</f>
        <v/>
      </c>
      <c r="AL133" s="62" t="str">
        <f aca="false">IF(AND(AL$118+6&gt;$B133,AL$118&lt;$C133),1,"")</f>
        <v/>
      </c>
      <c r="AM133" s="62" t="str">
        <f aca="false">IF(AND(AM$118+6&gt;$B133,AM$118&lt;$C133),1,"")</f>
        <v/>
      </c>
      <c r="AN133" s="62" t="str">
        <f aca="false">IF(AND(AN$118+6&gt;$B133,AN$118&lt;$C133),1,"")</f>
        <v/>
      </c>
      <c r="AO133" s="62" t="str">
        <f aca="false">IF(AND(AO$118+6&gt;$B133,AO$118&lt;$C133),1,"")</f>
        <v/>
      </c>
      <c r="AP133" s="62" t="str">
        <f aca="false">IF(AND(AP$118+6&gt;$B133,AP$118&lt;$C133),1,"")</f>
        <v/>
      </c>
      <c r="AQ133" s="62" t="str">
        <f aca="false">IF(AND(AQ$118+6&gt;$B133,AQ$118&lt;$C133),1,"")</f>
        <v/>
      </c>
      <c r="AR133" s="62" t="str">
        <f aca="false">IF(AND(AR$118+6&gt;$B133,AR$118&lt;$C133),1,"")</f>
        <v/>
      </c>
      <c r="AS133" s="62" t="n">
        <f aca="false">IF(AND(AS$118+6&gt;$B133,AS$118&lt;$C133),1,"")</f>
        <v>1</v>
      </c>
      <c r="AT133" s="62" t="str">
        <f aca="false">IF(AND(AT$118+6&gt;$B133,AT$118&lt;$C133),1,"")</f>
        <v/>
      </c>
    </row>
  </sheetData>
  <mergeCells count="77">
    <mergeCell ref="D8:G8"/>
    <mergeCell ref="D9:G9"/>
    <mergeCell ref="D10:G10"/>
    <mergeCell ref="D11:G11"/>
    <mergeCell ref="D12:G12"/>
    <mergeCell ref="D13:G13"/>
    <mergeCell ref="D14:G14"/>
    <mergeCell ref="D15:G15"/>
    <mergeCell ref="D16:G16"/>
    <mergeCell ref="D17:H17"/>
    <mergeCell ref="D21:H21"/>
    <mergeCell ref="D22:H22"/>
    <mergeCell ref="D23:H23"/>
    <mergeCell ref="D24:H24"/>
    <mergeCell ref="D25:H25"/>
    <mergeCell ref="D26:H26"/>
    <mergeCell ref="D27:H27"/>
    <mergeCell ref="D28:H28"/>
    <mergeCell ref="D29:H29"/>
    <mergeCell ref="D30:H30"/>
    <mergeCell ref="D31:H31"/>
    <mergeCell ref="D34:H34"/>
    <mergeCell ref="D35:H35"/>
    <mergeCell ref="D36:H36"/>
    <mergeCell ref="D37:H37"/>
    <mergeCell ref="D38:H38"/>
    <mergeCell ref="D39:H39"/>
    <mergeCell ref="D40:H40"/>
    <mergeCell ref="D41:H41"/>
    <mergeCell ref="D42:H42"/>
    <mergeCell ref="D43:H43"/>
    <mergeCell ref="D44:H44"/>
    <mergeCell ref="D47:H47"/>
    <mergeCell ref="D48:H48"/>
    <mergeCell ref="D49:H49"/>
    <mergeCell ref="D50:H50"/>
    <mergeCell ref="D51:H51"/>
    <mergeCell ref="D52:H52"/>
    <mergeCell ref="D53:H53"/>
    <mergeCell ref="D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5:H65"/>
    <mergeCell ref="D66:H66"/>
    <mergeCell ref="D67:H67"/>
    <mergeCell ref="D68:H68"/>
    <mergeCell ref="D69:H69"/>
    <mergeCell ref="D70:H70"/>
    <mergeCell ref="D71:H71"/>
    <mergeCell ref="D74:H74"/>
    <mergeCell ref="D75:H75"/>
    <mergeCell ref="D76:H76"/>
    <mergeCell ref="D77:H77"/>
    <mergeCell ref="D78:H78"/>
    <mergeCell ref="D79:H79"/>
    <mergeCell ref="D80:H80"/>
    <mergeCell ref="D81:H81"/>
    <mergeCell ref="D82:H82"/>
    <mergeCell ref="D91:H91"/>
    <mergeCell ref="D92:H92"/>
    <mergeCell ref="D95:H95"/>
    <mergeCell ref="D96:H96"/>
    <mergeCell ref="D97:H97"/>
    <mergeCell ref="D98:H98"/>
    <mergeCell ref="D99:H99"/>
    <mergeCell ref="D100:H100"/>
    <mergeCell ref="D108:H108"/>
    <mergeCell ref="D109:H109"/>
    <mergeCell ref="D117:H117"/>
  </mergeCells>
  <conditionalFormatting sqref="J119:AT133">
    <cfRule type="expression" priority="2" aboveAverage="0" equalAverage="0" bottom="0" percent="0" rank="0" text="" dxfId="16">
      <formula>AND(J119=1,ISNUMBER(SEARCH("정제",$A119)))</formula>
    </cfRule>
    <cfRule type="expression" priority="3" aboveAverage="0" equalAverage="0" bottom="0" percent="0" rank="0" text="" dxfId="17">
      <formula>AND(J119=1,ISNUMBER(SEARCH("비정제",$A119)))</formula>
    </cfRule>
    <cfRule type="expression" priority="4" aboveAverage="0" equalAverage="0" bottom="0" percent="0" rank="0" text="" dxfId="18">
      <formula>AND(J119=1,ISNUMBER(SEARCH("FQC",$A119)))</formula>
    </cfRule>
    <cfRule type="expression" priority="5" aboveAverage="0" equalAverage="0" bottom="0" percent="0" rank="0" text="" dxfId="19">
      <formula>AND(J119=1,ISNUMBER(SEARCH("충진",$A119)))</formula>
    </cfRule>
    <cfRule type="expression" priority="6" aboveAverage="0" equalAverage="0" bottom="0" percent="0" rank="0" text="" dxfId="20">
      <formula>AND(J119=1,ISNUMBER(SEARCH("OQC",$A119)))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false"/>
  </sheetPr>
  <dimension ref="A1:AV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1"/>
    <col collapsed="false" customWidth="true" hidden="false" outlineLevel="0" max="4" min="4" style="0" width="13"/>
    <col collapsed="false" customWidth="true" hidden="false" outlineLevel="0" max="15" min="5" style="0" width="11"/>
    <col collapsed="false" customWidth="true" hidden="false" outlineLevel="0" max="16" min="16" style="0" width="14"/>
    <col collapsed="false" customWidth="true" hidden="false" outlineLevel="0" max="28" min="17" style="0" width="11"/>
    <col collapsed="false" customWidth="true" hidden="false" outlineLevel="0" max="29" min="29" style="0" width="16"/>
    <col collapsed="false" customWidth="true" hidden="false" outlineLevel="0" max="46" min="30" style="0" width="11"/>
    <col collapsed="false" customWidth="true" hidden="false" outlineLevel="0" max="47" min="47" style="0" width="18"/>
    <col collapsed="false" customWidth="true" hidden="false" outlineLevel="0" max="48" min="48" style="0" width="60"/>
  </cols>
  <sheetData>
    <row r="1" customFormat="false" ht="21.6" hidden="false" customHeight="false" outlineLevel="0" collapsed="false">
      <c r="A1" s="1" t="s">
        <v>612</v>
      </c>
    </row>
    <row r="2" customFormat="false" ht="15" hidden="false" customHeight="false" outlineLevel="0" collapsed="false">
      <c r="A2" s="2" t="s">
        <v>613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</row>
    <row r="5" customFormat="false" ht="54" hidden="false" customHeight="true" outlineLevel="0" collapsed="false">
      <c r="A5" s="10" t="s">
        <v>614</v>
      </c>
      <c r="B5" s="10" t="s">
        <v>237</v>
      </c>
      <c r="C5" s="10" t="s">
        <v>615</v>
      </c>
      <c r="D5" s="10" t="s">
        <v>616</v>
      </c>
      <c r="E5" s="10" t="s">
        <v>617</v>
      </c>
      <c r="F5" s="10" t="s">
        <v>618</v>
      </c>
      <c r="G5" s="10" t="s">
        <v>619</v>
      </c>
      <c r="H5" s="10" t="s">
        <v>620</v>
      </c>
      <c r="I5" s="10" t="s">
        <v>621</v>
      </c>
      <c r="J5" s="10" t="s">
        <v>622</v>
      </c>
      <c r="K5" s="10" t="s">
        <v>623</v>
      </c>
      <c r="L5" s="10" t="s">
        <v>624</v>
      </c>
      <c r="M5" s="10" t="s">
        <v>625</v>
      </c>
      <c r="N5" s="10" t="s">
        <v>626</v>
      </c>
      <c r="O5" s="10" t="s">
        <v>627</v>
      </c>
      <c r="P5" s="10" t="s">
        <v>628</v>
      </c>
      <c r="Q5" s="25" t="s">
        <v>629</v>
      </c>
      <c r="R5" s="10" t="s">
        <v>630</v>
      </c>
      <c r="S5" s="10" t="s">
        <v>631</v>
      </c>
      <c r="T5" s="10" t="s">
        <v>632</v>
      </c>
      <c r="U5" s="25" t="s">
        <v>633</v>
      </c>
      <c r="V5" s="10" t="s">
        <v>634</v>
      </c>
      <c r="W5" s="10" t="s">
        <v>635</v>
      </c>
      <c r="X5" s="10" t="s">
        <v>636</v>
      </c>
      <c r="Y5" s="25" t="s">
        <v>637</v>
      </c>
      <c r="Z5" s="25" t="s">
        <v>638</v>
      </c>
      <c r="AA5" s="25" t="s">
        <v>639</v>
      </c>
      <c r="AB5" s="25" t="s">
        <v>640</v>
      </c>
      <c r="AC5" s="25" t="s">
        <v>641</v>
      </c>
      <c r="AD5" s="25" t="s">
        <v>642</v>
      </c>
      <c r="AE5" s="10" t="s">
        <v>643</v>
      </c>
      <c r="AF5" s="10" t="s">
        <v>644</v>
      </c>
      <c r="AG5" s="10" t="s">
        <v>645</v>
      </c>
      <c r="AH5" s="10" t="s">
        <v>646</v>
      </c>
      <c r="AI5" s="10" t="s">
        <v>647</v>
      </c>
      <c r="AJ5" s="10" t="s">
        <v>648</v>
      </c>
      <c r="AK5" s="10" t="s">
        <v>649</v>
      </c>
      <c r="AL5" s="10" t="s">
        <v>650</v>
      </c>
      <c r="AM5" s="10" t="s">
        <v>651</v>
      </c>
      <c r="AN5" s="25" t="s">
        <v>652</v>
      </c>
      <c r="AO5" s="10" t="s">
        <v>653</v>
      </c>
      <c r="AP5" s="10" t="s">
        <v>654</v>
      </c>
      <c r="AQ5" s="10" t="s">
        <v>655</v>
      </c>
      <c r="AR5" s="10" t="s">
        <v>656</v>
      </c>
      <c r="AS5" s="10" t="s">
        <v>657</v>
      </c>
      <c r="AT5" s="10" t="s">
        <v>658</v>
      </c>
      <c r="AU5" s="10" t="s">
        <v>659</v>
      </c>
      <c r="AV5" s="10" t="s">
        <v>660</v>
      </c>
    </row>
    <row r="6" customFormat="false" ht="15" hidden="false" customHeight="false" outlineLevel="0" collapsed="false">
      <c r="A6" s="63" t="n">
        <v>46023</v>
      </c>
      <c r="B6" s="15" t="n">
        <f aca="false">YEAR(A6)</f>
        <v>2026</v>
      </c>
      <c r="C6" s="15" t="n">
        <f aca="false">DAY(EOMONTH(A6,0))</f>
        <v>31</v>
      </c>
      <c r="D6" s="8" t="str">
        <f aca="false">IF(A6&lt;01_Inputs!$B$52,"현재(103℃)",IF(A6&lt;=01_Inputs!$B$53,"리플럭스 공사",IF(A6&lt;01_Inputs!$B$55,"시운전","리플럭스 적용")))</f>
        <v>현재(103℃)</v>
      </c>
      <c r="E6" s="14" t="n">
        <f aca="false">C6*24</f>
        <v>744</v>
      </c>
      <c r="F6" s="64"/>
      <c r="G6" s="14" t="n">
        <f aca="false">IF(D6="리플럭스 공사",IF(ISNUMBER(01_Inputs!$B$57),01_Inputs!$B$57,"미확인"),IF(D6="시운전","시운전",E6-N(F6)))</f>
        <v>744</v>
      </c>
      <c r="H6" s="20" t="n">
        <f aca="false">IF(OR(D6="현재(103℃)",D6="리플럭스 공사"),03_Capacity_Model!$B$91,IF(D6="리플럭스 적용",IF(ISNUMBER(01_Inputs!$B$45),01_Inputs!$B$45+IF(ISNUMBER(01_Inputs!$B$46),01_Inputs!$B$46,03_Capacity_Model!$B$59),"미확인"),"-"))</f>
        <v>67.4716981132076</v>
      </c>
      <c r="I6" s="14" t="n">
        <f aca="false">0</f>
        <v>0</v>
      </c>
      <c r="J6" s="43" t="n">
        <f aca="false">IF(D6="시운전",IF(ISNUMBER(01_Inputs!$B$58),01_Inputs!$B$58,"미확인"),IF(AND(ISNUMBER(G6),ISNUMBER(H6)),INT((G6+I6)/H6),"미확인"))</f>
        <v>11</v>
      </c>
      <c r="K6" s="14" t="n">
        <f aca="false">IF(AND(ISNUMBER(G6),ISNUMBER(H6),ISNUMBER(J6)),G6+I6-J6*H6,"")</f>
        <v>1.81132075471692</v>
      </c>
      <c r="L6" s="50" t="str">
        <f aca="false">IF(COUNTIFS(02_Batch_Raw!$E$6:$E$61,"&gt;="&amp;A6,02_Batch_Raw!$E$6:$E$61,"&lt;="&amp;EOMONTH(A6,0))=0,"",COUNTIFS(02_Batch_Raw!$E$6:$E$61,"&gt;="&amp;A6,02_Batch_Raw!$E$6:$E$61,"&lt;="&amp;EOMONTH(A6,0)))</f>
        <v/>
      </c>
      <c r="M6" s="50" t="str">
        <f aca="false">""</f>
        <v/>
      </c>
      <c r="N6" s="65"/>
      <c r="O6" s="15" t="n">
        <f aca="false">IF(ISNUMBER(N6),N6,J6)</f>
        <v>11</v>
      </c>
      <c r="P6" s="13" t="str">
        <f aca="false">IF(ISNUMBER(N6),"실적 입력",IF(ISNUMBER(J6),"추정 생산 가능량","미확인"))</f>
        <v>추정 생산 가능량</v>
      </c>
      <c r="Q6" s="36" t="n">
        <f aca="false">IF(D6="리플럭스 적용",IF(ISNUMBER(01_Inputs!$B$36),01_Inputs!$B$36,01_Inputs!$B$32),01_Inputs!$B$32)</f>
        <v>190</v>
      </c>
      <c r="R6" s="40" t="n">
        <f aca="false">IF(ISNUMBER(O6),O6*Q6,"미확인")</f>
        <v>2090</v>
      </c>
      <c r="S6" s="40" t="n">
        <f aca="false">IF(ISNUMBER(R6),R6*IF(ISNUMBER(01_Inputs!$B$81),01_Inputs!$B$81,1),"미확인")</f>
        <v>2090</v>
      </c>
      <c r="T6" s="66" t="n">
        <f aca="false">01_Inputs!$C$93</f>
        <v>1600</v>
      </c>
      <c r="U6" s="66" t="str">
        <f aca="false">IF(ISNUMBER(01_Inputs!$C$94),01_Inputs!$C$94,"미제시")</f>
        <v>미제시</v>
      </c>
      <c r="V6" s="66" t="n">
        <f aca="false">01_Inputs!$C$95</f>
        <v>0</v>
      </c>
      <c r="W6" s="27" t="n">
        <f aca="false">SUM(T6:V6)</f>
        <v>1600</v>
      </c>
      <c r="X6" s="20" t="n">
        <f aca="false">W6/Q6</f>
        <v>8.42105263157895</v>
      </c>
      <c r="Y6" s="15" t="n">
        <f aca="false">ROUNDUP(T6/01_Inputs!$B$33,0)+IF(ISNUMBER(U6),ROUNDUP(U6/01_Inputs!$B$33,0),0)</f>
        <v>80</v>
      </c>
      <c r="Z6" s="14" t="n">
        <f aca="false">Y6*01_Inputs!$B$23</f>
        <v>160</v>
      </c>
      <c r="AA6" s="15" t="n">
        <f aca="false">ROUNDUP(V6/01_Inputs!$B$35,0)</f>
        <v>0</v>
      </c>
      <c r="AB6" s="14" t="n">
        <f aca="false">IF(AND(A6&gt;=01_Inputs!$B$51,ISNUMBER(01_Inputs!$B$29)),01_Inputs!$B$29,01_Inputs!$B$27)</f>
        <v>8</v>
      </c>
      <c r="AC6" s="13" t="str">
        <f aca="false">IF(A6&gt;=01_Inputs!$B$51,IF(ISNUMBER(01_Inputs!$B$29),"ARS","ARS (시간 미확인→수동 8 h 참고)"),"수동")</f>
        <v>수동</v>
      </c>
      <c r="AD6" s="14" t="n">
        <f aca="false">IF(01_Inputs!$B$28=1,AA6*AB6,ROUNDUP(V6/Q6,0)*AB6)</f>
        <v>0</v>
      </c>
      <c r="AE6" s="14" t="n">
        <f aca="false">IF(ISNUMBER(O6),O6*(01_Inputs!$B$14/IF(ISNUMBER(01_Inputs!$B$15),01_Inputs!$B$15,1)+01_Inputs!$B$20+01_Inputs!$B$30),"미확인")</f>
        <v>66</v>
      </c>
      <c r="AF6" s="14" t="str">
        <f aca="false">IF(ISNUMBER(01_Inputs!$B$62),01_Inputs!$B$62,"미확인")</f>
        <v>미확인</v>
      </c>
      <c r="AG6" s="14" t="str">
        <f aca="false">IF(ISNUMBER(AF6),AF6-Z6,"미확인")</f>
        <v>미확인</v>
      </c>
      <c r="AH6" s="29" t="n">
        <f aca="false">IF(ISNUMBER(S6),S6-W6,"미확인")</f>
        <v>490</v>
      </c>
      <c r="AI6" s="29" t="n">
        <f aca="false">IF(ISNUMBER(AH6),AH6,"보류")</f>
        <v>490</v>
      </c>
      <c r="AJ6" s="29" t="str">
        <f aca="false">IF(ISNUMBER(01_Inputs!$B$78),01_Inputs!$B$78,"미입력")</f>
        <v>미입력</v>
      </c>
      <c r="AK6" s="29" t="str">
        <f aca="false">IF(AND(ISNUMBER(AJ6),ISNUMBER(S6)),AJ6+S6,"보류")</f>
        <v>보류</v>
      </c>
      <c r="AL6" s="29" t="str">
        <f aca="false">IF(ISNUMBER(AK6),MIN(AK6,T6),"보류")</f>
        <v>보류</v>
      </c>
      <c r="AM6" s="29" t="str">
        <f aca="false">IF(ISNUMBER(AK6),MIN(AK6-AL6,N(01_Inputs!$B$79)),"보류")</f>
        <v>보류</v>
      </c>
      <c r="AN6" s="29" t="str">
        <f aca="false">IF(ISNUMBER(AK6),MIN(AK6-AL6-AM6,N(U6)),"보류")</f>
        <v>보류</v>
      </c>
      <c r="AO6" s="29" t="str">
        <f aca="false">IF(ISNUMBER(AK6),MIN(AK6-AL6-AM6-AN6,V6),"보류")</f>
        <v>보류</v>
      </c>
      <c r="AP6" s="29" t="str">
        <f aca="false">IF(ISNUMBER(AK6),W6-AL6-AN6-AO6,"보류")</f>
        <v>보류</v>
      </c>
      <c r="AQ6" s="27" t="str">
        <f aca="false">IF(ISNUMBER(AK6),AK6-AL6-AN6-AO6,"보류")</f>
        <v>보류</v>
      </c>
      <c r="AR6" s="29" t="str">
        <f aca="false">IF(ISNUMBER(01_Inputs!$B$80),01_Inputs!$B$80,"미입력")</f>
        <v>미입력</v>
      </c>
      <c r="AS6" s="29" t="str">
        <f aca="false">IF(AND(ISNUMBER(AJ6),ISNUMBER(AR6)),W6+AR6-AJ6,"보류")</f>
        <v>보류</v>
      </c>
      <c r="AT6" s="29" t="str">
        <f aca="false">IF(AND(ISNUMBER(AQ6),ISNUMBER(AR6)),AQ6-AR6,"보류")</f>
        <v>보류</v>
      </c>
      <c r="AU6" s="13" t="str">
        <f aca="false">IF(ISNUMBER(AQ6),"계산 가능",IF(ISNUMBER(AH6),"부분 (재고 입력 필요)","보류 (생산 조건 미확인)"))</f>
        <v>부분 (재고 입력 필요)</v>
      </c>
      <c r="AV6" s="8" t="str">
        <f aca="false">IF(D6="리플럭스 공사",IF(ISNUMBER(01_Inputs!$B$57),"","공사 중 가용시간·"),"")&amp;IF(D6="시운전",IF(ISNUMBER(01_Inputs!$B$58),"","시운전 양품 Batch·"),"")&amp;IF(D6="리플럭스 적용",IF(ISNUMBER(01_Inputs!$B$45),"","리플럭스 정제시간·"),"")&amp;IF(AND(D6="리플럭스 적용",NOT(ISNUMBER(01_Inputs!$B$36))),"Batch량(190 유지 가정)·","")&amp;IF(ISNUMBER(N6),"","실적 Batch·")&amp;IF(ISNUMBER(F6),"","정지·보수(미반영)·")&amp;IF(ISNUMBER(01_Inputs!$B$81),"","양품률(100% 상한)·")&amp;IF(ISNUMBER(U6),"","CXMT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7" customFormat="false" ht="15" hidden="false" customHeight="false" outlineLevel="0" collapsed="false">
      <c r="A7" s="63" t="n">
        <v>46054</v>
      </c>
      <c r="B7" s="15" t="n">
        <f aca="false">YEAR(A7)</f>
        <v>2026</v>
      </c>
      <c r="C7" s="15" t="n">
        <f aca="false">DAY(EOMONTH(A7,0))</f>
        <v>28</v>
      </c>
      <c r="D7" s="8" t="str">
        <f aca="false">IF(A7&lt;01_Inputs!$B$52,"현재(103℃)",IF(A7&lt;=01_Inputs!$B$53,"리플럭스 공사",IF(A7&lt;01_Inputs!$B$55,"시운전","리플럭스 적용")))</f>
        <v>현재(103℃)</v>
      </c>
      <c r="E7" s="14" t="n">
        <f aca="false">C7*24</f>
        <v>672</v>
      </c>
      <c r="F7" s="64"/>
      <c r="G7" s="14" t="n">
        <f aca="false">IF(D7="리플럭스 공사",IF(ISNUMBER(01_Inputs!$B$57),01_Inputs!$B$57,"미확인"),IF(D7="시운전","시운전",E7-N(F7)))</f>
        <v>672</v>
      </c>
      <c r="H7" s="20" t="n">
        <f aca="false">IF(OR(D7="현재(103℃)",D7="리플럭스 공사"),03_Capacity_Model!$B$91,IF(D7="리플럭스 적용",IF(ISNUMBER(01_Inputs!$B$45),01_Inputs!$B$45+IF(ISNUMBER(01_Inputs!$B$46),01_Inputs!$B$46,03_Capacity_Model!$B$59),"미확인"),"-"))</f>
        <v>67.4716981132076</v>
      </c>
      <c r="I7" s="14" t="n">
        <f aca="false">IF(AND(ISNUMBER(K6),D6=D7),K6,0)</f>
        <v>1.81132075471692</v>
      </c>
      <c r="J7" s="43" t="n">
        <f aca="false">IF(D7="시운전",IF(ISNUMBER(01_Inputs!$B$58),01_Inputs!$B$58,"미확인"),IF(AND(ISNUMBER(G7),ISNUMBER(H7)),INT((G7+I7)/H7),"미확인"))</f>
        <v>9</v>
      </c>
      <c r="K7" s="14" t="n">
        <f aca="false">IF(AND(ISNUMBER(G7),ISNUMBER(H7),ISNUMBER(J7)),G7+I7-J7*H7,"")</f>
        <v>66.5660377358489</v>
      </c>
      <c r="L7" s="50" t="str">
        <f aca="false">IF(COUNTIFS(02_Batch_Raw!$E$6:$E$61,"&gt;="&amp;A7,02_Batch_Raw!$E$6:$E$61,"&lt;="&amp;EOMONTH(A7,0))=0,"",COUNTIFS(02_Batch_Raw!$E$6:$E$61,"&gt;="&amp;A7,02_Batch_Raw!$E$6:$E$61,"&lt;="&amp;EOMONTH(A7,0)))</f>
        <v/>
      </c>
      <c r="M7" s="50" t="str">
        <f aca="false">""</f>
        <v/>
      </c>
      <c r="N7" s="65"/>
      <c r="O7" s="15" t="n">
        <f aca="false">IF(ISNUMBER(N7),N7,J7)</f>
        <v>9</v>
      </c>
      <c r="P7" s="13" t="str">
        <f aca="false">IF(ISNUMBER(N7),"실적 입력",IF(ISNUMBER(J7),"추정 생산 가능량","미확인"))</f>
        <v>추정 생산 가능량</v>
      </c>
      <c r="Q7" s="36" t="n">
        <f aca="false">IF(D7="리플럭스 적용",IF(ISNUMBER(01_Inputs!$B$36),01_Inputs!$B$36,01_Inputs!$B$32),01_Inputs!$B$32)</f>
        <v>190</v>
      </c>
      <c r="R7" s="40" t="n">
        <f aca="false">IF(ISNUMBER(O7),O7*Q7,"미확인")</f>
        <v>1710</v>
      </c>
      <c r="S7" s="40" t="n">
        <f aca="false">IF(ISNUMBER(R7),R7*IF(ISNUMBER(01_Inputs!$B$81),01_Inputs!$B$81,1),"미확인")</f>
        <v>1710</v>
      </c>
      <c r="T7" s="66" t="n">
        <f aca="false">01_Inputs!$D$93</f>
        <v>1420</v>
      </c>
      <c r="U7" s="66" t="str">
        <f aca="false">IF(ISNUMBER(01_Inputs!$D$94),01_Inputs!$D$94,"미제시")</f>
        <v>미제시</v>
      </c>
      <c r="V7" s="66" t="n">
        <f aca="false">01_Inputs!$D$95</f>
        <v>0</v>
      </c>
      <c r="W7" s="27" t="n">
        <f aca="false">SUM(T7:V7)</f>
        <v>1420</v>
      </c>
      <c r="X7" s="20" t="n">
        <f aca="false">W7/Q7</f>
        <v>7.47368421052632</v>
      </c>
      <c r="Y7" s="15" t="n">
        <f aca="false">ROUNDUP(T7/01_Inputs!$B$33,0)+IF(ISNUMBER(U7),ROUNDUP(U7/01_Inputs!$B$33,0),0)</f>
        <v>71</v>
      </c>
      <c r="Z7" s="14" t="n">
        <f aca="false">Y7*01_Inputs!$B$23</f>
        <v>142</v>
      </c>
      <c r="AA7" s="15" t="n">
        <f aca="false">ROUNDUP(V7/01_Inputs!$B$35,0)</f>
        <v>0</v>
      </c>
      <c r="AB7" s="14" t="n">
        <f aca="false">IF(AND(A7&gt;=01_Inputs!$B$51,ISNUMBER(01_Inputs!$B$29)),01_Inputs!$B$29,01_Inputs!$B$27)</f>
        <v>8</v>
      </c>
      <c r="AC7" s="13" t="str">
        <f aca="false">IF(A7&gt;=01_Inputs!$B$51,IF(ISNUMBER(01_Inputs!$B$29),"ARS","ARS (시간 미확인→수동 8 h 참고)"),"수동")</f>
        <v>수동</v>
      </c>
      <c r="AD7" s="14" t="n">
        <f aca="false">IF(01_Inputs!$B$28=1,AA7*AB7,ROUNDUP(V7/Q7,0)*AB7)</f>
        <v>0</v>
      </c>
      <c r="AE7" s="14" t="n">
        <f aca="false">IF(ISNUMBER(O7),O7*(01_Inputs!$B$14/IF(ISNUMBER(01_Inputs!$B$15),01_Inputs!$B$15,1)+01_Inputs!$B$20+01_Inputs!$B$30),"미확인")</f>
        <v>54</v>
      </c>
      <c r="AF7" s="14" t="str">
        <f aca="false">IF(ISNUMBER(01_Inputs!$B$62),01_Inputs!$B$62,"미확인")</f>
        <v>미확인</v>
      </c>
      <c r="AG7" s="14" t="str">
        <f aca="false">IF(ISNUMBER(AF7),AF7-Z7,"미확인")</f>
        <v>미확인</v>
      </c>
      <c r="AH7" s="29" t="n">
        <f aca="false">IF(ISNUMBER(S7),S7-W7,"미확인")</f>
        <v>290</v>
      </c>
      <c r="AI7" s="29" t="n">
        <f aca="false">IF(AND(ISNUMBER(AH7),ISNUMBER(AI6)),AI6+AH7,"보류")</f>
        <v>780</v>
      </c>
      <c r="AJ7" s="29" t="str">
        <f aca="false">IF(ISNUMBER(AQ6),AQ6,"보류")</f>
        <v>보류</v>
      </c>
      <c r="AK7" s="29" t="str">
        <f aca="false">IF(AND(ISNUMBER(AJ7),ISNUMBER(S7)),AJ7+S7,"보류")</f>
        <v>보류</v>
      </c>
      <c r="AL7" s="29" t="str">
        <f aca="false">IF(ISNUMBER(AK7),MIN(AK7,T7),"보류")</f>
        <v>보류</v>
      </c>
      <c r="AM7" s="29" t="str">
        <f aca="false">IF(ISNUMBER(AK7),MIN(AK7-AL7,N(01_Inputs!$B$79)),"보류")</f>
        <v>보류</v>
      </c>
      <c r="AN7" s="29" t="str">
        <f aca="false">IF(ISNUMBER(AK7),MIN(AK7-AL7-AM7,N(U7)),"보류")</f>
        <v>보류</v>
      </c>
      <c r="AO7" s="29" t="str">
        <f aca="false">IF(ISNUMBER(AK7),MIN(AK7-AL7-AM7-AN7,V7),"보류")</f>
        <v>보류</v>
      </c>
      <c r="AP7" s="29" t="str">
        <f aca="false">IF(ISNUMBER(AK7),W7-AL7-AN7-AO7,"보류")</f>
        <v>보류</v>
      </c>
      <c r="AQ7" s="27" t="str">
        <f aca="false">IF(ISNUMBER(AK7),AK7-AL7-AN7-AO7,"보류")</f>
        <v>보류</v>
      </c>
      <c r="AR7" s="29" t="str">
        <f aca="false">IF(ISNUMBER(01_Inputs!$B$80),01_Inputs!$B$80,"미입력")</f>
        <v>미입력</v>
      </c>
      <c r="AS7" s="29" t="str">
        <f aca="false">IF(AND(ISNUMBER(AJ7),ISNUMBER(AR7)),W7+AR7-AJ7,"보류")</f>
        <v>보류</v>
      </c>
      <c r="AT7" s="29" t="str">
        <f aca="false">IF(AND(ISNUMBER(AQ7),ISNUMBER(AR7)),AQ7-AR7,"보류")</f>
        <v>보류</v>
      </c>
      <c r="AU7" s="13" t="str">
        <f aca="false">IF(ISNUMBER(AQ7),"계산 가능",IF(ISNUMBER(AH7),"부분 (재고 입력 필요)","보류 (생산 조건 미확인)"))</f>
        <v>부분 (재고 입력 필요)</v>
      </c>
      <c r="AV7" s="8" t="str">
        <f aca="false">IF(D7="리플럭스 공사",IF(ISNUMBER(01_Inputs!$B$57),"","공사 중 가용시간·"),"")&amp;IF(D7="시운전",IF(ISNUMBER(01_Inputs!$B$58),"","시운전 양품 Batch·"),"")&amp;IF(D7="리플럭스 적용",IF(ISNUMBER(01_Inputs!$B$45),"","리플럭스 정제시간·"),"")&amp;IF(AND(D7="리플럭스 적용",NOT(ISNUMBER(01_Inputs!$B$36))),"Batch량(190 유지 가정)·","")&amp;IF(ISNUMBER(N7),"","실적 Batch·")&amp;IF(ISNUMBER(F7),"","정지·보수(미반영)·")&amp;IF(ISNUMBER(01_Inputs!$B$81),"","양품률(100% 상한)·")&amp;IF(ISNUMBER(U7),"","CXMT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8" customFormat="false" ht="15" hidden="false" customHeight="false" outlineLevel="0" collapsed="false">
      <c r="A8" s="63" t="n">
        <v>46082</v>
      </c>
      <c r="B8" s="15" t="n">
        <f aca="false">YEAR(A8)</f>
        <v>2026</v>
      </c>
      <c r="C8" s="15" t="n">
        <f aca="false">DAY(EOMONTH(A8,0))</f>
        <v>31</v>
      </c>
      <c r="D8" s="8" t="str">
        <f aca="false">IF(A8&lt;01_Inputs!$B$52,"현재(103℃)",IF(A8&lt;=01_Inputs!$B$53,"리플럭스 공사",IF(A8&lt;01_Inputs!$B$55,"시운전","리플럭스 적용")))</f>
        <v>현재(103℃)</v>
      </c>
      <c r="E8" s="14" t="n">
        <f aca="false">C8*24</f>
        <v>744</v>
      </c>
      <c r="F8" s="64"/>
      <c r="G8" s="14" t="n">
        <f aca="false">IF(D8="리플럭스 공사",IF(ISNUMBER(01_Inputs!$B$57),01_Inputs!$B$57,"미확인"),IF(D8="시운전","시운전",E8-N(F8)))</f>
        <v>744</v>
      </c>
      <c r="H8" s="20" t="n">
        <f aca="false">IF(OR(D8="현재(103℃)",D8="리플럭스 공사"),03_Capacity_Model!$B$91,IF(D8="리플럭스 적용",IF(ISNUMBER(01_Inputs!$B$45),01_Inputs!$B$45+IF(ISNUMBER(01_Inputs!$B$46),01_Inputs!$B$46,03_Capacity_Model!$B$59),"미확인"),"-"))</f>
        <v>67.4716981132076</v>
      </c>
      <c r="I8" s="14" t="n">
        <f aca="false">IF(AND(ISNUMBER(K7),D7=D8),K7,0)</f>
        <v>66.5660377358489</v>
      </c>
      <c r="J8" s="43" t="n">
        <f aca="false">IF(D8="시운전",IF(ISNUMBER(01_Inputs!$B$58),01_Inputs!$B$58,"미확인"),IF(AND(ISNUMBER(G8),ISNUMBER(H8)),INT((G8+I8)/H8),"미확인"))</f>
        <v>12</v>
      </c>
      <c r="K8" s="14" t="n">
        <f aca="false">IF(AND(ISNUMBER(G8),ISNUMBER(H8),ISNUMBER(J8)),G8+I8-J8*H8,"")</f>
        <v>0.905660377358231</v>
      </c>
      <c r="L8" s="50" t="str">
        <f aca="false">IF(COUNTIFS(02_Batch_Raw!$E$6:$E$61,"&gt;="&amp;A8,02_Batch_Raw!$E$6:$E$61,"&lt;="&amp;EOMONTH(A8,0))=0,"",COUNTIFS(02_Batch_Raw!$E$6:$E$61,"&gt;="&amp;A8,02_Batch_Raw!$E$6:$E$61,"&lt;="&amp;EOMONTH(A8,0)))</f>
        <v/>
      </c>
      <c r="M8" s="50" t="str">
        <f aca="false">""</f>
        <v/>
      </c>
      <c r="N8" s="65"/>
      <c r="O8" s="15" t="n">
        <f aca="false">IF(ISNUMBER(N8),N8,J8)</f>
        <v>12</v>
      </c>
      <c r="P8" s="13" t="str">
        <f aca="false">IF(ISNUMBER(N8),"실적 입력",IF(ISNUMBER(J8),"추정 생산 가능량","미확인"))</f>
        <v>추정 생산 가능량</v>
      </c>
      <c r="Q8" s="36" t="n">
        <f aca="false">IF(D8="리플럭스 적용",IF(ISNUMBER(01_Inputs!$B$36),01_Inputs!$B$36,01_Inputs!$B$32),01_Inputs!$B$32)</f>
        <v>190</v>
      </c>
      <c r="R8" s="40" t="n">
        <f aca="false">IF(ISNUMBER(O8),O8*Q8,"미확인")</f>
        <v>2280</v>
      </c>
      <c r="S8" s="40" t="n">
        <f aca="false">IF(ISNUMBER(R8),R8*IF(ISNUMBER(01_Inputs!$B$81),01_Inputs!$B$81,1),"미확인")</f>
        <v>2280</v>
      </c>
      <c r="T8" s="66" t="n">
        <f aca="false">01_Inputs!$E$93</f>
        <v>1440</v>
      </c>
      <c r="U8" s="66" t="str">
        <f aca="false">IF(ISNUMBER(01_Inputs!$E$94),01_Inputs!$E$94,"미제시")</f>
        <v>미제시</v>
      </c>
      <c r="V8" s="66" t="n">
        <f aca="false">01_Inputs!$E$95</f>
        <v>0</v>
      </c>
      <c r="W8" s="27" t="n">
        <f aca="false">SUM(T8:V8)</f>
        <v>1440</v>
      </c>
      <c r="X8" s="20" t="n">
        <f aca="false">W8/Q8</f>
        <v>7.57894736842105</v>
      </c>
      <c r="Y8" s="15" t="n">
        <f aca="false">ROUNDUP(T8/01_Inputs!$B$33,0)+IF(ISNUMBER(U8),ROUNDUP(U8/01_Inputs!$B$33,0),0)</f>
        <v>72</v>
      </c>
      <c r="Z8" s="14" t="n">
        <f aca="false">Y8*01_Inputs!$B$23</f>
        <v>144</v>
      </c>
      <c r="AA8" s="15" t="n">
        <f aca="false">ROUNDUP(V8/01_Inputs!$B$35,0)</f>
        <v>0</v>
      </c>
      <c r="AB8" s="14" t="n">
        <f aca="false">IF(AND(A8&gt;=01_Inputs!$B$51,ISNUMBER(01_Inputs!$B$29)),01_Inputs!$B$29,01_Inputs!$B$27)</f>
        <v>8</v>
      </c>
      <c r="AC8" s="13" t="str">
        <f aca="false">IF(A8&gt;=01_Inputs!$B$51,IF(ISNUMBER(01_Inputs!$B$29),"ARS","ARS (시간 미확인→수동 8 h 참고)"),"수동")</f>
        <v>수동</v>
      </c>
      <c r="AD8" s="14" t="n">
        <f aca="false">IF(01_Inputs!$B$28=1,AA8*AB8,ROUNDUP(V8/Q8,0)*AB8)</f>
        <v>0</v>
      </c>
      <c r="AE8" s="14" t="n">
        <f aca="false">IF(ISNUMBER(O8),O8*(01_Inputs!$B$14/IF(ISNUMBER(01_Inputs!$B$15),01_Inputs!$B$15,1)+01_Inputs!$B$20+01_Inputs!$B$30),"미확인")</f>
        <v>72</v>
      </c>
      <c r="AF8" s="14" t="str">
        <f aca="false">IF(ISNUMBER(01_Inputs!$B$62),01_Inputs!$B$62,"미확인")</f>
        <v>미확인</v>
      </c>
      <c r="AG8" s="14" t="str">
        <f aca="false">IF(ISNUMBER(AF8),AF8-Z8,"미확인")</f>
        <v>미확인</v>
      </c>
      <c r="AH8" s="29" t="n">
        <f aca="false">IF(ISNUMBER(S8),S8-W8,"미확인")</f>
        <v>840</v>
      </c>
      <c r="AI8" s="29" t="n">
        <f aca="false">IF(AND(ISNUMBER(AH8),ISNUMBER(AI7)),AI7+AH8,"보류")</f>
        <v>1620</v>
      </c>
      <c r="AJ8" s="29" t="str">
        <f aca="false">IF(ISNUMBER(AQ7),AQ7,"보류")</f>
        <v>보류</v>
      </c>
      <c r="AK8" s="29" t="str">
        <f aca="false">IF(AND(ISNUMBER(AJ8),ISNUMBER(S8)),AJ8+S8,"보류")</f>
        <v>보류</v>
      </c>
      <c r="AL8" s="29" t="str">
        <f aca="false">IF(ISNUMBER(AK8),MIN(AK8,T8),"보류")</f>
        <v>보류</v>
      </c>
      <c r="AM8" s="29" t="str">
        <f aca="false">IF(ISNUMBER(AK8),MIN(AK8-AL8,N(01_Inputs!$B$79)),"보류")</f>
        <v>보류</v>
      </c>
      <c r="AN8" s="29" t="str">
        <f aca="false">IF(ISNUMBER(AK8),MIN(AK8-AL8-AM8,N(U8)),"보류")</f>
        <v>보류</v>
      </c>
      <c r="AO8" s="29" t="str">
        <f aca="false">IF(ISNUMBER(AK8),MIN(AK8-AL8-AM8-AN8,V8),"보류")</f>
        <v>보류</v>
      </c>
      <c r="AP8" s="29" t="str">
        <f aca="false">IF(ISNUMBER(AK8),W8-AL8-AN8-AO8,"보류")</f>
        <v>보류</v>
      </c>
      <c r="AQ8" s="27" t="str">
        <f aca="false">IF(ISNUMBER(AK8),AK8-AL8-AN8-AO8,"보류")</f>
        <v>보류</v>
      </c>
      <c r="AR8" s="29" t="str">
        <f aca="false">IF(ISNUMBER(01_Inputs!$B$80),01_Inputs!$B$80,"미입력")</f>
        <v>미입력</v>
      </c>
      <c r="AS8" s="29" t="str">
        <f aca="false">IF(AND(ISNUMBER(AJ8),ISNUMBER(AR8)),W8+AR8-AJ8,"보류")</f>
        <v>보류</v>
      </c>
      <c r="AT8" s="29" t="str">
        <f aca="false">IF(AND(ISNUMBER(AQ8),ISNUMBER(AR8)),AQ8-AR8,"보류")</f>
        <v>보류</v>
      </c>
      <c r="AU8" s="13" t="str">
        <f aca="false">IF(ISNUMBER(AQ8),"계산 가능",IF(ISNUMBER(AH8),"부분 (재고 입력 필요)","보류 (생산 조건 미확인)"))</f>
        <v>부분 (재고 입력 필요)</v>
      </c>
      <c r="AV8" s="8" t="str">
        <f aca="false">IF(D8="리플럭스 공사",IF(ISNUMBER(01_Inputs!$B$57),"","공사 중 가용시간·"),"")&amp;IF(D8="시운전",IF(ISNUMBER(01_Inputs!$B$58),"","시운전 양품 Batch·"),"")&amp;IF(D8="리플럭스 적용",IF(ISNUMBER(01_Inputs!$B$45),"","리플럭스 정제시간·"),"")&amp;IF(AND(D8="리플럭스 적용",NOT(ISNUMBER(01_Inputs!$B$36))),"Batch량(190 유지 가정)·","")&amp;IF(ISNUMBER(N8),"","실적 Batch·")&amp;IF(ISNUMBER(F8),"","정지·보수(미반영)·")&amp;IF(ISNUMBER(01_Inputs!$B$81),"","양품률(100% 상한)·")&amp;IF(ISNUMBER(U8),"","CXMT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9" customFormat="false" ht="15" hidden="false" customHeight="false" outlineLevel="0" collapsed="false">
      <c r="A9" s="63" t="n">
        <v>46113</v>
      </c>
      <c r="B9" s="15" t="n">
        <f aca="false">YEAR(A9)</f>
        <v>2026</v>
      </c>
      <c r="C9" s="15" t="n">
        <f aca="false">DAY(EOMONTH(A9,0))</f>
        <v>30</v>
      </c>
      <c r="D9" s="8" t="str">
        <f aca="false">IF(A9&lt;01_Inputs!$B$52,"현재(103℃)",IF(A9&lt;=01_Inputs!$B$53,"리플럭스 공사",IF(A9&lt;01_Inputs!$B$55,"시운전","리플럭스 적용")))</f>
        <v>현재(103℃)</v>
      </c>
      <c r="E9" s="14" t="n">
        <f aca="false">C9*24</f>
        <v>720</v>
      </c>
      <c r="F9" s="64"/>
      <c r="G9" s="14" t="n">
        <f aca="false">IF(D9="리플럭스 공사",IF(ISNUMBER(01_Inputs!$B$57),01_Inputs!$B$57,"미확인"),IF(D9="시운전","시운전",E9-N(F9)))</f>
        <v>720</v>
      </c>
      <c r="H9" s="20" t="n">
        <f aca="false">IF(OR(D9="현재(103℃)",D9="리플럭스 공사"),03_Capacity_Model!$B$91,IF(D9="리플럭스 적용",IF(ISNUMBER(01_Inputs!$B$45),01_Inputs!$B$45+IF(ISNUMBER(01_Inputs!$B$46),01_Inputs!$B$46,03_Capacity_Model!$B$59),"미확인"),"-"))</f>
        <v>67.4716981132076</v>
      </c>
      <c r="I9" s="14" t="n">
        <f aca="false">IF(AND(ISNUMBER(K8),D8=D9),K8,0)</f>
        <v>0.905660377358231</v>
      </c>
      <c r="J9" s="43" t="n">
        <f aca="false">IF(D9="시운전",IF(ISNUMBER(01_Inputs!$B$58),01_Inputs!$B$58,"미확인"),IF(AND(ISNUMBER(G9),ISNUMBER(H9)),INT((G9+I9)/H9),"미확인"))</f>
        <v>10</v>
      </c>
      <c r="K9" s="14" t="n">
        <f aca="false">IF(AND(ISNUMBER(G9),ISNUMBER(H9),ISNUMBER(J9)),G9+I9-J9*H9,"")</f>
        <v>46.1886792452827</v>
      </c>
      <c r="L9" s="50" t="str">
        <f aca="false">IF(COUNTIFS(02_Batch_Raw!$E$6:$E$61,"&gt;="&amp;A9,02_Batch_Raw!$E$6:$E$61,"&lt;="&amp;EOMONTH(A9,0))=0,"",COUNTIFS(02_Batch_Raw!$E$6:$E$61,"&gt;="&amp;A9,02_Batch_Raw!$E$6:$E$61,"&lt;="&amp;EOMONTH(A9,0)))</f>
        <v/>
      </c>
      <c r="M9" s="50" t="str">
        <f aca="false">""</f>
        <v/>
      </c>
      <c r="N9" s="65"/>
      <c r="O9" s="15" t="n">
        <f aca="false">IF(ISNUMBER(N9),N9,J9)</f>
        <v>10</v>
      </c>
      <c r="P9" s="13" t="str">
        <f aca="false">IF(ISNUMBER(N9),"실적 입력",IF(ISNUMBER(J9),"추정 생산 가능량","미확인"))</f>
        <v>추정 생산 가능량</v>
      </c>
      <c r="Q9" s="36" t="n">
        <f aca="false">IF(D9="리플럭스 적용",IF(ISNUMBER(01_Inputs!$B$36),01_Inputs!$B$36,01_Inputs!$B$32),01_Inputs!$B$32)</f>
        <v>190</v>
      </c>
      <c r="R9" s="40" t="n">
        <f aca="false">IF(ISNUMBER(O9),O9*Q9,"미확인")</f>
        <v>1900</v>
      </c>
      <c r="S9" s="40" t="n">
        <f aca="false">IF(ISNUMBER(R9),R9*IF(ISNUMBER(01_Inputs!$B$81),01_Inputs!$B$81,1),"미확인")</f>
        <v>1900</v>
      </c>
      <c r="T9" s="66" t="n">
        <f aca="false">01_Inputs!$F$93</f>
        <v>1580</v>
      </c>
      <c r="U9" s="66" t="str">
        <f aca="false">IF(ISNUMBER(01_Inputs!$F$94),01_Inputs!$F$94,"미제시")</f>
        <v>미제시</v>
      </c>
      <c r="V9" s="66" t="n">
        <f aca="false">01_Inputs!$F$95</f>
        <v>0</v>
      </c>
      <c r="W9" s="27" t="n">
        <f aca="false">SUM(T9:V9)</f>
        <v>1580</v>
      </c>
      <c r="X9" s="20" t="n">
        <f aca="false">W9/Q9</f>
        <v>8.31578947368421</v>
      </c>
      <c r="Y9" s="15" t="n">
        <f aca="false">ROUNDUP(T9/01_Inputs!$B$33,0)+IF(ISNUMBER(U9),ROUNDUP(U9/01_Inputs!$B$33,0),0)</f>
        <v>79</v>
      </c>
      <c r="Z9" s="14" t="n">
        <f aca="false">Y9*01_Inputs!$B$23</f>
        <v>158</v>
      </c>
      <c r="AA9" s="15" t="n">
        <f aca="false">ROUNDUP(V9/01_Inputs!$B$35,0)</f>
        <v>0</v>
      </c>
      <c r="AB9" s="14" t="n">
        <f aca="false">IF(AND(A9&gt;=01_Inputs!$B$51,ISNUMBER(01_Inputs!$B$29)),01_Inputs!$B$29,01_Inputs!$B$27)</f>
        <v>8</v>
      </c>
      <c r="AC9" s="13" t="str">
        <f aca="false">IF(A9&gt;=01_Inputs!$B$51,IF(ISNUMBER(01_Inputs!$B$29),"ARS","ARS (시간 미확인→수동 8 h 참고)"),"수동")</f>
        <v>수동</v>
      </c>
      <c r="AD9" s="14" t="n">
        <f aca="false">IF(01_Inputs!$B$28=1,AA9*AB9,ROUNDUP(V9/Q9,0)*AB9)</f>
        <v>0</v>
      </c>
      <c r="AE9" s="14" t="n">
        <f aca="false">IF(ISNUMBER(O9),O9*(01_Inputs!$B$14/IF(ISNUMBER(01_Inputs!$B$15),01_Inputs!$B$15,1)+01_Inputs!$B$20+01_Inputs!$B$30),"미확인")</f>
        <v>60</v>
      </c>
      <c r="AF9" s="14" t="str">
        <f aca="false">IF(ISNUMBER(01_Inputs!$B$62),01_Inputs!$B$62,"미확인")</f>
        <v>미확인</v>
      </c>
      <c r="AG9" s="14" t="str">
        <f aca="false">IF(ISNUMBER(AF9),AF9-Z9,"미확인")</f>
        <v>미확인</v>
      </c>
      <c r="AH9" s="29" t="n">
        <f aca="false">IF(ISNUMBER(S9),S9-W9,"미확인")</f>
        <v>320</v>
      </c>
      <c r="AI9" s="29" t="n">
        <f aca="false">IF(AND(ISNUMBER(AH9),ISNUMBER(AI8)),AI8+AH9,"보류")</f>
        <v>1940</v>
      </c>
      <c r="AJ9" s="29" t="str">
        <f aca="false">IF(ISNUMBER(AQ8),AQ8,"보류")</f>
        <v>보류</v>
      </c>
      <c r="AK9" s="29" t="str">
        <f aca="false">IF(AND(ISNUMBER(AJ9),ISNUMBER(S9)),AJ9+S9,"보류")</f>
        <v>보류</v>
      </c>
      <c r="AL9" s="29" t="str">
        <f aca="false">IF(ISNUMBER(AK9),MIN(AK9,T9),"보류")</f>
        <v>보류</v>
      </c>
      <c r="AM9" s="29" t="str">
        <f aca="false">IF(ISNUMBER(AK9),MIN(AK9-AL9,N(01_Inputs!$B$79)),"보류")</f>
        <v>보류</v>
      </c>
      <c r="AN9" s="29" t="str">
        <f aca="false">IF(ISNUMBER(AK9),MIN(AK9-AL9-AM9,N(U9)),"보류")</f>
        <v>보류</v>
      </c>
      <c r="AO9" s="29" t="str">
        <f aca="false">IF(ISNUMBER(AK9),MIN(AK9-AL9-AM9-AN9,V9),"보류")</f>
        <v>보류</v>
      </c>
      <c r="AP9" s="29" t="str">
        <f aca="false">IF(ISNUMBER(AK9),W9-AL9-AN9-AO9,"보류")</f>
        <v>보류</v>
      </c>
      <c r="AQ9" s="27" t="str">
        <f aca="false">IF(ISNUMBER(AK9),AK9-AL9-AN9-AO9,"보류")</f>
        <v>보류</v>
      </c>
      <c r="AR9" s="29" t="str">
        <f aca="false">IF(ISNUMBER(01_Inputs!$B$80),01_Inputs!$B$80,"미입력")</f>
        <v>미입력</v>
      </c>
      <c r="AS9" s="29" t="str">
        <f aca="false">IF(AND(ISNUMBER(AJ9),ISNUMBER(AR9)),W9+AR9-AJ9,"보류")</f>
        <v>보류</v>
      </c>
      <c r="AT9" s="29" t="str">
        <f aca="false">IF(AND(ISNUMBER(AQ9),ISNUMBER(AR9)),AQ9-AR9,"보류")</f>
        <v>보류</v>
      </c>
      <c r="AU9" s="13" t="str">
        <f aca="false">IF(ISNUMBER(AQ9),"계산 가능",IF(ISNUMBER(AH9),"부분 (재고 입력 필요)","보류 (생산 조건 미확인)"))</f>
        <v>부분 (재고 입력 필요)</v>
      </c>
      <c r="AV9" s="8" t="str">
        <f aca="false">IF(D9="리플럭스 공사",IF(ISNUMBER(01_Inputs!$B$57),"","공사 중 가용시간·"),"")&amp;IF(D9="시운전",IF(ISNUMBER(01_Inputs!$B$58),"","시운전 양품 Batch·"),"")&amp;IF(D9="리플럭스 적용",IF(ISNUMBER(01_Inputs!$B$45),"","리플럭스 정제시간·"),"")&amp;IF(AND(D9="리플럭스 적용",NOT(ISNUMBER(01_Inputs!$B$36))),"Batch량(190 유지 가정)·","")&amp;IF(ISNUMBER(N9),"","실적 Batch·")&amp;IF(ISNUMBER(F9),"","정지·보수(미반영)·")&amp;IF(ISNUMBER(01_Inputs!$B$81),"","양품률(100% 상한)·")&amp;IF(ISNUMBER(U9),"","CXMT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0" customFormat="false" ht="15" hidden="false" customHeight="false" outlineLevel="0" collapsed="false">
      <c r="A10" s="63" t="n">
        <v>46143</v>
      </c>
      <c r="B10" s="15" t="n">
        <f aca="false">YEAR(A10)</f>
        <v>2026</v>
      </c>
      <c r="C10" s="15" t="n">
        <f aca="false">DAY(EOMONTH(A10,0))</f>
        <v>31</v>
      </c>
      <c r="D10" s="8" t="str">
        <f aca="false">IF(A10&lt;01_Inputs!$B$52,"현재(103℃)",IF(A10&lt;=01_Inputs!$B$53,"리플럭스 공사",IF(A10&lt;01_Inputs!$B$55,"시운전","리플럭스 적용")))</f>
        <v>현재(103℃)</v>
      </c>
      <c r="E10" s="14" t="n">
        <f aca="false">C10*24</f>
        <v>744</v>
      </c>
      <c r="F10" s="64"/>
      <c r="G10" s="14" t="n">
        <f aca="false">IF(D10="리플럭스 공사",IF(ISNUMBER(01_Inputs!$B$57),01_Inputs!$B$57,"미확인"),IF(D10="시운전","시운전",E10-N(F10)))</f>
        <v>744</v>
      </c>
      <c r="H10" s="20" t="n">
        <f aca="false">IF(OR(D10="현재(103℃)",D10="리플럭스 공사"),03_Capacity_Model!$B$91,IF(D10="리플럭스 적용",IF(ISNUMBER(01_Inputs!$B$45),01_Inputs!$B$45+IF(ISNUMBER(01_Inputs!$B$46),01_Inputs!$B$46,03_Capacity_Model!$B$59),"미확인"),"-"))</f>
        <v>67.4716981132076</v>
      </c>
      <c r="I10" s="14" t="n">
        <f aca="false">IF(AND(ISNUMBER(K9),D9=D10),K9,0)</f>
        <v>46.1886792452827</v>
      </c>
      <c r="J10" s="43" t="n">
        <f aca="false">IF(D10="시운전",IF(ISNUMBER(01_Inputs!$B$58),01_Inputs!$B$58,"미확인"),IF(AND(ISNUMBER(G10),ISNUMBER(H10)),INT((G10+I10)/H10),"미확인"))</f>
        <v>11</v>
      </c>
      <c r="K10" s="14" t="n">
        <f aca="false">IF(AND(ISNUMBER(G10),ISNUMBER(H10),ISNUMBER(J10)),G10+I10-J10*H10,"")</f>
        <v>47.9999999999997</v>
      </c>
      <c r="L10" s="50" t="n">
        <f aca="false">IF(COUNTIFS(02_Batch_Raw!$E$6:$E$61,"&gt;="&amp;A10,02_Batch_Raw!$E$6:$E$61,"&lt;="&amp;EOMONTH(A10,0))=0,"",COUNTIFS(02_Batch_Raw!$E$6:$E$61,"&gt;="&amp;A10,02_Batch_Raw!$E$6:$E$61,"&lt;="&amp;EOMONTH(A10,0)))</f>
        <v>2</v>
      </c>
      <c r="M10" s="50" t="str">
        <f aca="false">IF(ISNUMBER(02_Batch_Raw!$D$65),02_Batch_Raw!$D$65,"")</f>
        <v/>
      </c>
      <c r="N10" s="65"/>
      <c r="O10" s="15" t="n">
        <f aca="false">IF(ISNUMBER(N10),N10,J10)</f>
        <v>11</v>
      </c>
      <c r="P10" s="13" t="str">
        <f aca="false">IF(ISNUMBER(N10),"실적 입력",IF(ISNUMBER(J10),"추정 생산 가능량","미확인"))</f>
        <v>추정 생산 가능량</v>
      </c>
      <c r="Q10" s="36" t="n">
        <f aca="false">IF(D10="리플럭스 적용",IF(ISNUMBER(01_Inputs!$B$36),01_Inputs!$B$36,01_Inputs!$B$32),01_Inputs!$B$32)</f>
        <v>190</v>
      </c>
      <c r="R10" s="40" t="n">
        <f aca="false">IF(ISNUMBER(O10),O10*Q10,"미확인")</f>
        <v>2090</v>
      </c>
      <c r="S10" s="40" t="n">
        <f aca="false">IF(ISNUMBER(R10),R10*IF(ISNUMBER(01_Inputs!$B$81),01_Inputs!$B$81,1),"미확인")</f>
        <v>2090</v>
      </c>
      <c r="T10" s="66" t="n">
        <f aca="false">01_Inputs!$G$93</f>
        <v>1200</v>
      </c>
      <c r="U10" s="66" t="str">
        <f aca="false">IF(ISNUMBER(01_Inputs!$G$94),01_Inputs!$G$94,"미제시")</f>
        <v>미제시</v>
      </c>
      <c r="V10" s="66" t="n">
        <f aca="false">01_Inputs!$G$95</f>
        <v>0</v>
      </c>
      <c r="W10" s="27" t="n">
        <f aca="false">SUM(T10:V10)</f>
        <v>1200</v>
      </c>
      <c r="X10" s="20" t="n">
        <f aca="false">W10/Q10</f>
        <v>6.31578947368421</v>
      </c>
      <c r="Y10" s="15" t="n">
        <f aca="false">ROUNDUP(T10/01_Inputs!$B$33,0)+IF(ISNUMBER(U10),ROUNDUP(U10/01_Inputs!$B$33,0),0)</f>
        <v>60</v>
      </c>
      <c r="Z10" s="14" t="n">
        <f aca="false">Y10*01_Inputs!$B$23</f>
        <v>120</v>
      </c>
      <c r="AA10" s="15" t="n">
        <f aca="false">ROUNDUP(V10/01_Inputs!$B$35,0)</f>
        <v>0</v>
      </c>
      <c r="AB10" s="14" t="n">
        <f aca="false">IF(AND(A10&gt;=01_Inputs!$B$51,ISNUMBER(01_Inputs!$B$29)),01_Inputs!$B$29,01_Inputs!$B$27)</f>
        <v>8</v>
      </c>
      <c r="AC10" s="13" t="str">
        <f aca="false">IF(A10&gt;=01_Inputs!$B$51,IF(ISNUMBER(01_Inputs!$B$29),"ARS","ARS (시간 미확인→수동 8 h 참고)"),"수동")</f>
        <v>수동</v>
      </c>
      <c r="AD10" s="14" t="n">
        <f aca="false">IF(01_Inputs!$B$28=1,AA10*AB10,ROUNDUP(V10/Q10,0)*AB10)</f>
        <v>0</v>
      </c>
      <c r="AE10" s="14" t="n">
        <f aca="false">IF(ISNUMBER(O10),O10*(01_Inputs!$B$14/IF(ISNUMBER(01_Inputs!$B$15),01_Inputs!$B$15,1)+01_Inputs!$B$20+01_Inputs!$B$30),"미확인")</f>
        <v>66</v>
      </c>
      <c r="AF10" s="14" t="str">
        <f aca="false">IF(ISNUMBER(01_Inputs!$B$62),01_Inputs!$B$62,"미확인")</f>
        <v>미확인</v>
      </c>
      <c r="AG10" s="14" t="str">
        <f aca="false">IF(ISNUMBER(AF10),AF10-Z10,"미확인")</f>
        <v>미확인</v>
      </c>
      <c r="AH10" s="29" t="n">
        <f aca="false">IF(ISNUMBER(S10),S10-W10,"미확인")</f>
        <v>890</v>
      </c>
      <c r="AI10" s="29" t="n">
        <f aca="false">IF(AND(ISNUMBER(AH10),ISNUMBER(AI9)),AI9+AH10,"보류")</f>
        <v>2830</v>
      </c>
      <c r="AJ10" s="29" t="str">
        <f aca="false">IF(ISNUMBER(AQ9),AQ9,"보류")</f>
        <v>보류</v>
      </c>
      <c r="AK10" s="29" t="str">
        <f aca="false">IF(AND(ISNUMBER(AJ10),ISNUMBER(S10)),AJ10+S10,"보류")</f>
        <v>보류</v>
      </c>
      <c r="AL10" s="29" t="str">
        <f aca="false">IF(ISNUMBER(AK10),MIN(AK10,T10),"보류")</f>
        <v>보류</v>
      </c>
      <c r="AM10" s="29" t="str">
        <f aca="false">IF(ISNUMBER(AK10),MIN(AK10-AL10,N(01_Inputs!$B$79)),"보류")</f>
        <v>보류</v>
      </c>
      <c r="AN10" s="29" t="str">
        <f aca="false">IF(ISNUMBER(AK10),MIN(AK10-AL10-AM10,N(U10)),"보류")</f>
        <v>보류</v>
      </c>
      <c r="AO10" s="29" t="str">
        <f aca="false">IF(ISNUMBER(AK10),MIN(AK10-AL10-AM10-AN10,V10),"보류")</f>
        <v>보류</v>
      </c>
      <c r="AP10" s="29" t="str">
        <f aca="false">IF(ISNUMBER(AK10),W10-AL10-AN10-AO10,"보류")</f>
        <v>보류</v>
      </c>
      <c r="AQ10" s="27" t="str">
        <f aca="false">IF(ISNUMBER(AK10),AK10-AL10-AN10-AO10,"보류")</f>
        <v>보류</v>
      </c>
      <c r="AR10" s="29" t="str">
        <f aca="false">IF(ISNUMBER(01_Inputs!$B$80),01_Inputs!$B$80,"미입력")</f>
        <v>미입력</v>
      </c>
      <c r="AS10" s="29" t="str">
        <f aca="false">IF(AND(ISNUMBER(AJ10),ISNUMBER(AR10)),W10+AR10-AJ10,"보류")</f>
        <v>보류</v>
      </c>
      <c r="AT10" s="29" t="str">
        <f aca="false">IF(AND(ISNUMBER(AQ10),ISNUMBER(AR10)),AQ10-AR10,"보류")</f>
        <v>보류</v>
      </c>
      <c r="AU10" s="13" t="str">
        <f aca="false">IF(ISNUMBER(AQ10),"계산 가능",IF(ISNUMBER(AH10),"부분 (재고 입력 필요)","보류 (생산 조건 미확인)"))</f>
        <v>부분 (재고 입력 필요)</v>
      </c>
      <c r="AV10" s="8" t="str">
        <f aca="false">IF(D10="리플럭스 공사",IF(ISNUMBER(01_Inputs!$B$57),"","공사 중 가용시간·"),"")&amp;IF(D10="시운전",IF(ISNUMBER(01_Inputs!$B$58),"","시운전 양품 Batch·"),"")&amp;IF(D10="리플럭스 적용",IF(ISNUMBER(01_Inputs!$B$45),"","리플럭스 정제시간·"),"")&amp;IF(AND(D10="리플럭스 적용",NOT(ISNUMBER(01_Inputs!$B$36))),"Batch량(190 유지 가정)·","")&amp;IF(ISNUMBER(N10),"","실적 Batch·")&amp;IF(ISNUMBER(F10),"","정지·보수(미반영)·")&amp;IF(ISNUMBER(01_Inputs!$B$81),"","양품률(100% 상한)·")&amp;IF(ISNUMBER(U10),"","CXMT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1" customFormat="false" ht="15" hidden="false" customHeight="false" outlineLevel="0" collapsed="false">
      <c r="A11" s="63" t="n">
        <v>46174</v>
      </c>
      <c r="B11" s="15" t="n">
        <f aca="false">YEAR(A11)</f>
        <v>2026</v>
      </c>
      <c r="C11" s="15" t="n">
        <f aca="false">DAY(EOMONTH(A11,0))</f>
        <v>30</v>
      </c>
      <c r="D11" s="8" t="str">
        <f aca="false">IF(A11&lt;01_Inputs!$B$52,"현재(103℃)",IF(A11&lt;=01_Inputs!$B$53,"리플럭스 공사",IF(A11&lt;01_Inputs!$B$55,"시운전","리플럭스 적용")))</f>
        <v>현재(103℃)</v>
      </c>
      <c r="E11" s="14" t="n">
        <f aca="false">C11*24</f>
        <v>720</v>
      </c>
      <c r="F11" s="64"/>
      <c r="G11" s="14" t="n">
        <f aca="false">IF(D11="리플럭스 공사",IF(ISNUMBER(01_Inputs!$B$57),01_Inputs!$B$57,"미확인"),IF(D11="시운전","시운전",E11-N(F11)))</f>
        <v>720</v>
      </c>
      <c r="H11" s="20" t="n">
        <f aca="false">IF(OR(D11="현재(103℃)",D11="리플럭스 공사"),03_Capacity_Model!$B$91,IF(D11="리플럭스 적용",IF(ISNUMBER(01_Inputs!$B$45),01_Inputs!$B$45+IF(ISNUMBER(01_Inputs!$B$46),01_Inputs!$B$46,03_Capacity_Model!$B$59),"미확인"),"-"))</f>
        <v>67.4716981132076</v>
      </c>
      <c r="I11" s="14" t="n">
        <f aca="false">IF(AND(ISNUMBER(K10),D10=D11),K10,0)</f>
        <v>47.9999999999997</v>
      </c>
      <c r="J11" s="43" t="n">
        <f aca="false">IF(D11="시운전",IF(ISNUMBER(01_Inputs!$B$58),01_Inputs!$B$58,"미확인"),IF(AND(ISNUMBER(G11),ISNUMBER(H11)),INT((G11+I11)/H11),"미확인"))</f>
        <v>11</v>
      </c>
      <c r="K11" s="14" t="n">
        <f aca="false">IF(AND(ISNUMBER(G11),ISNUMBER(H11),ISNUMBER(J11)),G11+I11-J11*H11,"")</f>
        <v>25.8113207547166</v>
      </c>
      <c r="L11" s="50" t="n">
        <f aca="false">IF(COUNTIFS(02_Batch_Raw!$E$6:$E$61,"&gt;="&amp;A11,02_Batch_Raw!$E$6:$E$61,"&lt;="&amp;EOMONTH(A11,0))=0,"",COUNTIFS(02_Batch_Raw!$E$6:$E$61,"&gt;="&amp;A11,02_Batch_Raw!$E$6:$E$61,"&lt;="&amp;EOMONTH(A11,0)))</f>
        <v>11</v>
      </c>
      <c r="M11" s="50" t="n">
        <f aca="false">IF(ISNUMBER(02_Batch_Raw!$D$66),02_Batch_Raw!$D$66,"")</f>
        <v>8</v>
      </c>
      <c r="N11" s="65"/>
      <c r="O11" s="15" t="n">
        <f aca="false">IF(ISNUMBER(N11),N11,J11)</f>
        <v>11</v>
      </c>
      <c r="P11" s="13" t="str">
        <f aca="false">IF(ISNUMBER(N11),"실적 입력",IF(ISNUMBER(J11),"추정 생산 가능량","미확인"))</f>
        <v>추정 생산 가능량</v>
      </c>
      <c r="Q11" s="36" t="n">
        <f aca="false">IF(D11="리플럭스 적용",IF(ISNUMBER(01_Inputs!$B$36),01_Inputs!$B$36,01_Inputs!$B$32),01_Inputs!$B$32)</f>
        <v>190</v>
      </c>
      <c r="R11" s="40" t="n">
        <f aca="false">IF(ISNUMBER(O11),O11*Q11,"미확인")</f>
        <v>2090</v>
      </c>
      <c r="S11" s="40" t="n">
        <f aca="false">IF(ISNUMBER(R11),R11*IF(ISNUMBER(01_Inputs!$B$81),01_Inputs!$B$81,1),"미확인")</f>
        <v>2090</v>
      </c>
      <c r="T11" s="66" t="n">
        <f aca="false">01_Inputs!$H$93</f>
        <v>1200</v>
      </c>
      <c r="U11" s="66" t="str">
        <f aca="false">IF(ISNUMBER(01_Inputs!$H$94),01_Inputs!$H$94,"미제시")</f>
        <v>미제시</v>
      </c>
      <c r="V11" s="66" t="n">
        <f aca="false">01_Inputs!$H$95</f>
        <v>0</v>
      </c>
      <c r="W11" s="27" t="n">
        <f aca="false">SUM(T11:V11)</f>
        <v>1200</v>
      </c>
      <c r="X11" s="20" t="n">
        <f aca="false">W11/Q11</f>
        <v>6.31578947368421</v>
      </c>
      <c r="Y11" s="15" t="n">
        <f aca="false">ROUNDUP(T11/01_Inputs!$B$33,0)+IF(ISNUMBER(U11),ROUNDUP(U11/01_Inputs!$B$33,0),0)</f>
        <v>60</v>
      </c>
      <c r="Z11" s="14" t="n">
        <f aca="false">Y11*01_Inputs!$B$23</f>
        <v>120</v>
      </c>
      <c r="AA11" s="15" t="n">
        <f aca="false">ROUNDUP(V11/01_Inputs!$B$35,0)</f>
        <v>0</v>
      </c>
      <c r="AB11" s="14" t="n">
        <f aca="false">IF(AND(A11&gt;=01_Inputs!$B$51,ISNUMBER(01_Inputs!$B$29)),01_Inputs!$B$29,01_Inputs!$B$27)</f>
        <v>8</v>
      </c>
      <c r="AC11" s="13" t="str">
        <f aca="false">IF(A11&gt;=01_Inputs!$B$51,IF(ISNUMBER(01_Inputs!$B$29),"ARS","ARS (시간 미확인→수동 8 h 참고)"),"수동")</f>
        <v>수동</v>
      </c>
      <c r="AD11" s="14" t="n">
        <f aca="false">IF(01_Inputs!$B$28=1,AA11*AB11,ROUNDUP(V11/Q11,0)*AB11)</f>
        <v>0</v>
      </c>
      <c r="AE11" s="14" t="n">
        <f aca="false">IF(ISNUMBER(O11),O11*(01_Inputs!$B$14/IF(ISNUMBER(01_Inputs!$B$15),01_Inputs!$B$15,1)+01_Inputs!$B$20+01_Inputs!$B$30),"미확인")</f>
        <v>66</v>
      </c>
      <c r="AF11" s="14" t="str">
        <f aca="false">IF(ISNUMBER(01_Inputs!$B$62),01_Inputs!$B$62,"미확인")</f>
        <v>미확인</v>
      </c>
      <c r="AG11" s="14" t="str">
        <f aca="false">IF(ISNUMBER(AF11),AF11-Z11,"미확인")</f>
        <v>미확인</v>
      </c>
      <c r="AH11" s="29" t="n">
        <f aca="false">IF(ISNUMBER(S11),S11-W11,"미확인")</f>
        <v>890</v>
      </c>
      <c r="AI11" s="29" t="n">
        <f aca="false">IF(AND(ISNUMBER(AH11),ISNUMBER(AI10)),AI10+AH11,"보류")</f>
        <v>3720</v>
      </c>
      <c r="AJ11" s="29" t="str">
        <f aca="false">IF(ISNUMBER(AQ10),AQ10,"보류")</f>
        <v>보류</v>
      </c>
      <c r="AK11" s="29" t="str">
        <f aca="false">IF(AND(ISNUMBER(AJ11),ISNUMBER(S11)),AJ11+S11,"보류")</f>
        <v>보류</v>
      </c>
      <c r="AL11" s="29" t="str">
        <f aca="false">IF(ISNUMBER(AK11),MIN(AK11,T11),"보류")</f>
        <v>보류</v>
      </c>
      <c r="AM11" s="29" t="str">
        <f aca="false">IF(ISNUMBER(AK11),MIN(AK11-AL11,N(01_Inputs!$B$79)),"보류")</f>
        <v>보류</v>
      </c>
      <c r="AN11" s="29" t="str">
        <f aca="false">IF(ISNUMBER(AK11),MIN(AK11-AL11-AM11,N(U11)),"보류")</f>
        <v>보류</v>
      </c>
      <c r="AO11" s="29" t="str">
        <f aca="false">IF(ISNUMBER(AK11),MIN(AK11-AL11-AM11-AN11,V11),"보류")</f>
        <v>보류</v>
      </c>
      <c r="AP11" s="29" t="str">
        <f aca="false">IF(ISNUMBER(AK11),W11-AL11-AN11-AO11,"보류")</f>
        <v>보류</v>
      </c>
      <c r="AQ11" s="27" t="str">
        <f aca="false">IF(ISNUMBER(AK11),AK11-AL11-AN11-AO11,"보류")</f>
        <v>보류</v>
      </c>
      <c r="AR11" s="29" t="str">
        <f aca="false">IF(ISNUMBER(01_Inputs!$B$80),01_Inputs!$B$80,"미입력")</f>
        <v>미입력</v>
      </c>
      <c r="AS11" s="29" t="str">
        <f aca="false">IF(AND(ISNUMBER(AJ11),ISNUMBER(AR11)),W11+AR11-AJ11,"보류")</f>
        <v>보류</v>
      </c>
      <c r="AT11" s="29" t="str">
        <f aca="false">IF(AND(ISNUMBER(AQ11),ISNUMBER(AR11)),AQ11-AR11,"보류")</f>
        <v>보류</v>
      </c>
      <c r="AU11" s="13" t="str">
        <f aca="false">IF(ISNUMBER(AQ11),"계산 가능",IF(ISNUMBER(AH11),"부분 (재고 입력 필요)","보류 (생산 조건 미확인)"))</f>
        <v>부분 (재고 입력 필요)</v>
      </c>
      <c r="AV11" s="8" t="str">
        <f aca="false">IF(D11="리플럭스 공사",IF(ISNUMBER(01_Inputs!$B$57),"","공사 중 가용시간·"),"")&amp;IF(D11="시운전",IF(ISNUMBER(01_Inputs!$B$58),"","시운전 양품 Batch·"),"")&amp;IF(D11="리플럭스 적용",IF(ISNUMBER(01_Inputs!$B$45),"","리플럭스 정제시간·"),"")&amp;IF(AND(D11="리플럭스 적용",NOT(ISNUMBER(01_Inputs!$B$36))),"Batch량(190 유지 가정)·","")&amp;IF(ISNUMBER(N11),"","실적 Batch·")&amp;IF(ISNUMBER(F11),"","정지·보수(미반영)·")&amp;IF(ISNUMBER(01_Inputs!$B$81),"","양품률(100% 상한)·")&amp;IF(ISNUMBER(U11),"","CXMT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2" customFormat="false" ht="15" hidden="false" customHeight="false" outlineLevel="0" collapsed="false">
      <c r="A12" s="63" t="n">
        <v>46204</v>
      </c>
      <c r="B12" s="15" t="n">
        <f aca="false">YEAR(A12)</f>
        <v>2026</v>
      </c>
      <c r="C12" s="15" t="n">
        <f aca="false">DAY(EOMONTH(A12,0))</f>
        <v>31</v>
      </c>
      <c r="D12" s="8" t="str">
        <f aca="false">IF(A12&lt;01_Inputs!$B$52,"현재(103℃)",IF(A12&lt;=01_Inputs!$B$53,"리플럭스 공사",IF(A12&lt;01_Inputs!$B$55,"시운전","리플럭스 적용")))</f>
        <v>현재(103℃)</v>
      </c>
      <c r="E12" s="14" t="n">
        <f aca="false">C12*24</f>
        <v>744</v>
      </c>
      <c r="F12" s="64"/>
      <c r="G12" s="14" t="n">
        <f aca="false">IF(D12="리플럭스 공사",IF(ISNUMBER(01_Inputs!$B$57),01_Inputs!$B$57,"미확인"),IF(D12="시운전","시운전",E12-N(F12)))</f>
        <v>744</v>
      </c>
      <c r="H12" s="20" t="n">
        <f aca="false">IF(OR(D12="현재(103℃)",D12="리플럭스 공사"),03_Capacity_Model!$B$91,IF(D12="리플럭스 적용",IF(ISNUMBER(01_Inputs!$B$45),01_Inputs!$B$45+IF(ISNUMBER(01_Inputs!$B$46),01_Inputs!$B$46,03_Capacity_Model!$B$59),"미확인"),"-"))</f>
        <v>67.4716981132076</v>
      </c>
      <c r="I12" s="14" t="n">
        <f aca="false">IF(AND(ISNUMBER(K11),D11=D12),K11,0)</f>
        <v>25.8113207547166</v>
      </c>
      <c r="J12" s="43" t="n">
        <f aca="false">IF(D12="시운전",IF(ISNUMBER(01_Inputs!$B$58),01_Inputs!$B$58,"미확인"),IF(AND(ISNUMBER(G12),ISNUMBER(H12)),INT((G12+I12)/H12),"미확인"))</f>
        <v>11</v>
      </c>
      <c r="K12" s="14" t="n">
        <f aca="false">IF(AND(ISNUMBER(G12),ISNUMBER(H12),ISNUMBER(J12)),G12+I12-J12*H12,"")</f>
        <v>27.6226415094335</v>
      </c>
      <c r="L12" s="50" t="n">
        <f aca="false">IF(COUNTIFS(02_Batch_Raw!$E$6:$E$61,"&gt;="&amp;A12,02_Batch_Raw!$E$6:$E$61,"&lt;="&amp;EOMONTH(A12,0))=0,"",COUNTIFS(02_Batch_Raw!$E$6:$E$61,"&gt;="&amp;A12,02_Batch_Raw!$E$6:$E$61,"&lt;="&amp;EOMONTH(A12,0)))</f>
        <v>11</v>
      </c>
      <c r="M12" s="50" t="n">
        <f aca="false">IF(ISNUMBER(02_Batch_Raw!$D$67),02_Batch_Raw!$D$67,"")</f>
        <v>11</v>
      </c>
      <c r="N12" s="65"/>
      <c r="O12" s="15" t="n">
        <f aca="false">IF(ISNUMBER(N12),N12,J12)</f>
        <v>11</v>
      </c>
      <c r="P12" s="13" t="str">
        <f aca="false">IF(ISNUMBER(N12),"실적 입력",IF(ISNUMBER(J12),"추정 생산 가능량","미확인"))</f>
        <v>추정 생산 가능량</v>
      </c>
      <c r="Q12" s="36" t="n">
        <f aca="false">IF(D12="리플럭스 적용",IF(ISNUMBER(01_Inputs!$B$36),01_Inputs!$B$36,01_Inputs!$B$32),01_Inputs!$B$32)</f>
        <v>190</v>
      </c>
      <c r="R12" s="40" t="n">
        <f aca="false">IF(ISNUMBER(O12),O12*Q12,"미확인")</f>
        <v>2090</v>
      </c>
      <c r="S12" s="40" t="n">
        <f aca="false">IF(ISNUMBER(R12),R12*IF(ISNUMBER(01_Inputs!$B$81),01_Inputs!$B$81,1),"미확인")</f>
        <v>2090</v>
      </c>
      <c r="T12" s="66" t="n">
        <f aca="false">01_Inputs!$I$93</f>
        <v>1360</v>
      </c>
      <c r="U12" s="66" t="str">
        <f aca="false">IF(ISNUMBER(01_Inputs!$I$94),01_Inputs!$I$94,"미제시")</f>
        <v>미제시</v>
      </c>
      <c r="V12" s="66" t="n">
        <f aca="false">01_Inputs!$I$95</f>
        <v>0</v>
      </c>
      <c r="W12" s="27" t="n">
        <f aca="false">SUM(T12:V12)</f>
        <v>1360</v>
      </c>
      <c r="X12" s="20" t="n">
        <f aca="false">W12/Q12</f>
        <v>7.15789473684211</v>
      </c>
      <c r="Y12" s="15" t="n">
        <f aca="false">ROUNDUP(T12/01_Inputs!$B$33,0)+IF(ISNUMBER(U12),ROUNDUP(U12/01_Inputs!$B$33,0),0)</f>
        <v>68</v>
      </c>
      <c r="Z12" s="14" t="n">
        <f aca="false">Y12*01_Inputs!$B$23</f>
        <v>136</v>
      </c>
      <c r="AA12" s="15" t="n">
        <f aca="false">ROUNDUP(V12/01_Inputs!$B$35,0)</f>
        <v>0</v>
      </c>
      <c r="AB12" s="14" t="n">
        <f aca="false">IF(AND(A12&gt;=01_Inputs!$B$51,ISNUMBER(01_Inputs!$B$29)),01_Inputs!$B$29,01_Inputs!$B$27)</f>
        <v>8</v>
      </c>
      <c r="AC12" s="13" t="str">
        <f aca="false">IF(A12&gt;=01_Inputs!$B$51,IF(ISNUMBER(01_Inputs!$B$29),"ARS","ARS (시간 미확인→수동 8 h 참고)"),"수동")</f>
        <v>수동</v>
      </c>
      <c r="AD12" s="14" t="n">
        <f aca="false">IF(01_Inputs!$B$28=1,AA12*AB12,ROUNDUP(V12/Q12,0)*AB12)</f>
        <v>0</v>
      </c>
      <c r="AE12" s="14" t="n">
        <f aca="false">IF(ISNUMBER(O12),O12*(01_Inputs!$B$14/IF(ISNUMBER(01_Inputs!$B$15),01_Inputs!$B$15,1)+01_Inputs!$B$20+01_Inputs!$B$30),"미확인")</f>
        <v>66</v>
      </c>
      <c r="AF12" s="14" t="str">
        <f aca="false">IF(ISNUMBER(01_Inputs!$B$62),01_Inputs!$B$62,"미확인")</f>
        <v>미확인</v>
      </c>
      <c r="AG12" s="14" t="str">
        <f aca="false">IF(ISNUMBER(AF12),AF12-Z12,"미확인")</f>
        <v>미확인</v>
      </c>
      <c r="AH12" s="29" t="n">
        <f aca="false">IF(ISNUMBER(S12),S12-W12,"미확인")</f>
        <v>730</v>
      </c>
      <c r="AI12" s="29" t="n">
        <f aca="false">IF(AND(ISNUMBER(AH12),ISNUMBER(AI11)),AI11+AH12,"보류")</f>
        <v>4450</v>
      </c>
      <c r="AJ12" s="29" t="str">
        <f aca="false">IF(ISNUMBER(AQ11),AQ11,"보류")</f>
        <v>보류</v>
      </c>
      <c r="AK12" s="29" t="str">
        <f aca="false">IF(AND(ISNUMBER(AJ12),ISNUMBER(S12)),AJ12+S12,"보류")</f>
        <v>보류</v>
      </c>
      <c r="AL12" s="29" t="str">
        <f aca="false">IF(ISNUMBER(AK12),MIN(AK12,T12),"보류")</f>
        <v>보류</v>
      </c>
      <c r="AM12" s="29" t="str">
        <f aca="false">IF(ISNUMBER(AK12),MIN(AK12-AL12,N(01_Inputs!$B$79)),"보류")</f>
        <v>보류</v>
      </c>
      <c r="AN12" s="29" t="str">
        <f aca="false">IF(ISNUMBER(AK12),MIN(AK12-AL12-AM12,N(U12)),"보류")</f>
        <v>보류</v>
      </c>
      <c r="AO12" s="29" t="str">
        <f aca="false">IF(ISNUMBER(AK12),MIN(AK12-AL12-AM12-AN12,V12),"보류")</f>
        <v>보류</v>
      </c>
      <c r="AP12" s="29" t="str">
        <f aca="false">IF(ISNUMBER(AK12),W12-AL12-AN12-AO12,"보류")</f>
        <v>보류</v>
      </c>
      <c r="AQ12" s="27" t="str">
        <f aca="false">IF(ISNUMBER(AK12),AK12-AL12-AN12-AO12,"보류")</f>
        <v>보류</v>
      </c>
      <c r="AR12" s="29" t="str">
        <f aca="false">IF(ISNUMBER(01_Inputs!$B$80),01_Inputs!$B$80,"미입력")</f>
        <v>미입력</v>
      </c>
      <c r="AS12" s="29" t="str">
        <f aca="false">IF(AND(ISNUMBER(AJ12),ISNUMBER(AR12)),W12+AR12-AJ12,"보류")</f>
        <v>보류</v>
      </c>
      <c r="AT12" s="29" t="str">
        <f aca="false">IF(AND(ISNUMBER(AQ12),ISNUMBER(AR12)),AQ12-AR12,"보류")</f>
        <v>보류</v>
      </c>
      <c r="AU12" s="13" t="str">
        <f aca="false">IF(ISNUMBER(AQ12),"계산 가능",IF(ISNUMBER(AH12),"부분 (재고 입력 필요)","보류 (생산 조건 미확인)"))</f>
        <v>부분 (재고 입력 필요)</v>
      </c>
      <c r="AV12" s="8" t="str">
        <f aca="false">IF(D12="리플럭스 공사",IF(ISNUMBER(01_Inputs!$B$57),"","공사 중 가용시간·"),"")&amp;IF(D12="시운전",IF(ISNUMBER(01_Inputs!$B$58),"","시운전 양품 Batch·"),"")&amp;IF(D12="리플럭스 적용",IF(ISNUMBER(01_Inputs!$B$45),"","리플럭스 정제시간·"),"")&amp;IF(AND(D12="리플럭스 적용",NOT(ISNUMBER(01_Inputs!$B$36))),"Batch량(190 유지 가정)·","")&amp;IF(ISNUMBER(N12),"","실적 Batch·")&amp;IF(ISNUMBER(F12),"","정지·보수(미반영)·")&amp;IF(ISNUMBER(01_Inputs!$B$81),"","양품률(100% 상한)·")&amp;IF(ISNUMBER(U12),"","CXMT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3" customFormat="false" ht="15" hidden="false" customHeight="false" outlineLevel="0" collapsed="false">
      <c r="A13" s="63" t="n">
        <v>46235</v>
      </c>
      <c r="B13" s="15" t="n">
        <f aca="false">YEAR(A13)</f>
        <v>2026</v>
      </c>
      <c r="C13" s="15" t="n">
        <f aca="false">DAY(EOMONTH(A13,0))</f>
        <v>31</v>
      </c>
      <c r="D13" s="8" t="str">
        <f aca="false">IF(A13&lt;01_Inputs!$B$52,"현재(103℃)",IF(A13&lt;=01_Inputs!$B$53,"리플럭스 공사",IF(A13&lt;01_Inputs!$B$55,"시운전","리플럭스 적용")))</f>
        <v>현재(103℃)</v>
      </c>
      <c r="E13" s="14" t="n">
        <f aca="false">C13*24</f>
        <v>744</v>
      </c>
      <c r="F13" s="64"/>
      <c r="G13" s="14" t="n">
        <f aca="false">IF(D13="리플럭스 공사",IF(ISNUMBER(01_Inputs!$B$57),01_Inputs!$B$57,"미확인"),IF(D13="시운전","시운전",E13-N(F13)))</f>
        <v>744</v>
      </c>
      <c r="H13" s="20" t="n">
        <f aca="false">IF(OR(D13="현재(103℃)",D13="리플럭스 공사"),03_Capacity_Model!$B$91,IF(D13="리플럭스 적용",IF(ISNUMBER(01_Inputs!$B$45),01_Inputs!$B$45+IF(ISNUMBER(01_Inputs!$B$46),01_Inputs!$B$46,03_Capacity_Model!$B$59),"미확인"),"-"))</f>
        <v>67.4716981132076</v>
      </c>
      <c r="I13" s="14" t="n">
        <f aca="false">IF(AND(ISNUMBER(K12),D12=D13),K12,0)</f>
        <v>27.6226415094335</v>
      </c>
      <c r="J13" s="43" t="n">
        <f aca="false">IF(D13="시운전",IF(ISNUMBER(01_Inputs!$B$58),01_Inputs!$B$58,"미확인"),IF(AND(ISNUMBER(G13),ISNUMBER(H13)),INT((G13+I13)/H13),"미확인"))</f>
        <v>11</v>
      </c>
      <c r="K13" s="14" t="n">
        <f aca="false">IF(AND(ISNUMBER(G13),ISNUMBER(H13),ISNUMBER(J13)),G13+I13-J13*H13,"")</f>
        <v>29.4339622641504</v>
      </c>
      <c r="L13" s="50" t="n">
        <f aca="false">IF(COUNTIFS(02_Batch_Raw!$E$6:$E$61,"&gt;="&amp;A13,02_Batch_Raw!$E$6:$E$61,"&lt;="&amp;EOMONTH(A13,0))=0,"",COUNTIFS(02_Batch_Raw!$E$6:$E$61,"&gt;="&amp;A13,02_Batch_Raw!$E$6:$E$61,"&lt;="&amp;EOMONTH(A13,0)))</f>
        <v>11</v>
      </c>
      <c r="M13" s="50" t="n">
        <f aca="false">IF(ISNUMBER(02_Batch_Raw!$D$68),02_Batch_Raw!$D$68,"")</f>
        <v>8</v>
      </c>
      <c r="N13" s="65"/>
      <c r="O13" s="15" t="n">
        <f aca="false">IF(ISNUMBER(N13),N13,J13)</f>
        <v>11</v>
      </c>
      <c r="P13" s="13" t="str">
        <f aca="false">IF(ISNUMBER(N13),"실적 입력",IF(ISNUMBER(J13),"추정 생산 가능량","미확인"))</f>
        <v>추정 생산 가능량</v>
      </c>
      <c r="Q13" s="36" t="n">
        <f aca="false">IF(D13="리플럭스 적용",IF(ISNUMBER(01_Inputs!$B$36),01_Inputs!$B$36,01_Inputs!$B$32),01_Inputs!$B$32)</f>
        <v>190</v>
      </c>
      <c r="R13" s="40" t="n">
        <f aca="false">IF(ISNUMBER(O13),O13*Q13,"미확인")</f>
        <v>2090</v>
      </c>
      <c r="S13" s="40" t="n">
        <f aca="false">IF(ISNUMBER(R13),R13*IF(ISNUMBER(01_Inputs!$B$81),01_Inputs!$B$81,1),"미확인")</f>
        <v>2090</v>
      </c>
      <c r="T13" s="66" t="n">
        <f aca="false">01_Inputs!$J$93</f>
        <v>1420</v>
      </c>
      <c r="U13" s="66" t="str">
        <f aca="false">IF(ISNUMBER(01_Inputs!$J$94),01_Inputs!$J$94,"미제시")</f>
        <v>미제시</v>
      </c>
      <c r="V13" s="66" t="n">
        <f aca="false">01_Inputs!$J$95</f>
        <v>0</v>
      </c>
      <c r="W13" s="27" t="n">
        <f aca="false">SUM(T13:V13)</f>
        <v>1420</v>
      </c>
      <c r="X13" s="20" t="n">
        <f aca="false">W13/Q13</f>
        <v>7.47368421052632</v>
      </c>
      <c r="Y13" s="15" t="n">
        <f aca="false">ROUNDUP(T13/01_Inputs!$B$33,0)+IF(ISNUMBER(U13),ROUNDUP(U13/01_Inputs!$B$33,0),0)</f>
        <v>71</v>
      </c>
      <c r="Z13" s="14" t="n">
        <f aca="false">Y13*01_Inputs!$B$23</f>
        <v>142</v>
      </c>
      <c r="AA13" s="15" t="n">
        <f aca="false">ROUNDUP(V13/01_Inputs!$B$35,0)</f>
        <v>0</v>
      </c>
      <c r="AB13" s="14" t="n">
        <f aca="false">IF(AND(A13&gt;=01_Inputs!$B$51,ISNUMBER(01_Inputs!$B$29)),01_Inputs!$B$29,01_Inputs!$B$27)</f>
        <v>8</v>
      </c>
      <c r="AC13" s="13" t="str">
        <f aca="false">IF(A13&gt;=01_Inputs!$B$51,IF(ISNUMBER(01_Inputs!$B$29),"ARS","ARS (시간 미확인→수동 8 h 참고)"),"수동")</f>
        <v>수동</v>
      </c>
      <c r="AD13" s="14" t="n">
        <f aca="false">IF(01_Inputs!$B$28=1,AA13*AB13,ROUNDUP(V13/Q13,0)*AB13)</f>
        <v>0</v>
      </c>
      <c r="AE13" s="14" t="n">
        <f aca="false">IF(ISNUMBER(O13),O13*(01_Inputs!$B$14/IF(ISNUMBER(01_Inputs!$B$15),01_Inputs!$B$15,1)+01_Inputs!$B$20+01_Inputs!$B$30),"미확인")</f>
        <v>66</v>
      </c>
      <c r="AF13" s="14" t="str">
        <f aca="false">IF(ISNUMBER(01_Inputs!$B$62),01_Inputs!$B$62,"미확인")</f>
        <v>미확인</v>
      </c>
      <c r="AG13" s="14" t="str">
        <f aca="false">IF(ISNUMBER(AF13),AF13-Z13,"미확인")</f>
        <v>미확인</v>
      </c>
      <c r="AH13" s="29" t="n">
        <f aca="false">IF(ISNUMBER(S13),S13-W13,"미확인")</f>
        <v>670</v>
      </c>
      <c r="AI13" s="29" t="n">
        <f aca="false">IF(AND(ISNUMBER(AH13),ISNUMBER(AI12)),AI12+AH13,"보류")</f>
        <v>5120</v>
      </c>
      <c r="AJ13" s="29" t="str">
        <f aca="false">IF(ISNUMBER(AQ12),AQ12,"보류")</f>
        <v>보류</v>
      </c>
      <c r="AK13" s="29" t="str">
        <f aca="false">IF(AND(ISNUMBER(AJ13),ISNUMBER(S13)),AJ13+S13,"보류")</f>
        <v>보류</v>
      </c>
      <c r="AL13" s="29" t="str">
        <f aca="false">IF(ISNUMBER(AK13),MIN(AK13,T13),"보류")</f>
        <v>보류</v>
      </c>
      <c r="AM13" s="29" t="str">
        <f aca="false">IF(ISNUMBER(AK13),MIN(AK13-AL13,N(01_Inputs!$B$79)),"보류")</f>
        <v>보류</v>
      </c>
      <c r="AN13" s="29" t="str">
        <f aca="false">IF(ISNUMBER(AK13),MIN(AK13-AL13-AM13,N(U13)),"보류")</f>
        <v>보류</v>
      </c>
      <c r="AO13" s="29" t="str">
        <f aca="false">IF(ISNUMBER(AK13),MIN(AK13-AL13-AM13-AN13,V13),"보류")</f>
        <v>보류</v>
      </c>
      <c r="AP13" s="29" t="str">
        <f aca="false">IF(ISNUMBER(AK13),W13-AL13-AN13-AO13,"보류")</f>
        <v>보류</v>
      </c>
      <c r="AQ13" s="27" t="str">
        <f aca="false">IF(ISNUMBER(AK13),AK13-AL13-AN13-AO13,"보류")</f>
        <v>보류</v>
      </c>
      <c r="AR13" s="29" t="str">
        <f aca="false">IF(ISNUMBER(01_Inputs!$B$80),01_Inputs!$B$80,"미입력")</f>
        <v>미입력</v>
      </c>
      <c r="AS13" s="29" t="str">
        <f aca="false">IF(AND(ISNUMBER(AJ13),ISNUMBER(AR13)),W13+AR13-AJ13,"보류")</f>
        <v>보류</v>
      </c>
      <c r="AT13" s="29" t="str">
        <f aca="false">IF(AND(ISNUMBER(AQ13),ISNUMBER(AR13)),AQ13-AR13,"보류")</f>
        <v>보류</v>
      </c>
      <c r="AU13" s="13" t="str">
        <f aca="false">IF(ISNUMBER(AQ13),"계산 가능",IF(ISNUMBER(AH13),"부분 (재고 입력 필요)","보류 (생산 조건 미확인)"))</f>
        <v>부분 (재고 입력 필요)</v>
      </c>
      <c r="AV13" s="8" t="str">
        <f aca="false">IF(D13="리플럭스 공사",IF(ISNUMBER(01_Inputs!$B$57),"","공사 중 가용시간·"),"")&amp;IF(D13="시운전",IF(ISNUMBER(01_Inputs!$B$58),"","시운전 양품 Batch·"),"")&amp;IF(D13="리플럭스 적용",IF(ISNUMBER(01_Inputs!$B$45),"","리플럭스 정제시간·"),"")&amp;IF(AND(D13="리플럭스 적용",NOT(ISNUMBER(01_Inputs!$B$36))),"Batch량(190 유지 가정)·","")&amp;IF(ISNUMBER(N13),"","실적 Batch·")&amp;IF(ISNUMBER(F13),"","정지·보수(미반영)·")&amp;IF(ISNUMBER(01_Inputs!$B$81),"","양품률(100% 상한)·")&amp;IF(ISNUMBER(U13),"","CXMT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4" customFormat="false" ht="15" hidden="false" customHeight="false" outlineLevel="0" collapsed="false">
      <c r="A14" s="63" t="n">
        <v>46266</v>
      </c>
      <c r="B14" s="15" t="n">
        <f aca="false">YEAR(A14)</f>
        <v>2026</v>
      </c>
      <c r="C14" s="15" t="n">
        <f aca="false">DAY(EOMONTH(A14,0))</f>
        <v>30</v>
      </c>
      <c r="D14" s="8" t="str">
        <f aca="false">IF(A14&lt;01_Inputs!$B$52,"현재(103℃)",IF(A14&lt;=01_Inputs!$B$53,"리플럭스 공사",IF(A14&lt;01_Inputs!$B$55,"시운전","리플럭스 적용")))</f>
        <v>현재(103℃)</v>
      </c>
      <c r="E14" s="14" t="n">
        <f aca="false">C14*24</f>
        <v>720</v>
      </c>
      <c r="F14" s="64"/>
      <c r="G14" s="14" t="n">
        <f aca="false">IF(D14="리플럭스 공사",IF(ISNUMBER(01_Inputs!$B$57),01_Inputs!$B$57,"미확인"),IF(D14="시운전","시운전",E14-N(F14)))</f>
        <v>720</v>
      </c>
      <c r="H14" s="20" t="n">
        <f aca="false">IF(OR(D14="현재(103℃)",D14="리플럭스 공사"),03_Capacity_Model!$B$91,IF(D14="리플럭스 적용",IF(ISNUMBER(01_Inputs!$B$45),01_Inputs!$B$45+IF(ISNUMBER(01_Inputs!$B$46),01_Inputs!$B$46,03_Capacity_Model!$B$59),"미확인"),"-"))</f>
        <v>67.4716981132076</v>
      </c>
      <c r="I14" s="14" t="n">
        <f aca="false">IF(AND(ISNUMBER(K13),D13=D14),K13,0)</f>
        <v>29.4339622641504</v>
      </c>
      <c r="J14" s="43" t="n">
        <f aca="false">IF(D14="시운전",IF(ISNUMBER(01_Inputs!$B$58),01_Inputs!$B$58,"미확인"),IF(AND(ISNUMBER(G14),ISNUMBER(H14)),INT((G14+I14)/H14),"미확인"))</f>
        <v>11</v>
      </c>
      <c r="K14" s="14" t="n">
        <f aca="false">IF(AND(ISNUMBER(G14),ISNUMBER(H14),ISNUMBER(J14)),G14+I14-J14*H14,"")</f>
        <v>7.24528301886733</v>
      </c>
      <c r="L14" s="50" t="n">
        <f aca="false">IF(COUNTIFS(02_Batch_Raw!$E$6:$E$61,"&gt;="&amp;A14,02_Batch_Raw!$E$6:$E$61,"&lt;="&amp;EOMONTH(A14,0))=0,"",COUNTIFS(02_Batch_Raw!$E$6:$E$61,"&gt;="&amp;A14,02_Batch_Raw!$E$6:$E$61,"&lt;="&amp;EOMONTH(A14,0)))</f>
        <v>10</v>
      </c>
      <c r="M14" s="50" t="n">
        <f aca="false">IF(ISNUMBER(02_Batch_Raw!$D$69),02_Batch_Raw!$D$69,"")</f>
        <v>8</v>
      </c>
      <c r="N14" s="65"/>
      <c r="O14" s="15" t="n">
        <f aca="false">IF(ISNUMBER(N14),N14,J14)</f>
        <v>11</v>
      </c>
      <c r="P14" s="13" t="str">
        <f aca="false">IF(ISNUMBER(N14),"실적 입력",IF(ISNUMBER(J14),"추정 생산 가능량","미확인"))</f>
        <v>추정 생산 가능량</v>
      </c>
      <c r="Q14" s="36" t="n">
        <f aca="false">IF(D14="리플럭스 적용",IF(ISNUMBER(01_Inputs!$B$36),01_Inputs!$B$36,01_Inputs!$B$32),01_Inputs!$B$32)</f>
        <v>190</v>
      </c>
      <c r="R14" s="40" t="n">
        <f aca="false">IF(ISNUMBER(O14),O14*Q14,"미확인")</f>
        <v>2090</v>
      </c>
      <c r="S14" s="40" t="n">
        <f aca="false">IF(ISNUMBER(R14),R14*IF(ISNUMBER(01_Inputs!$B$81),01_Inputs!$B$81,1),"미확인")</f>
        <v>2090</v>
      </c>
      <c r="T14" s="66" t="n">
        <f aca="false">01_Inputs!$K$93</f>
        <v>1380</v>
      </c>
      <c r="U14" s="66" t="str">
        <f aca="false">IF(ISNUMBER(01_Inputs!$K$94),01_Inputs!$K$94,"미제시")</f>
        <v>미제시</v>
      </c>
      <c r="V14" s="66" t="n">
        <f aca="false">01_Inputs!$K$95</f>
        <v>560</v>
      </c>
      <c r="W14" s="27" t="n">
        <f aca="false">SUM(T14:V14)</f>
        <v>1940</v>
      </c>
      <c r="X14" s="20" t="n">
        <f aca="false">W14/Q14</f>
        <v>10.2105263157895</v>
      </c>
      <c r="Y14" s="15" t="n">
        <f aca="false">ROUNDUP(T14/01_Inputs!$B$33,0)+IF(ISNUMBER(U14),ROUNDUP(U14/01_Inputs!$B$33,0),0)</f>
        <v>69</v>
      </c>
      <c r="Z14" s="14" t="n">
        <f aca="false">Y14*01_Inputs!$B$23</f>
        <v>138</v>
      </c>
      <c r="AA14" s="15" t="n">
        <f aca="false">ROUNDUP(V14/01_Inputs!$B$35,0)</f>
        <v>4</v>
      </c>
      <c r="AB14" s="14" t="n">
        <f aca="false">IF(AND(A14&gt;=01_Inputs!$B$51,ISNUMBER(01_Inputs!$B$29)),01_Inputs!$B$29,01_Inputs!$B$27)</f>
        <v>8</v>
      </c>
      <c r="AC14" s="13" t="str">
        <f aca="false">IF(A14&gt;=01_Inputs!$B$51,IF(ISNUMBER(01_Inputs!$B$29),"ARS","ARS (시간 미확인→수동 8 h 참고)"),"수동")</f>
        <v>수동</v>
      </c>
      <c r="AD14" s="14" t="n">
        <f aca="false">IF(01_Inputs!$B$28=1,AA14*AB14,ROUNDUP(V14/Q14,0)*AB14)</f>
        <v>32</v>
      </c>
      <c r="AE14" s="14" t="n">
        <f aca="false">IF(ISNUMBER(O14),O14*(01_Inputs!$B$14/IF(ISNUMBER(01_Inputs!$B$15),01_Inputs!$B$15,1)+01_Inputs!$B$20+01_Inputs!$B$30),"미확인")</f>
        <v>66</v>
      </c>
      <c r="AF14" s="14" t="str">
        <f aca="false">IF(ISNUMBER(01_Inputs!$B$62),01_Inputs!$B$62,"미확인")</f>
        <v>미확인</v>
      </c>
      <c r="AG14" s="14" t="str">
        <f aca="false">IF(ISNUMBER(AF14),AF14-Z14,"미확인")</f>
        <v>미확인</v>
      </c>
      <c r="AH14" s="29" t="n">
        <f aca="false">IF(ISNUMBER(S14),S14-W14,"미확인")</f>
        <v>150</v>
      </c>
      <c r="AI14" s="29" t="n">
        <f aca="false">IF(AND(ISNUMBER(AH14),ISNUMBER(AI13)),AI13+AH14,"보류")</f>
        <v>5270</v>
      </c>
      <c r="AJ14" s="29" t="str">
        <f aca="false">IF(ISNUMBER(AQ13),AQ13,"보류")</f>
        <v>보류</v>
      </c>
      <c r="AK14" s="29" t="str">
        <f aca="false">IF(AND(ISNUMBER(AJ14),ISNUMBER(S14)),AJ14+S14,"보류")</f>
        <v>보류</v>
      </c>
      <c r="AL14" s="29" t="str">
        <f aca="false">IF(ISNUMBER(AK14),MIN(AK14,T14),"보류")</f>
        <v>보류</v>
      </c>
      <c r="AM14" s="29" t="str">
        <f aca="false">IF(ISNUMBER(AK14),MIN(AK14-AL14,N(01_Inputs!$B$79)),"보류")</f>
        <v>보류</v>
      </c>
      <c r="AN14" s="29" t="str">
        <f aca="false">IF(ISNUMBER(AK14),MIN(AK14-AL14-AM14,N(U14)),"보류")</f>
        <v>보류</v>
      </c>
      <c r="AO14" s="29" t="str">
        <f aca="false">IF(ISNUMBER(AK14),MIN(AK14-AL14-AM14-AN14,V14),"보류")</f>
        <v>보류</v>
      </c>
      <c r="AP14" s="29" t="str">
        <f aca="false">IF(ISNUMBER(AK14),W14-AL14-AN14-AO14,"보류")</f>
        <v>보류</v>
      </c>
      <c r="AQ14" s="27" t="str">
        <f aca="false">IF(ISNUMBER(AK14),AK14-AL14-AN14-AO14,"보류")</f>
        <v>보류</v>
      </c>
      <c r="AR14" s="29" t="str">
        <f aca="false">IF(ISNUMBER(01_Inputs!$B$80),01_Inputs!$B$80,"미입력")</f>
        <v>미입력</v>
      </c>
      <c r="AS14" s="29" t="str">
        <f aca="false">IF(AND(ISNUMBER(AJ14),ISNUMBER(AR14)),W14+AR14-AJ14,"보류")</f>
        <v>보류</v>
      </c>
      <c r="AT14" s="29" t="str">
        <f aca="false">IF(AND(ISNUMBER(AQ14),ISNUMBER(AR14)),AQ14-AR14,"보류")</f>
        <v>보류</v>
      </c>
      <c r="AU14" s="13" t="str">
        <f aca="false">IF(ISNUMBER(AQ14),"계산 가능",IF(ISNUMBER(AH14),"부분 (재고 입력 필요)","보류 (생산 조건 미확인)"))</f>
        <v>부분 (재고 입력 필요)</v>
      </c>
      <c r="AV14" s="8" t="str">
        <f aca="false">IF(D14="리플럭스 공사",IF(ISNUMBER(01_Inputs!$B$57),"","공사 중 가용시간·"),"")&amp;IF(D14="시운전",IF(ISNUMBER(01_Inputs!$B$58),"","시운전 양품 Batch·"),"")&amp;IF(D14="리플럭스 적용",IF(ISNUMBER(01_Inputs!$B$45),"","리플럭스 정제시간·"),"")&amp;IF(AND(D14="리플럭스 적용",NOT(ISNUMBER(01_Inputs!$B$36))),"Batch량(190 유지 가정)·","")&amp;IF(ISNUMBER(N14),"","실적 Batch·")&amp;IF(ISNUMBER(F14),"","정지·보수(미반영)·")&amp;IF(ISNUMBER(01_Inputs!$B$81),"","양품률(100% 상한)·")&amp;IF(ISNUMBER(U14),"","CXMT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5" customFormat="false" ht="15" hidden="false" customHeight="false" outlineLevel="0" collapsed="false">
      <c r="A15" s="63" t="n">
        <v>46296</v>
      </c>
      <c r="B15" s="15" t="n">
        <f aca="false">YEAR(A15)</f>
        <v>2026</v>
      </c>
      <c r="C15" s="15" t="n">
        <f aca="false">DAY(EOMONTH(A15,0))</f>
        <v>31</v>
      </c>
      <c r="D15" s="8" t="str">
        <f aca="false">IF(A15&lt;01_Inputs!$B$52,"현재(103℃)",IF(A15&lt;=01_Inputs!$B$53,"리플럭스 공사",IF(A15&lt;01_Inputs!$B$55,"시운전","리플럭스 적용")))</f>
        <v>현재(103℃)</v>
      </c>
      <c r="E15" s="14" t="n">
        <f aca="false">C15*24</f>
        <v>744</v>
      </c>
      <c r="F15" s="64"/>
      <c r="G15" s="14" t="n">
        <f aca="false">IF(D15="리플럭스 공사",IF(ISNUMBER(01_Inputs!$B$57),01_Inputs!$B$57,"미확인"),IF(D15="시운전","시운전",E15-N(F15)))</f>
        <v>744</v>
      </c>
      <c r="H15" s="20" t="n">
        <f aca="false">IF(OR(D15="현재(103℃)",D15="리플럭스 공사"),03_Capacity_Model!$B$91,IF(D15="리플럭스 적용",IF(ISNUMBER(01_Inputs!$B$45),01_Inputs!$B$45+IF(ISNUMBER(01_Inputs!$B$46),01_Inputs!$B$46,03_Capacity_Model!$B$59),"미확인"),"-"))</f>
        <v>67.4716981132076</v>
      </c>
      <c r="I15" s="14" t="n">
        <f aca="false">IF(AND(ISNUMBER(K14),D14=D15),K14,0)</f>
        <v>7.24528301886733</v>
      </c>
      <c r="J15" s="43" t="n">
        <f aca="false">IF(D15="시운전",IF(ISNUMBER(01_Inputs!$B$58),01_Inputs!$B$58,"미확인"),IF(AND(ISNUMBER(G15),ISNUMBER(H15)),INT((G15+I15)/H15),"미확인"))</f>
        <v>11</v>
      </c>
      <c r="K15" s="14" t="n">
        <f aca="false">IF(AND(ISNUMBER(G15),ISNUMBER(H15),ISNUMBER(J15)),G15+I15-J15*H15,"")</f>
        <v>9.05660377358424</v>
      </c>
      <c r="L15" s="50" t="n">
        <f aca="false">IF(COUNTIFS(02_Batch_Raw!$E$6:$E$61,"&gt;="&amp;A15,02_Batch_Raw!$E$6:$E$61,"&lt;="&amp;EOMONTH(A15,0))=0,"",COUNTIFS(02_Batch_Raw!$E$6:$E$61,"&gt;="&amp;A15,02_Batch_Raw!$E$6:$E$61,"&lt;="&amp;EOMONTH(A15,0)))</f>
        <v>11</v>
      </c>
      <c r="M15" s="50" t="n">
        <f aca="false">IF(ISNUMBER(02_Batch_Raw!$D$70),02_Batch_Raw!$D$70,"")</f>
        <v>11</v>
      </c>
      <c r="N15" s="65"/>
      <c r="O15" s="15" t="n">
        <f aca="false">IF(ISNUMBER(N15),N15,J15)</f>
        <v>11</v>
      </c>
      <c r="P15" s="13" t="str">
        <f aca="false">IF(ISNUMBER(N15),"실적 입력",IF(ISNUMBER(J15),"추정 생산 가능량","미확인"))</f>
        <v>추정 생산 가능량</v>
      </c>
      <c r="Q15" s="36" t="n">
        <f aca="false">IF(D15="리플럭스 적용",IF(ISNUMBER(01_Inputs!$B$36),01_Inputs!$B$36,01_Inputs!$B$32),01_Inputs!$B$32)</f>
        <v>190</v>
      </c>
      <c r="R15" s="40" t="n">
        <f aca="false">IF(ISNUMBER(O15),O15*Q15,"미확인")</f>
        <v>2090</v>
      </c>
      <c r="S15" s="40" t="n">
        <f aca="false">IF(ISNUMBER(R15),R15*IF(ISNUMBER(01_Inputs!$B$81),01_Inputs!$B$81,1),"미확인")</f>
        <v>2090</v>
      </c>
      <c r="T15" s="66" t="n">
        <f aca="false">01_Inputs!$L$93</f>
        <v>1480</v>
      </c>
      <c r="U15" s="66" t="str">
        <f aca="false">IF(ISNUMBER(01_Inputs!$L$94),01_Inputs!$L$94,"미제시")</f>
        <v>미제시</v>
      </c>
      <c r="V15" s="66" t="n">
        <f aca="false">01_Inputs!$L$95</f>
        <v>560</v>
      </c>
      <c r="W15" s="27" t="n">
        <f aca="false">SUM(T15:V15)</f>
        <v>2040</v>
      </c>
      <c r="X15" s="20" t="n">
        <f aca="false">W15/Q15</f>
        <v>10.7368421052632</v>
      </c>
      <c r="Y15" s="15" t="n">
        <f aca="false">ROUNDUP(T15/01_Inputs!$B$33,0)+IF(ISNUMBER(U15),ROUNDUP(U15/01_Inputs!$B$33,0),0)</f>
        <v>74</v>
      </c>
      <c r="Z15" s="14" t="n">
        <f aca="false">Y15*01_Inputs!$B$23</f>
        <v>148</v>
      </c>
      <c r="AA15" s="15" t="n">
        <f aca="false">ROUNDUP(V15/01_Inputs!$B$35,0)</f>
        <v>4</v>
      </c>
      <c r="AB15" s="14" t="n">
        <f aca="false">IF(AND(A15&gt;=01_Inputs!$B$51,ISNUMBER(01_Inputs!$B$29)),01_Inputs!$B$29,01_Inputs!$B$27)</f>
        <v>8</v>
      </c>
      <c r="AC15" s="13" t="str">
        <f aca="false">IF(A15&gt;=01_Inputs!$B$51,IF(ISNUMBER(01_Inputs!$B$29),"ARS","ARS (시간 미확인→수동 8 h 참고)"),"수동")</f>
        <v>수동</v>
      </c>
      <c r="AD15" s="14" t="n">
        <f aca="false">IF(01_Inputs!$B$28=1,AA15*AB15,ROUNDUP(V15/Q15,0)*AB15)</f>
        <v>32</v>
      </c>
      <c r="AE15" s="14" t="n">
        <f aca="false">IF(ISNUMBER(O15),O15*(01_Inputs!$B$14/IF(ISNUMBER(01_Inputs!$B$15),01_Inputs!$B$15,1)+01_Inputs!$B$20+01_Inputs!$B$30),"미확인")</f>
        <v>66</v>
      </c>
      <c r="AF15" s="14" t="str">
        <f aca="false">IF(ISNUMBER(01_Inputs!$B$62),01_Inputs!$B$62,"미확인")</f>
        <v>미확인</v>
      </c>
      <c r="AG15" s="14" t="str">
        <f aca="false">IF(ISNUMBER(AF15),AF15-Z15,"미확인")</f>
        <v>미확인</v>
      </c>
      <c r="AH15" s="29" t="n">
        <f aca="false">IF(ISNUMBER(S15),S15-W15,"미확인")</f>
        <v>50</v>
      </c>
      <c r="AI15" s="29" t="n">
        <f aca="false">IF(AND(ISNUMBER(AH15),ISNUMBER(AI14)),AI14+AH15,"보류")</f>
        <v>5320</v>
      </c>
      <c r="AJ15" s="29" t="str">
        <f aca="false">IF(ISNUMBER(AQ14),AQ14,"보류")</f>
        <v>보류</v>
      </c>
      <c r="AK15" s="29" t="str">
        <f aca="false">IF(AND(ISNUMBER(AJ15),ISNUMBER(S15)),AJ15+S15,"보류")</f>
        <v>보류</v>
      </c>
      <c r="AL15" s="29" t="str">
        <f aca="false">IF(ISNUMBER(AK15),MIN(AK15,T15),"보류")</f>
        <v>보류</v>
      </c>
      <c r="AM15" s="29" t="str">
        <f aca="false">IF(ISNUMBER(AK15),MIN(AK15-AL15,N(01_Inputs!$B$79)),"보류")</f>
        <v>보류</v>
      </c>
      <c r="AN15" s="29" t="str">
        <f aca="false">IF(ISNUMBER(AK15),MIN(AK15-AL15-AM15,N(U15)),"보류")</f>
        <v>보류</v>
      </c>
      <c r="AO15" s="29" t="str">
        <f aca="false">IF(ISNUMBER(AK15),MIN(AK15-AL15-AM15-AN15,V15),"보류")</f>
        <v>보류</v>
      </c>
      <c r="AP15" s="29" t="str">
        <f aca="false">IF(ISNUMBER(AK15),W15-AL15-AN15-AO15,"보류")</f>
        <v>보류</v>
      </c>
      <c r="AQ15" s="27" t="str">
        <f aca="false">IF(ISNUMBER(AK15),AK15-AL15-AN15-AO15,"보류")</f>
        <v>보류</v>
      </c>
      <c r="AR15" s="29" t="str">
        <f aca="false">IF(ISNUMBER(01_Inputs!$B$80),01_Inputs!$B$80,"미입력")</f>
        <v>미입력</v>
      </c>
      <c r="AS15" s="29" t="str">
        <f aca="false">IF(AND(ISNUMBER(AJ15),ISNUMBER(AR15)),W15+AR15-AJ15,"보류")</f>
        <v>보류</v>
      </c>
      <c r="AT15" s="29" t="str">
        <f aca="false">IF(AND(ISNUMBER(AQ15),ISNUMBER(AR15)),AQ15-AR15,"보류")</f>
        <v>보류</v>
      </c>
      <c r="AU15" s="13" t="str">
        <f aca="false">IF(ISNUMBER(AQ15),"계산 가능",IF(ISNUMBER(AH15),"부분 (재고 입력 필요)","보류 (생산 조건 미확인)"))</f>
        <v>부분 (재고 입력 필요)</v>
      </c>
      <c r="AV15" s="8" t="str">
        <f aca="false">IF(D15="리플럭스 공사",IF(ISNUMBER(01_Inputs!$B$57),"","공사 중 가용시간·"),"")&amp;IF(D15="시운전",IF(ISNUMBER(01_Inputs!$B$58),"","시운전 양품 Batch·"),"")&amp;IF(D15="리플럭스 적용",IF(ISNUMBER(01_Inputs!$B$45),"","리플럭스 정제시간·"),"")&amp;IF(AND(D15="리플럭스 적용",NOT(ISNUMBER(01_Inputs!$B$36))),"Batch량(190 유지 가정)·","")&amp;IF(ISNUMBER(N15),"","실적 Batch·")&amp;IF(ISNUMBER(F15),"","정지·보수(미반영)·")&amp;IF(ISNUMBER(01_Inputs!$B$81),"","양품률(100% 상한)·")&amp;IF(ISNUMBER(U15),"","CXMT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6" customFormat="false" ht="15" hidden="false" customHeight="false" outlineLevel="0" collapsed="false">
      <c r="A16" s="63" t="n">
        <v>46327</v>
      </c>
      <c r="B16" s="15" t="n">
        <f aca="false">YEAR(A16)</f>
        <v>2026</v>
      </c>
      <c r="C16" s="15" t="n">
        <f aca="false">DAY(EOMONTH(A16,0))</f>
        <v>30</v>
      </c>
      <c r="D16" s="8" t="str">
        <f aca="false">IF(A16&lt;01_Inputs!$B$52,"현재(103℃)",IF(A16&lt;=01_Inputs!$B$53,"리플럭스 공사",IF(A16&lt;01_Inputs!$B$55,"시운전","리플럭스 적용")))</f>
        <v>현재(103℃)</v>
      </c>
      <c r="E16" s="14" t="n">
        <f aca="false">C16*24</f>
        <v>720</v>
      </c>
      <c r="F16" s="64"/>
      <c r="G16" s="14" t="n">
        <f aca="false">IF(D16="리플럭스 공사",IF(ISNUMBER(01_Inputs!$B$57),01_Inputs!$B$57,"미확인"),IF(D16="시운전","시운전",E16-N(F16)))</f>
        <v>720</v>
      </c>
      <c r="H16" s="20" t="n">
        <f aca="false">IF(OR(D16="현재(103℃)",D16="리플럭스 공사"),03_Capacity_Model!$B$91,IF(D16="리플럭스 적용",IF(ISNUMBER(01_Inputs!$B$45),01_Inputs!$B$45+IF(ISNUMBER(01_Inputs!$B$46),01_Inputs!$B$46,03_Capacity_Model!$B$59),"미확인"),"-"))</f>
        <v>67.4716981132076</v>
      </c>
      <c r="I16" s="14" t="n">
        <f aca="false">IF(AND(ISNUMBER(K15),D15=D16),K15,0)</f>
        <v>9.05660377358424</v>
      </c>
      <c r="J16" s="43" t="n">
        <f aca="false">IF(D16="시운전",IF(ISNUMBER(01_Inputs!$B$58),01_Inputs!$B$58,"미확인"),IF(AND(ISNUMBER(G16),ISNUMBER(H16)),INT((G16+I16)/H16),"미확인"))</f>
        <v>10</v>
      </c>
      <c r="K16" s="14" t="n">
        <f aca="false">IF(AND(ISNUMBER(G16),ISNUMBER(H16),ISNUMBER(J16)),G16+I16-J16*H16,"")</f>
        <v>54.3396226415088</v>
      </c>
      <c r="L16" s="50" t="str">
        <f aca="false">IF(COUNTIFS(02_Batch_Raw!$E$6:$E$61,"&gt;="&amp;A16,02_Batch_Raw!$E$6:$E$61,"&lt;="&amp;EOMONTH(A16,0))=0,"",COUNTIFS(02_Batch_Raw!$E$6:$E$61,"&gt;="&amp;A16,02_Batch_Raw!$E$6:$E$61,"&lt;="&amp;EOMONTH(A16,0)))</f>
        <v/>
      </c>
      <c r="M16" s="50" t="str">
        <f aca="false">""</f>
        <v/>
      </c>
      <c r="N16" s="65"/>
      <c r="O16" s="15" t="n">
        <f aca="false">IF(ISNUMBER(N16),N16,J16)</f>
        <v>10</v>
      </c>
      <c r="P16" s="13" t="str">
        <f aca="false">IF(ISNUMBER(N16),"실적 입력",IF(ISNUMBER(J16),"추정 생산 가능량","미확인"))</f>
        <v>추정 생산 가능량</v>
      </c>
      <c r="Q16" s="36" t="n">
        <f aca="false">IF(D16="리플럭스 적용",IF(ISNUMBER(01_Inputs!$B$36),01_Inputs!$B$36,01_Inputs!$B$32),01_Inputs!$B$32)</f>
        <v>190</v>
      </c>
      <c r="R16" s="40" t="n">
        <f aca="false">IF(ISNUMBER(O16),O16*Q16,"미확인")</f>
        <v>1900</v>
      </c>
      <c r="S16" s="40" t="n">
        <f aca="false">IF(ISNUMBER(R16),R16*IF(ISNUMBER(01_Inputs!$B$81),01_Inputs!$B$81,1),"미확인")</f>
        <v>1900</v>
      </c>
      <c r="T16" s="66" t="n">
        <f aca="false">01_Inputs!$M$93</f>
        <v>1480</v>
      </c>
      <c r="U16" s="66" t="str">
        <f aca="false">IF(ISNUMBER(01_Inputs!$M$94),01_Inputs!$M$94,"미제시")</f>
        <v>미제시</v>
      </c>
      <c r="V16" s="66" t="n">
        <f aca="false">01_Inputs!$M$95</f>
        <v>560</v>
      </c>
      <c r="W16" s="27" t="n">
        <f aca="false">SUM(T16:V16)</f>
        <v>2040</v>
      </c>
      <c r="X16" s="20" t="n">
        <f aca="false">W16/Q16</f>
        <v>10.7368421052632</v>
      </c>
      <c r="Y16" s="15" t="n">
        <f aca="false">ROUNDUP(T16/01_Inputs!$B$33,0)+IF(ISNUMBER(U16),ROUNDUP(U16/01_Inputs!$B$33,0),0)</f>
        <v>74</v>
      </c>
      <c r="Z16" s="14" t="n">
        <f aca="false">Y16*01_Inputs!$B$23</f>
        <v>148</v>
      </c>
      <c r="AA16" s="15" t="n">
        <f aca="false">ROUNDUP(V16/01_Inputs!$B$35,0)</f>
        <v>4</v>
      </c>
      <c r="AB16" s="14" t="n">
        <f aca="false">IF(AND(A16&gt;=01_Inputs!$B$51,ISNUMBER(01_Inputs!$B$29)),01_Inputs!$B$29,01_Inputs!$B$27)</f>
        <v>8</v>
      </c>
      <c r="AC16" s="13" t="str">
        <f aca="false">IF(A16&gt;=01_Inputs!$B$51,IF(ISNUMBER(01_Inputs!$B$29),"ARS","ARS (시간 미확인→수동 8 h 참고)"),"수동")</f>
        <v>수동</v>
      </c>
      <c r="AD16" s="14" t="n">
        <f aca="false">IF(01_Inputs!$B$28=1,AA16*AB16,ROUNDUP(V16/Q16,0)*AB16)</f>
        <v>32</v>
      </c>
      <c r="AE16" s="14" t="n">
        <f aca="false">IF(ISNUMBER(O16),O16*(01_Inputs!$B$14/IF(ISNUMBER(01_Inputs!$B$15),01_Inputs!$B$15,1)+01_Inputs!$B$20+01_Inputs!$B$30),"미확인")</f>
        <v>60</v>
      </c>
      <c r="AF16" s="14" t="str">
        <f aca="false">IF(ISNUMBER(01_Inputs!$B$62),01_Inputs!$B$62,"미확인")</f>
        <v>미확인</v>
      </c>
      <c r="AG16" s="14" t="str">
        <f aca="false">IF(ISNUMBER(AF16),AF16-Z16,"미확인")</f>
        <v>미확인</v>
      </c>
      <c r="AH16" s="29" t="n">
        <f aca="false">IF(ISNUMBER(S16),S16-W16,"미확인")</f>
        <v>-140</v>
      </c>
      <c r="AI16" s="29" t="n">
        <f aca="false">IF(AND(ISNUMBER(AH16),ISNUMBER(AI15)),AI15+AH16,"보류")</f>
        <v>5180</v>
      </c>
      <c r="AJ16" s="29" t="str">
        <f aca="false">IF(ISNUMBER(AQ15),AQ15,"보류")</f>
        <v>보류</v>
      </c>
      <c r="AK16" s="29" t="str">
        <f aca="false">IF(AND(ISNUMBER(AJ16),ISNUMBER(S16)),AJ16+S16,"보류")</f>
        <v>보류</v>
      </c>
      <c r="AL16" s="29" t="str">
        <f aca="false">IF(ISNUMBER(AK16),MIN(AK16,T16),"보류")</f>
        <v>보류</v>
      </c>
      <c r="AM16" s="29" t="str">
        <f aca="false">IF(ISNUMBER(AK16),MIN(AK16-AL16,N(01_Inputs!$B$79)),"보류")</f>
        <v>보류</v>
      </c>
      <c r="AN16" s="29" t="str">
        <f aca="false">IF(ISNUMBER(AK16),MIN(AK16-AL16-AM16,N(U16)),"보류")</f>
        <v>보류</v>
      </c>
      <c r="AO16" s="29" t="str">
        <f aca="false">IF(ISNUMBER(AK16),MIN(AK16-AL16-AM16-AN16,V16),"보류")</f>
        <v>보류</v>
      </c>
      <c r="AP16" s="29" t="str">
        <f aca="false">IF(ISNUMBER(AK16),W16-AL16-AN16-AO16,"보류")</f>
        <v>보류</v>
      </c>
      <c r="AQ16" s="27" t="str">
        <f aca="false">IF(ISNUMBER(AK16),AK16-AL16-AN16-AO16,"보류")</f>
        <v>보류</v>
      </c>
      <c r="AR16" s="29" t="str">
        <f aca="false">IF(ISNUMBER(01_Inputs!$B$80),01_Inputs!$B$80,"미입력")</f>
        <v>미입력</v>
      </c>
      <c r="AS16" s="29" t="str">
        <f aca="false">IF(AND(ISNUMBER(AJ16),ISNUMBER(AR16)),W16+AR16-AJ16,"보류")</f>
        <v>보류</v>
      </c>
      <c r="AT16" s="29" t="str">
        <f aca="false">IF(AND(ISNUMBER(AQ16),ISNUMBER(AR16)),AQ16-AR16,"보류")</f>
        <v>보류</v>
      </c>
      <c r="AU16" s="13" t="str">
        <f aca="false">IF(ISNUMBER(AQ16),"계산 가능",IF(ISNUMBER(AH16),"부분 (재고 입력 필요)","보류 (생산 조건 미확인)"))</f>
        <v>부분 (재고 입력 필요)</v>
      </c>
      <c r="AV16" s="8" t="str">
        <f aca="false">IF(D16="리플럭스 공사",IF(ISNUMBER(01_Inputs!$B$57),"","공사 중 가용시간·"),"")&amp;IF(D16="시운전",IF(ISNUMBER(01_Inputs!$B$58),"","시운전 양품 Batch·"),"")&amp;IF(D16="리플럭스 적용",IF(ISNUMBER(01_Inputs!$B$45),"","리플럭스 정제시간·"),"")&amp;IF(AND(D16="리플럭스 적용",NOT(ISNUMBER(01_Inputs!$B$36))),"Batch량(190 유지 가정)·","")&amp;IF(ISNUMBER(N16),"","실적 Batch·")&amp;IF(ISNUMBER(F16),"","정지·보수(미반영)·")&amp;IF(ISNUMBER(01_Inputs!$B$81),"","양품률(100% 상한)·")&amp;IF(ISNUMBER(U16),"","CXMT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7" customFormat="false" ht="15" hidden="false" customHeight="false" outlineLevel="0" collapsed="false">
      <c r="A17" s="63" t="n">
        <v>46357</v>
      </c>
      <c r="B17" s="15" t="n">
        <f aca="false">YEAR(A17)</f>
        <v>2026</v>
      </c>
      <c r="C17" s="15" t="n">
        <f aca="false">DAY(EOMONTH(A17,0))</f>
        <v>31</v>
      </c>
      <c r="D17" s="8" t="str">
        <f aca="false">IF(A17&lt;01_Inputs!$B$52,"현재(103℃)",IF(A17&lt;=01_Inputs!$B$53,"리플럭스 공사",IF(A17&lt;01_Inputs!$B$55,"시운전","리플럭스 적용")))</f>
        <v>현재(103℃)</v>
      </c>
      <c r="E17" s="14" t="n">
        <f aca="false">C17*24</f>
        <v>744</v>
      </c>
      <c r="F17" s="64"/>
      <c r="G17" s="14" t="n">
        <f aca="false">IF(D17="리플럭스 공사",IF(ISNUMBER(01_Inputs!$B$57),01_Inputs!$B$57,"미확인"),IF(D17="시운전","시운전",E17-N(F17)))</f>
        <v>744</v>
      </c>
      <c r="H17" s="20" t="n">
        <f aca="false">IF(OR(D17="현재(103℃)",D17="리플럭스 공사"),03_Capacity_Model!$B$91,IF(D17="리플럭스 적용",IF(ISNUMBER(01_Inputs!$B$45),01_Inputs!$B$45+IF(ISNUMBER(01_Inputs!$B$46),01_Inputs!$B$46,03_Capacity_Model!$B$59),"미확인"),"-"))</f>
        <v>67.4716981132076</v>
      </c>
      <c r="I17" s="14" t="n">
        <f aca="false">IF(AND(ISNUMBER(K16),D16=D17),K16,0)</f>
        <v>54.3396226415088</v>
      </c>
      <c r="J17" s="43" t="n">
        <f aca="false">IF(D17="시운전",IF(ISNUMBER(01_Inputs!$B$58),01_Inputs!$B$58,"미확인"),IF(AND(ISNUMBER(G17),ISNUMBER(H17)),INT((G17+I17)/H17),"미확인"))</f>
        <v>11</v>
      </c>
      <c r="K17" s="14" t="n">
        <f aca="false">IF(AND(ISNUMBER(G17),ISNUMBER(H17),ISNUMBER(J17)),G17+I17-J17*H17,"")</f>
        <v>56.1509433962257</v>
      </c>
      <c r="L17" s="50" t="str">
        <f aca="false">IF(COUNTIFS(02_Batch_Raw!$E$6:$E$61,"&gt;="&amp;A17,02_Batch_Raw!$E$6:$E$61,"&lt;="&amp;EOMONTH(A17,0))=0,"",COUNTIFS(02_Batch_Raw!$E$6:$E$61,"&gt;="&amp;A17,02_Batch_Raw!$E$6:$E$61,"&lt;="&amp;EOMONTH(A17,0)))</f>
        <v/>
      </c>
      <c r="M17" s="50" t="str">
        <f aca="false">""</f>
        <v/>
      </c>
      <c r="N17" s="65"/>
      <c r="O17" s="15" t="n">
        <f aca="false">IF(ISNUMBER(N17),N17,J17)</f>
        <v>11</v>
      </c>
      <c r="P17" s="13" t="str">
        <f aca="false">IF(ISNUMBER(N17),"실적 입력",IF(ISNUMBER(J17),"추정 생산 가능량","미확인"))</f>
        <v>추정 생산 가능량</v>
      </c>
      <c r="Q17" s="36" t="n">
        <f aca="false">IF(D17="리플럭스 적용",IF(ISNUMBER(01_Inputs!$B$36),01_Inputs!$B$36,01_Inputs!$B$32),01_Inputs!$B$32)</f>
        <v>190</v>
      </c>
      <c r="R17" s="40" t="n">
        <f aca="false">IF(ISNUMBER(O17),O17*Q17,"미확인")</f>
        <v>2090</v>
      </c>
      <c r="S17" s="40" t="n">
        <f aca="false">IF(ISNUMBER(R17),R17*IF(ISNUMBER(01_Inputs!$B$81),01_Inputs!$B$81,1),"미확인")</f>
        <v>2090</v>
      </c>
      <c r="T17" s="66" t="n">
        <f aca="false">01_Inputs!$N$93</f>
        <v>1420</v>
      </c>
      <c r="U17" s="66" t="str">
        <f aca="false">IF(ISNUMBER(01_Inputs!$N$94),01_Inputs!$N$94,"미제시")</f>
        <v>미제시</v>
      </c>
      <c r="V17" s="66" t="n">
        <f aca="false">01_Inputs!$N$95</f>
        <v>560</v>
      </c>
      <c r="W17" s="27" t="n">
        <f aca="false">SUM(T17:V17)</f>
        <v>1980</v>
      </c>
      <c r="X17" s="20" t="n">
        <f aca="false">W17/Q17</f>
        <v>10.4210526315789</v>
      </c>
      <c r="Y17" s="15" t="n">
        <f aca="false">ROUNDUP(T17/01_Inputs!$B$33,0)+IF(ISNUMBER(U17),ROUNDUP(U17/01_Inputs!$B$33,0),0)</f>
        <v>71</v>
      </c>
      <c r="Z17" s="14" t="n">
        <f aca="false">Y17*01_Inputs!$B$23</f>
        <v>142</v>
      </c>
      <c r="AA17" s="15" t="n">
        <f aca="false">ROUNDUP(V17/01_Inputs!$B$35,0)</f>
        <v>4</v>
      </c>
      <c r="AB17" s="14" t="n">
        <f aca="false">IF(AND(A17&gt;=01_Inputs!$B$51,ISNUMBER(01_Inputs!$B$29)),01_Inputs!$B$29,01_Inputs!$B$27)</f>
        <v>8</v>
      </c>
      <c r="AC17" s="13" t="str">
        <f aca="false">IF(A17&gt;=01_Inputs!$B$51,IF(ISNUMBER(01_Inputs!$B$29),"ARS","ARS (시간 미확인→수동 8 h 참고)"),"수동")</f>
        <v>수동</v>
      </c>
      <c r="AD17" s="14" t="n">
        <f aca="false">IF(01_Inputs!$B$28=1,AA17*AB17,ROUNDUP(V17/Q17,0)*AB17)</f>
        <v>32</v>
      </c>
      <c r="AE17" s="14" t="n">
        <f aca="false">IF(ISNUMBER(O17),O17*(01_Inputs!$B$14/IF(ISNUMBER(01_Inputs!$B$15),01_Inputs!$B$15,1)+01_Inputs!$B$20+01_Inputs!$B$30),"미확인")</f>
        <v>66</v>
      </c>
      <c r="AF17" s="14" t="str">
        <f aca="false">IF(ISNUMBER(01_Inputs!$B$62),01_Inputs!$B$62,"미확인")</f>
        <v>미확인</v>
      </c>
      <c r="AG17" s="14" t="str">
        <f aca="false">IF(ISNUMBER(AF17),AF17-Z17,"미확인")</f>
        <v>미확인</v>
      </c>
      <c r="AH17" s="29" t="n">
        <f aca="false">IF(ISNUMBER(S17),S17-W17,"미확인")</f>
        <v>110</v>
      </c>
      <c r="AI17" s="29" t="n">
        <f aca="false">IF(AND(ISNUMBER(AH17),ISNUMBER(AI16)),AI16+AH17,"보류")</f>
        <v>5290</v>
      </c>
      <c r="AJ17" s="29" t="str">
        <f aca="false">IF(ISNUMBER(AQ16),AQ16,"보류")</f>
        <v>보류</v>
      </c>
      <c r="AK17" s="29" t="str">
        <f aca="false">IF(AND(ISNUMBER(AJ17),ISNUMBER(S17)),AJ17+S17,"보류")</f>
        <v>보류</v>
      </c>
      <c r="AL17" s="29" t="str">
        <f aca="false">IF(ISNUMBER(AK17),MIN(AK17,T17),"보류")</f>
        <v>보류</v>
      </c>
      <c r="AM17" s="29" t="str">
        <f aca="false">IF(ISNUMBER(AK17),MIN(AK17-AL17,N(01_Inputs!$B$79)),"보류")</f>
        <v>보류</v>
      </c>
      <c r="AN17" s="29" t="str">
        <f aca="false">IF(ISNUMBER(AK17),MIN(AK17-AL17-AM17,N(U17)),"보류")</f>
        <v>보류</v>
      </c>
      <c r="AO17" s="29" t="str">
        <f aca="false">IF(ISNUMBER(AK17),MIN(AK17-AL17-AM17-AN17,V17),"보류")</f>
        <v>보류</v>
      </c>
      <c r="AP17" s="29" t="str">
        <f aca="false">IF(ISNUMBER(AK17),W17-AL17-AN17-AO17,"보류")</f>
        <v>보류</v>
      </c>
      <c r="AQ17" s="27" t="str">
        <f aca="false">IF(ISNUMBER(AK17),AK17-AL17-AN17-AO17,"보류")</f>
        <v>보류</v>
      </c>
      <c r="AR17" s="29" t="str">
        <f aca="false">IF(ISNUMBER(01_Inputs!$B$80),01_Inputs!$B$80,"미입력")</f>
        <v>미입력</v>
      </c>
      <c r="AS17" s="29" t="str">
        <f aca="false">IF(AND(ISNUMBER(AJ17),ISNUMBER(AR17)),W17+AR17-AJ17,"보류")</f>
        <v>보류</v>
      </c>
      <c r="AT17" s="29" t="str">
        <f aca="false">IF(AND(ISNUMBER(AQ17),ISNUMBER(AR17)),AQ17-AR17,"보류")</f>
        <v>보류</v>
      </c>
      <c r="AU17" s="13" t="str">
        <f aca="false">IF(ISNUMBER(AQ17),"계산 가능",IF(ISNUMBER(AH17),"부분 (재고 입력 필요)","보류 (생산 조건 미확인)"))</f>
        <v>부분 (재고 입력 필요)</v>
      </c>
      <c r="AV17" s="8" t="str">
        <f aca="false">IF(D17="리플럭스 공사",IF(ISNUMBER(01_Inputs!$B$57),"","공사 중 가용시간·"),"")&amp;IF(D17="시운전",IF(ISNUMBER(01_Inputs!$B$58),"","시운전 양품 Batch·"),"")&amp;IF(D17="리플럭스 적용",IF(ISNUMBER(01_Inputs!$B$45),"","리플럭스 정제시간·"),"")&amp;IF(AND(D17="리플럭스 적용",NOT(ISNUMBER(01_Inputs!$B$36))),"Batch량(190 유지 가정)·","")&amp;IF(ISNUMBER(N17),"","실적 Batch·")&amp;IF(ISNUMBER(F17),"","정지·보수(미반영)·")&amp;IF(ISNUMBER(01_Inputs!$B$81),"","양품률(100% 상한)·")&amp;IF(ISNUMBER(U17),"","CXMT 물량 미제시·")&amp;IF(ISNUMBER(01_Inputs!$B$62),"","글로브 박스 가용시간·")&amp;IF(ISNUMBER(01_Inputs!$B$78),"","기초재고·")</f>
        <v>실적 Batch·정지·보수(미반영)·양품률(100% 상한)·CXMT 물량 미제시·글로브 박스 가용시간·기초재고·</v>
      </c>
    </row>
    <row r="18" customFormat="false" ht="26.85" hidden="false" customHeight="false" outlineLevel="0" collapsed="false">
      <c r="A18" s="63" t="n">
        <v>46388</v>
      </c>
      <c r="B18" s="15" t="n">
        <f aca="false">YEAR(A18)</f>
        <v>2027</v>
      </c>
      <c r="C18" s="15" t="n">
        <f aca="false">DAY(EOMONTH(A18,0))</f>
        <v>31</v>
      </c>
      <c r="D18" s="8" t="str">
        <f aca="false">IF(A18&lt;01_Inputs!$B$52,"현재(103℃)",IF(A18&lt;=01_Inputs!$B$53,"리플럭스 공사",IF(A18&lt;01_Inputs!$B$55,"시운전","리플럭스 적용")))</f>
        <v>현재(103℃)</v>
      </c>
      <c r="E18" s="14" t="n">
        <f aca="false">C18*24</f>
        <v>744</v>
      </c>
      <c r="F18" s="64"/>
      <c r="G18" s="14" t="n">
        <f aca="false">IF(D18="리플럭스 공사",IF(ISNUMBER(01_Inputs!$B$57),01_Inputs!$B$57,"미확인"),IF(D18="시운전","시운전",E18-N(F18)))</f>
        <v>744</v>
      </c>
      <c r="H18" s="20" t="n">
        <f aca="false">IF(OR(D18="현재(103℃)",D18="리플럭스 공사"),03_Capacity_Model!$B$91,IF(D18="리플럭스 적용",IF(ISNUMBER(01_Inputs!$B$45),01_Inputs!$B$45+IF(ISNUMBER(01_Inputs!$B$46),01_Inputs!$B$46,03_Capacity_Model!$B$59),"미확인"),"-"))</f>
        <v>67.4716981132076</v>
      </c>
      <c r="I18" s="14" t="n">
        <f aca="false">IF(AND(ISNUMBER(K17),D17=D18),K17,0)</f>
        <v>56.1509433962257</v>
      </c>
      <c r="J18" s="43" t="n">
        <f aca="false">IF(D18="시운전",IF(ISNUMBER(01_Inputs!$B$58),01_Inputs!$B$58,"미확인"),IF(AND(ISNUMBER(G18),ISNUMBER(H18)),INT((G18+I18)/H18),"미확인"))</f>
        <v>11</v>
      </c>
      <c r="K18" s="14" t="n">
        <f aca="false">IF(AND(ISNUMBER(G18),ISNUMBER(H18),ISNUMBER(J18)),G18+I18-J18*H18,"")</f>
        <v>57.9622641509426</v>
      </c>
      <c r="L18" s="50" t="str">
        <f aca="false">IF(COUNTIFS(02_Batch_Raw!$E$6:$E$61,"&gt;="&amp;A18,02_Batch_Raw!$E$6:$E$61,"&lt;="&amp;EOMONTH(A18,0))=0,"",COUNTIFS(02_Batch_Raw!$E$6:$E$61,"&gt;="&amp;A18,02_Batch_Raw!$E$6:$E$61,"&lt;="&amp;EOMONTH(A18,0)))</f>
        <v/>
      </c>
      <c r="M18" s="50" t="str">
        <f aca="false">""</f>
        <v/>
      </c>
      <c r="N18" s="65"/>
      <c r="O18" s="15" t="n">
        <f aca="false">IF(ISNUMBER(N18),N18,J18)</f>
        <v>11</v>
      </c>
      <c r="P18" s="13" t="str">
        <f aca="false">IF(ISNUMBER(N18),"실적 입력",IF(ISNUMBER(J18),"추정 생산 가능량","미확인"))</f>
        <v>추정 생산 가능량</v>
      </c>
      <c r="Q18" s="36" t="n">
        <f aca="false">IF(D18="리플럭스 적용",IF(ISNUMBER(01_Inputs!$B$36),01_Inputs!$B$36,01_Inputs!$B$32),01_Inputs!$B$32)</f>
        <v>190</v>
      </c>
      <c r="R18" s="40" t="n">
        <f aca="false">IF(ISNUMBER(O18),O18*Q18,"미확인")</f>
        <v>2090</v>
      </c>
      <c r="S18" s="40" t="n">
        <f aca="false">IF(ISNUMBER(R18),R18*IF(ISNUMBER(01_Inputs!$B$81),01_Inputs!$B$81,1),"미확인")</f>
        <v>2090</v>
      </c>
      <c r="T18" s="66" t="n">
        <f aca="false">01_Inputs!$C$96</f>
        <v>1893.33333333333</v>
      </c>
      <c r="U18" s="66" t="n">
        <f aca="false">IF(ISNUMBER(01_Inputs!$C$97),01_Inputs!$C$97,"미제시")</f>
        <v>0</v>
      </c>
      <c r="V18" s="66" t="n">
        <f aca="false">01_Inputs!$C$98</f>
        <v>840</v>
      </c>
      <c r="W18" s="27" t="n">
        <f aca="false">SUM(T18:V18)</f>
        <v>2733.33333333333</v>
      </c>
      <c r="X18" s="20" t="n">
        <f aca="false">W18/Q18</f>
        <v>14.3859649122807</v>
      </c>
      <c r="Y18" s="15" t="n">
        <f aca="false">ROUNDUP(T18/01_Inputs!$B$33,0)+IF(ISNUMBER(U18),ROUNDUP(U18/01_Inputs!$B$33,0),0)</f>
        <v>95</v>
      </c>
      <c r="Z18" s="14" t="n">
        <f aca="false">Y18*01_Inputs!$B$23</f>
        <v>190</v>
      </c>
      <c r="AA18" s="15" t="n">
        <f aca="false">ROUNDUP(V18/01_Inputs!$B$35,0)</f>
        <v>6</v>
      </c>
      <c r="AB18" s="14" t="n">
        <f aca="false">IF(AND(A18&gt;=01_Inputs!$B$51,ISNUMBER(01_Inputs!$B$29)),01_Inputs!$B$29,01_Inputs!$B$27)</f>
        <v>8</v>
      </c>
      <c r="AC18" s="13" t="str">
        <f aca="false">IF(A18&gt;=01_Inputs!$B$51,IF(ISNUMBER(01_Inputs!$B$29),"ARS","ARS (시간 미확인→수동 8 h 참고)"),"수동")</f>
        <v>ARS (시간 미확인→수동 8 h 참고)</v>
      </c>
      <c r="AD18" s="14" t="n">
        <f aca="false">IF(01_Inputs!$B$28=1,AA18*AB18,ROUNDUP(V18/Q18,0)*AB18)</f>
        <v>48</v>
      </c>
      <c r="AE18" s="14" t="n">
        <f aca="false">IF(ISNUMBER(O18),O18*(01_Inputs!$B$14/IF(ISNUMBER(01_Inputs!$B$15),01_Inputs!$B$15,1)+01_Inputs!$B$20+01_Inputs!$B$30),"미확인")</f>
        <v>66</v>
      </c>
      <c r="AF18" s="14" t="str">
        <f aca="false">IF(ISNUMBER(01_Inputs!$B$62),01_Inputs!$B$62,"미확인")</f>
        <v>미확인</v>
      </c>
      <c r="AG18" s="14" t="str">
        <f aca="false">IF(ISNUMBER(AF18),AF18-Z18,"미확인")</f>
        <v>미확인</v>
      </c>
      <c r="AH18" s="29" t="n">
        <f aca="false">IF(ISNUMBER(S18),S18-W18,"미확인")</f>
        <v>-643.333333333333</v>
      </c>
      <c r="AI18" s="29" t="n">
        <f aca="false">IF(AND(ISNUMBER(AH18),ISNUMBER(AI17)),AI17+AH18,"보류")</f>
        <v>4646.66666666667</v>
      </c>
      <c r="AJ18" s="29" t="str">
        <f aca="false">IF(ISNUMBER(AQ17),AQ17,"보류")</f>
        <v>보류</v>
      </c>
      <c r="AK18" s="29" t="str">
        <f aca="false">IF(AND(ISNUMBER(AJ18),ISNUMBER(S18)),AJ18+S18,"보류")</f>
        <v>보류</v>
      </c>
      <c r="AL18" s="29" t="str">
        <f aca="false">IF(ISNUMBER(AK18),MIN(AK18,T18),"보류")</f>
        <v>보류</v>
      </c>
      <c r="AM18" s="29" t="str">
        <f aca="false">IF(ISNUMBER(AK18),MIN(AK18-AL18,N(01_Inputs!$B$79)),"보류")</f>
        <v>보류</v>
      </c>
      <c r="AN18" s="29" t="str">
        <f aca="false">IF(ISNUMBER(AK18),MIN(AK18-AL18-AM18,N(U18)),"보류")</f>
        <v>보류</v>
      </c>
      <c r="AO18" s="29" t="str">
        <f aca="false">IF(ISNUMBER(AK18),MIN(AK18-AL18-AM18-AN18,V18),"보류")</f>
        <v>보류</v>
      </c>
      <c r="AP18" s="29" t="str">
        <f aca="false">IF(ISNUMBER(AK18),W18-AL18-AN18-AO18,"보류")</f>
        <v>보류</v>
      </c>
      <c r="AQ18" s="27" t="str">
        <f aca="false">IF(ISNUMBER(AK18),AK18-AL18-AN18-AO18,"보류")</f>
        <v>보류</v>
      </c>
      <c r="AR18" s="29" t="str">
        <f aca="false">IF(ISNUMBER(01_Inputs!$B$80),01_Inputs!$B$80,"미입력")</f>
        <v>미입력</v>
      </c>
      <c r="AS18" s="29" t="str">
        <f aca="false">IF(AND(ISNUMBER(AJ18),ISNUMBER(AR18)),W18+AR18-AJ18,"보류")</f>
        <v>보류</v>
      </c>
      <c r="AT18" s="29" t="str">
        <f aca="false">IF(AND(ISNUMBER(AQ18),ISNUMBER(AR18)),AQ18-AR18,"보류")</f>
        <v>보류</v>
      </c>
      <c r="AU18" s="13" t="str">
        <f aca="false">IF(ISNUMBER(AQ18),"계산 가능",IF(ISNUMBER(AH18),"부분 (재고 입력 필요)","보류 (생산 조건 미확인)"))</f>
        <v>부분 (재고 입력 필요)</v>
      </c>
      <c r="AV18" s="8" t="str">
        <f aca="false">IF(D18="리플럭스 공사",IF(ISNUMBER(01_Inputs!$B$57),"","공사 중 가용시간·"),"")&amp;IF(D18="시운전",IF(ISNUMBER(01_Inputs!$B$58),"","시운전 양품 Batch·"),"")&amp;IF(D18="리플럭스 적용",IF(ISNUMBER(01_Inputs!$B$45),"","리플럭스 정제시간·"),"")&amp;IF(AND(D18="리플럭스 적용",NOT(ISNUMBER(01_Inputs!$B$36))),"Batch량(190 유지 가정)·","")&amp;IF(ISNUMBER(N18),"","실적 Batch·")&amp;IF(ISNUMBER(F18),"","정지·보수(미반영)·")&amp;IF(ISNUMBER(01_Inputs!$B$81),"","양품률(100% 상한)·")&amp;IF(ISNUMBER(U18),"","CXMT 물량 미제시·")&amp;IF(ISNUMBER(01_Inputs!$B$62),"","글로브 박스 가용시간·")&amp;IF(ISNUMBER(01_Inputs!$B$78),"","기초재고·")</f>
        <v>실적 Batch·정지·보수(미반영)·양품률(100% 상한)·글로브 박스 가용시간·기초재고·</v>
      </c>
    </row>
    <row r="19" customFormat="false" ht="26.85" hidden="false" customHeight="false" outlineLevel="0" collapsed="false">
      <c r="A19" s="63" t="n">
        <v>46419</v>
      </c>
      <c r="B19" s="15" t="n">
        <f aca="false">YEAR(A19)</f>
        <v>2027</v>
      </c>
      <c r="C19" s="15" t="n">
        <f aca="false">DAY(EOMONTH(A19,0))</f>
        <v>28</v>
      </c>
      <c r="D19" s="8" t="str">
        <f aca="false">IF(A19&lt;01_Inputs!$B$52,"현재(103℃)",IF(A19&lt;=01_Inputs!$B$53,"리플럭스 공사",IF(A19&lt;01_Inputs!$B$55,"시운전","리플럭스 적용")))</f>
        <v>리플럭스 공사</v>
      </c>
      <c r="E19" s="14" t="n">
        <f aca="false">C19*24</f>
        <v>672</v>
      </c>
      <c r="F19" s="64"/>
      <c r="G19" s="14" t="str">
        <f aca="false">IF(D19="리플럭스 공사",IF(ISNUMBER(01_Inputs!$B$57),01_Inputs!$B$57,"미확인"),IF(D19="시운전","시운전",E19-N(F19)))</f>
        <v>미확인</v>
      </c>
      <c r="H19" s="20" t="n">
        <f aca="false">IF(OR(D19="현재(103℃)",D19="리플럭스 공사"),03_Capacity_Model!$B$91,IF(D19="리플럭스 적용",IF(ISNUMBER(01_Inputs!$B$45),01_Inputs!$B$45+IF(ISNUMBER(01_Inputs!$B$46),01_Inputs!$B$46,03_Capacity_Model!$B$59),"미확인"),"-"))</f>
        <v>67.4716981132076</v>
      </c>
      <c r="I19" s="14" t="n">
        <f aca="false">IF(AND(ISNUMBER(K18),D18=D19),K18,0)</f>
        <v>0</v>
      </c>
      <c r="J19" s="43" t="str">
        <f aca="false">IF(D19="시운전",IF(ISNUMBER(01_Inputs!$B$58),01_Inputs!$B$58,"미확인"),IF(AND(ISNUMBER(G19),ISNUMBER(H19)),INT((G19+I19)/H19),"미확인"))</f>
        <v>미확인</v>
      </c>
      <c r="K19" s="14" t="str">
        <f aca="false">IF(AND(ISNUMBER(G19),ISNUMBER(H19),ISNUMBER(J19)),G19+I19-J19*H19,"")</f>
        <v/>
      </c>
      <c r="L19" s="50" t="str">
        <f aca="false">IF(COUNTIFS(02_Batch_Raw!$E$6:$E$61,"&gt;="&amp;A19,02_Batch_Raw!$E$6:$E$61,"&lt;="&amp;EOMONTH(A19,0))=0,"",COUNTIFS(02_Batch_Raw!$E$6:$E$61,"&gt;="&amp;A19,02_Batch_Raw!$E$6:$E$61,"&lt;="&amp;EOMONTH(A19,0)))</f>
        <v/>
      </c>
      <c r="M19" s="50" t="str">
        <f aca="false">""</f>
        <v/>
      </c>
      <c r="N19" s="65"/>
      <c r="O19" s="15" t="str">
        <f aca="false">IF(ISNUMBER(N19),N19,J19)</f>
        <v>미확인</v>
      </c>
      <c r="P19" s="13" t="str">
        <f aca="false">IF(ISNUMBER(N19),"실적 입력",IF(ISNUMBER(J19),"추정 생산 가능량","미확인"))</f>
        <v>미확인</v>
      </c>
      <c r="Q19" s="36" t="n">
        <f aca="false">IF(D19="리플럭스 적용",IF(ISNUMBER(01_Inputs!$B$36),01_Inputs!$B$36,01_Inputs!$B$32),01_Inputs!$B$32)</f>
        <v>190</v>
      </c>
      <c r="R19" s="40" t="str">
        <f aca="false">IF(ISNUMBER(O19),O19*Q19,"미확인")</f>
        <v>미확인</v>
      </c>
      <c r="S19" s="40" t="str">
        <f aca="false">IF(ISNUMBER(R19),R19*IF(ISNUMBER(01_Inputs!$B$81),01_Inputs!$B$81,1),"미확인")</f>
        <v>미확인</v>
      </c>
      <c r="T19" s="66" t="n">
        <f aca="false">01_Inputs!$D$96</f>
        <v>1893.33333333333</v>
      </c>
      <c r="U19" s="66" t="n">
        <f aca="false">IF(ISNUMBER(01_Inputs!$D$97),01_Inputs!$D$97,"미제시")</f>
        <v>0</v>
      </c>
      <c r="V19" s="66" t="n">
        <f aca="false">01_Inputs!$D$98</f>
        <v>840</v>
      </c>
      <c r="W19" s="27" t="n">
        <f aca="false">SUM(T19:V19)</f>
        <v>2733.33333333333</v>
      </c>
      <c r="X19" s="20" t="n">
        <f aca="false">W19/Q19</f>
        <v>14.3859649122807</v>
      </c>
      <c r="Y19" s="15" t="n">
        <f aca="false">ROUNDUP(T19/01_Inputs!$B$33,0)+IF(ISNUMBER(U19),ROUNDUP(U19/01_Inputs!$B$33,0),0)</f>
        <v>95</v>
      </c>
      <c r="Z19" s="14" t="n">
        <f aca="false">Y19*01_Inputs!$B$23</f>
        <v>190</v>
      </c>
      <c r="AA19" s="15" t="n">
        <f aca="false">ROUNDUP(V19/01_Inputs!$B$35,0)</f>
        <v>6</v>
      </c>
      <c r="AB19" s="14" t="n">
        <f aca="false">IF(AND(A19&gt;=01_Inputs!$B$51,ISNUMBER(01_Inputs!$B$29)),01_Inputs!$B$29,01_Inputs!$B$27)</f>
        <v>8</v>
      </c>
      <c r="AC19" s="13" t="str">
        <f aca="false">IF(A19&gt;=01_Inputs!$B$51,IF(ISNUMBER(01_Inputs!$B$29),"ARS","ARS (시간 미확인→수동 8 h 참고)"),"수동")</f>
        <v>ARS (시간 미확인→수동 8 h 참고)</v>
      </c>
      <c r="AD19" s="14" t="n">
        <f aca="false">IF(01_Inputs!$B$28=1,AA19*AB19,ROUNDUP(V19/Q19,0)*AB19)</f>
        <v>48</v>
      </c>
      <c r="AE19" s="14" t="str">
        <f aca="false">IF(ISNUMBER(O19),O19*(01_Inputs!$B$14/IF(ISNUMBER(01_Inputs!$B$15),01_Inputs!$B$15,1)+01_Inputs!$B$20+01_Inputs!$B$30),"미확인")</f>
        <v>미확인</v>
      </c>
      <c r="AF19" s="14" t="str">
        <f aca="false">IF(ISNUMBER(01_Inputs!$B$62),01_Inputs!$B$62,"미확인")</f>
        <v>미확인</v>
      </c>
      <c r="AG19" s="14" t="str">
        <f aca="false">IF(ISNUMBER(AF19),AF19-Z19,"미확인")</f>
        <v>미확인</v>
      </c>
      <c r="AH19" s="29" t="str">
        <f aca="false">IF(ISNUMBER(S19),S19-W19,"미확인")</f>
        <v>미확인</v>
      </c>
      <c r="AI19" s="29" t="str">
        <f aca="false">IF(AND(ISNUMBER(AH19),ISNUMBER(AI18)),AI18+AH19,"보류")</f>
        <v>보류</v>
      </c>
      <c r="AJ19" s="29" t="str">
        <f aca="false">IF(ISNUMBER(AQ18),AQ18,"보류")</f>
        <v>보류</v>
      </c>
      <c r="AK19" s="29" t="str">
        <f aca="false">IF(AND(ISNUMBER(AJ19),ISNUMBER(S19)),AJ19+S19,"보류")</f>
        <v>보류</v>
      </c>
      <c r="AL19" s="29" t="str">
        <f aca="false">IF(ISNUMBER(AK19),MIN(AK19,T19),"보류")</f>
        <v>보류</v>
      </c>
      <c r="AM19" s="29" t="str">
        <f aca="false">IF(ISNUMBER(AK19),MIN(AK19-AL19,N(01_Inputs!$B$79)),"보류")</f>
        <v>보류</v>
      </c>
      <c r="AN19" s="29" t="str">
        <f aca="false">IF(ISNUMBER(AK19),MIN(AK19-AL19-AM19,N(U19)),"보류")</f>
        <v>보류</v>
      </c>
      <c r="AO19" s="29" t="str">
        <f aca="false">IF(ISNUMBER(AK19),MIN(AK19-AL19-AM19-AN19,V19),"보류")</f>
        <v>보류</v>
      </c>
      <c r="AP19" s="29" t="str">
        <f aca="false">IF(ISNUMBER(AK19),W19-AL19-AN19-AO19,"보류")</f>
        <v>보류</v>
      </c>
      <c r="AQ19" s="27" t="str">
        <f aca="false">IF(ISNUMBER(AK19),AK19-AL19-AN19-AO19,"보류")</f>
        <v>보류</v>
      </c>
      <c r="AR19" s="29" t="str">
        <f aca="false">IF(ISNUMBER(01_Inputs!$B$80),01_Inputs!$B$80,"미입력")</f>
        <v>미입력</v>
      </c>
      <c r="AS19" s="29" t="str">
        <f aca="false">IF(AND(ISNUMBER(AJ19),ISNUMBER(AR19)),W19+AR19-AJ19,"보류")</f>
        <v>보류</v>
      </c>
      <c r="AT19" s="29" t="str">
        <f aca="false">IF(AND(ISNUMBER(AQ19),ISNUMBER(AR19)),AQ19-AR19,"보류")</f>
        <v>보류</v>
      </c>
      <c r="AU19" s="13" t="str">
        <f aca="false">IF(ISNUMBER(AQ19),"계산 가능",IF(ISNUMBER(AH19),"부분 (재고 입력 필요)","보류 (생산 조건 미확인)"))</f>
        <v>보류 (생산 조건 미확인)</v>
      </c>
      <c r="AV19" s="8" t="str">
        <f aca="false">IF(D19="리플럭스 공사",IF(ISNUMBER(01_Inputs!$B$57),"","공사 중 가용시간·"),"")&amp;IF(D19="시운전",IF(ISNUMBER(01_Inputs!$B$58),"","시운전 양품 Batch·"),"")&amp;IF(D19="리플럭스 적용",IF(ISNUMBER(01_Inputs!$B$45),"","리플럭스 정제시간·"),"")&amp;IF(AND(D19="리플럭스 적용",NOT(ISNUMBER(01_Inputs!$B$36))),"Batch량(190 유지 가정)·","")&amp;IF(ISNUMBER(N19),"","실적 Batch·")&amp;IF(ISNUMBER(F19),"","정지·보수(미반영)·")&amp;IF(ISNUMBER(01_Inputs!$B$81),"","양품률(100% 상한)·")&amp;IF(ISNUMBER(U19),"","CXMT 물량 미제시·")&amp;IF(ISNUMBER(01_Inputs!$B$62),"","글로브 박스 가용시간·")&amp;IF(ISNUMBER(01_Inputs!$B$78),"","기초재고·")</f>
        <v>공사 중 가용시간·실적 Batch·정지·보수(미반영)·양품률(100% 상한)·글로브 박스 가용시간·기초재고·</v>
      </c>
    </row>
    <row r="20" customFormat="false" ht="26.85" hidden="false" customHeight="false" outlineLevel="0" collapsed="false">
      <c r="A20" s="63" t="n">
        <v>46447</v>
      </c>
      <c r="B20" s="15" t="n">
        <f aca="false">YEAR(A20)</f>
        <v>2027</v>
      </c>
      <c r="C20" s="15" t="n">
        <f aca="false">DAY(EOMONTH(A20,0))</f>
        <v>31</v>
      </c>
      <c r="D20" s="8" t="str">
        <f aca="false">IF(A20&lt;01_Inputs!$B$52,"현재(103℃)",IF(A20&lt;=01_Inputs!$B$53,"리플럭스 공사",IF(A20&lt;01_Inputs!$B$55,"시운전","리플럭스 적용")))</f>
        <v>리플럭스 공사</v>
      </c>
      <c r="E20" s="14" t="n">
        <f aca="false">C20*24</f>
        <v>744</v>
      </c>
      <c r="F20" s="64"/>
      <c r="G20" s="14" t="str">
        <f aca="false">IF(D20="리플럭스 공사",IF(ISNUMBER(01_Inputs!$B$57),01_Inputs!$B$57,"미확인"),IF(D20="시운전","시운전",E20-N(F20)))</f>
        <v>미확인</v>
      </c>
      <c r="H20" s="20" t="n">
        <f aca="false">IF(OR(D20="현재(103℃)",D20="리플럭스 공사"),03_Capacity_Model!$B$91,IF(D20="리플럭스 적용",IF(ISNUMBER(01_Inputs!$B$45),01_Inputs!$B$45+IF(ISNUMBER(01_Inputs!$B$46),01_Inputs!$B$46,03_Capacity_Model!$B$59),"미확인"),"-"))</f>
        <v>67.4716981132076</v>
      </c>
      <c r="I20" s="14" t="n">
        <f aca="false">IF(AND(ISNUMBER(K19),D19=D20),K19,0)</f>
        <v>0</v>
      </c>
      <c r="J20" s="43" t="str">
        <f aca="false">IF(D20="시운전",IF(ISNUMBER(01_Inputs!$B$58),01_Inputs!$B$58,"미확인"),IF(AND(ISNUMBER(G20),ISNUMBER(H20)),INT((G20+I20)/H20),"미확인"))</f>
        <v>미확인</v>
      </c>
      <c r="K20" s="14" t="str">
        <f aca="false">IF(AND(ISNUMBER(G20),ISNUMBER(H20),ISNUMBER(J20)),G20+I20-J20*H20,"")</f>
        <v/>
      </c>
      <c r="L20" s="50" t="str">
        <f aca="false">IF(COUNTIFS(02_Batch_Raw!$E$6:$E$61,"&gt;="&amp;A20,02_Batch_Raw!$E$6:$E$61,"&lt;="&amp;EOMONTH(A20,0))=0,"",COUNTIFS(02_Batch_Raw!$E$6:$E$61,"&gt;="&amp;A20,02_Batch_Raw!$E$6:$E$61,"&lt;="&amp;EOMONTH(A20,0)))</f>
        <v/>
      </c>
      <c r="M20" s="50" t="str">
        <f aca="false">""</f>
        <v/>
      </c>
      <c r="N20" s="65"/>
      <c r="O20" s="15" t="str">
        <f aca="false">IF(ISNUMBER(N20),N20,J20)</f>
        <v>미확인</v>
      </c>
      <c r="P20" s="13" t="str">
        <f aca="false">IF(ISNUMBER(N20),"실적 입력",IF(ISNUMBER(J20),"추정 생산 가능량","미확인"))</f>
        <v>미확인</v>
      </c>
      <c r="Q20" s="36" t="n">
        <f aca="false">IF(D20="리플럭스 적용",IF(ISNUMBER(01_Inputs!$B$36),01_Inputs!$B$36,01_Inputs!$B$32),01_Inputs!$B$32)</f>
        <v>190</v>
      </c>
      <c r="R20" s="40" t="str">
        <f aca="false">IF(ISNUMBER(O20),O20*Q20,"미확인")</f>
        <v>미확인</v>
      </c>
      <c r="S20" s="40" t="str">
        <f aca="false">IF(ISNUMBER(R20),R20*IF(ISNUMBER(01_Inputs!$B$81),01_Inputs!$B$81,1),"미확인")</f>
        <v>미확인</v>
      </c>
      <c r="T20" s="66" t="n">
        <f aca="false">01_Inputs!$E$96</f>
        <v>1893.33333333333</v>
      </c>
      <c r="U20" s="66" t="n">
        <f aca="false">IF(ISNUMBER(01_Inputs!$E$97),01_Inputs!$E$97,"미제시")</f>
        <v>0</v>
      </c>
      <c r="V20" s="66" t="n">
        <f aca="false">01_Inputs!$E$98</f>
        <v>840</v>
      </c>
      <c r="W20" s="27" t="n">
        <f aca="false">SUM(T20:V20)</f>
        <v>2733.33333333333</v>
      </c>
      <c r="X20" s="20" t="n">
        <f aca="false">W20/Q20</f>
        <v>14.3859649122807</v>
      </c>
      <c r="Y20" s="15" t="n">
        <f aca="false">ROUNDUP(T20/01_Inputs!$B$33,0)+IF(ISNUMBER(U20),ROUNDUP(U20/01_Inputs!$B$33,0),0)</f>
        <v>95</v>
      </c>
      <c r="Z20" s="14" t="n">
        <f aca="false">Y20*01_Inputs!$B$23</f>
        <v>190</v>
      </c>
      <c r="AA20" s="15" t="n">
        <f aca="false">ROUNDUP(V20/01_Inputs!$B$35,0)</f>
        <v>6</v>
      </c>
      <c r="AB20" s="14" t="n">
        <f aca="false">IF(AND(A20&gt;=01_Inputs!$B$51,ISNUMBER(01_Inputs!$B$29)),01_Inputs!$B$29,01_Inputs!$B$27)</f>
        <v>8</v>
      </c>
      <c r="AC20" s="13" t="str">
        <f aca="false">IF(A20&gt;=01_Inputs!$B$51,IF(ISNUMBER(01_Inputs!$B$29),"ARS","ARS (시간 미확인→수동 8 h 참고)"),"수동")</f>
        <v>ARS (시간 미확인→수동 8 h 참고)</v>
      </c>
      <c r="AD20" s="14" t="n">
        <f aca="false">IF(01_Inputs!$B$28=1,AA20*AB20,ROUNDUP(V20/Q20,0)*AB20)</f>
        <v>48</v>
      </c>
      <c r="AE20" s="14" t="str">
        <f aca="false">IF(ISNUMBER(O20),O20*(01_Inputs!$B$14/IF(ISNUMBER(01_Inputs!$B$15),01_Inputs!$B$15,1)+01_Inputs!$B$20+01_Inputs!$B$30),"미확인")</f>
        <v>미확인</v>
      </c>
      <c r="AF20" s="14" t="str">
        <f aca="false">IF(ISNUMBER(01_Inputs!$B$62),01_Inputs!$B$62,"미확인")</f>
        <v>미확인</v>
      </c>
      <c r="AG20" s="14" t="str">
        <f aca="false">IF(ISNUMBER(AF20),AF20-Z20,"미확인")</f>
        <v>미확인</v>
      </c>
      <c r="AH20" s="29" t="str">
        <f aca="false">IF(ISNUMBER(S20),S20-W20,"미확인")</f>
        <v>미확인</v>
      </c>
      <c r="AI20" s="29" t="str">
        <f aca="false">IF(AND(ISNUMBER(AH20),ISNUMBER(AI19)),AI19+AH20,"보류")</f>
        <v>보류</v>
      </c>
      <c r="AJ20" s="29" t="str">
        <f aca="false">IF(ISNUMBER(AQ19),AQ19,"보류")</f>
        <v>보류</v>
      </c>
      <c r="AK20" s="29" t="str">
        <f aca="false">IF(AND(ISNUMBER(AJ20),ISNUMBER(S20)),AJ20+S20,"보류")</f>
        <v>보류</v>
      </c>
      <c r="AL20" s="29" t="str">
        <f aca="false">IF(ISNUMBER(AK20),MIN(AK20,T20),"보류")</f>
        <v>보류</v>
      </c>
      <c r="AM20" s="29" t="str">
        <f aca="false">IF(ISNUMBER(AK20),MIN(AK20-AL20,N(01_Inputs!$B$79)),"보류")</f>
        <v>보류</v>
      </c>
      <c r="AN20" s="29" t="str">
        <f aca="false">IF(ISNUMBER(AK20),MIN(AK20-AL20-AM20,N(U20)),"보류")</f>
        <v>보류</v>
      </c>
      <c r="AO20" s="29" t="str">
        <f aca="false">IF(ISNUMBER(AK20),MIN(AK20-AL20-AM20-AN20,V20),"보류")</f>
        <v>보류</v>
      </c>
      <c r="AP20" s="29" t="str">
        <f aca="false">IF(ISNUMBER(AK20),W20-AL20-AN20-AO20,"보류")</f>
        <v>보류</v>
      </c>
      <c r="AQ20" s="27" t="str">
        <f aca="false">IF(ISNUMBER(AK20),AK20-AL20-AN20-AO20,"보류")</f>
        <v>보류</v>
      </c>
      <c r="AR20" s="29" t="str">
        <f aca="false">IF(ISNUMBER(01_Inputs!$B$80),01_Inputs!$B$80,"미입력")</f>
        <v>미입력</v>
      </c>
      <c r="AS20" s="29" t="str">
        <f aca="false">IF(AND(ISNUMBER(AJ20),ISNUMBER(AR20)),W20+AR20-AJ20,"보류")</f>
        <v>보류</v>
      </c>
      <c r="AT20" s="29" t="str">
        <f aca="false">IF(AND(ISNUMBER(AQ20),ISNUMBER(AR20)),AQ20-AR20,"보류")</f>
        <v>보류</v>
      </c>
      <c r="AU20" s="13" t="str">
        <f aca="false">IF(ISNUMBER(AQ20),"계산 가능",IF(ISNUMBER(AH20),"부분 (재고 입력 필요)","보류 (생산 조건 미확인)"))</f>
        <v>보류 (생산 조건 미확인)</v>
      </c>
      <c r="AV20" s="8" t="str">
        <f aca="false">IF(D20="리플럭스 공사",IF(ISNUMBER(01_Inputs!$B$57),"","공사 중 가용시간·"),"")&amp;IF(D20="시운전",IF(ISNUMBER(01_Inputs!$B$58),"","시운전 양품 Batch·"),"")&amp;IF(D20="리플럭스 적용",IF(ISNUMBER(01_Inputs!$B$45),"","리플럭스 정제시간·"),"")&amp;IF(AND(D20="리플럭스 적용",NOT(ISNUMBER(01_Inputs!$B$36))),"Batch량(190 유지 가정)·","")&amp;IF(ISNUMBER(N20),"","실적 Batch·")&amp;IF(ISNUMBER(F20),"","정지·보수(미반영)·")&amp;IF(ISNUMBER(01_Inputs!$B$81),"","양품률(100% 상한)·")&amp;IF(ISNUMBER(U20),"","CXMT 물량 미제시·")&amp;IF(ISNUMBER(01_Inputs!$B$62),"","글로브 박스 가용시간·")&amp;IF(ISNUMBER(01_Inputs!$B$78),"","기초재고·")</f>
        <v>공사 중 가용시간·실적 Batch·정지·보수(미반영)·양품률(100% 상한)·글로브 박스 가용시간·기초재고·</v>
      </c>
    </row>
    <row r="21" customFormat="false" ht="26.85" hidden="false" customHeight="false" outlineLevel="0" collapsed="false">
      <c r="A21" s="63" t="n">
        <v>46478</v>
      </c>
      <c r="B21" s="15" t="n">
        <f aca="false">YEAR(A21)</f>
        <v>2027</v>
      </c>
      <c r="C21" s="15" t="n">
        <f aca="false">DAY(EOMONTH(A21,0))</f>
        <v>30</v>
      </c>
      <c r="D21" s="8" t="str">
        <f aca="false">IF(A21&lt;01_Inputs!$B$52,"현재(103℃)",IF(A21&lt;=01_Inputs!$B$53,"리플럭스 공사",IF(A21&lt;01_Inputs!$B$55,"시운전","리플럭스 적용")))</f>
        <v>리플럭스 공사</v>
      </c>
      <c r="E21" s="14" t="n">
        <f aca="false">C21*24</f>
        <v>720</v>
      </c>
      <c r="F21" s="64"/>
      <c r="G21" s="14" t="str">
        <f aca="false">IF(D21="리플럭스 공사",IF(ISNUMBER(01_Inputs!$B$57),01_Inputs!$B$57,"미확인"),IF(D21="시운전","시운전",E21-N(F21)))</f>
        <v>미확인</v>
      </c>
      <c r="H21" s="20" t="n">
        <f aca="false">IF(OR(D21="현재(103℃)",D21="리플럭스 공사"),03_Capacity_Model!$B$91,IF(D21="리플럭스 적용",IF(ISNUMBER(01_Inputs!$B$45),01_Inputs!$B$45+IF(ISNUMBER(01_Inputs!$B$46),01_Inputs!$B$46,03_Capacity_Model!$B$59),"미확인"),"-"))</f>
        <v>67.4716981132076</v>
      </c>
      <c r="I21" s="14" t="n">
        <f aca="false">IF(AND(ISNUMBER(K20),D20=D21),K20,0)</f>
        <v>0</v>
      </c>
      <c r="J21" s="43" t="str">
        <f aca="false">IF(D21="시운전",IF(ISNUMBER(01_Inputs!$B$58),01_Inputs!$B$58,"미확인"),IF(AND(ISNUMBER(G21),ISNUMBER(H21)),INT((G21+I21)/H21),"미확인"))</f>
        <v>미확인</v>
      </c>
      <c r="K21" s="14" t="str">
        <f aca="false">IF(AND(ISNUMBER(G21),ISNUMBER(H21),ISNUMBER(J21)),G21+I21-J21*H21,"")</f>
        <v/>
      </c>
      <c r="L21" s="50" t="str">
        <f aca="false">IF(COUNTIFS(02_Batch_Raw!$E$6:$E$61,"&gt;="&amp;A21,02_Batch_Raw!$E$6:$E$61,"&lt;="&amp;EOMONTH(A21,0))=0,"",COUNTIFS(02_Batch_Raw!$E$6:$E$61,"&gt;="&amp;A21,02_Batch_Raw!$E$6:$E$61,"&lt;="&amp;EOMONTH(A21,0)))</f>
        <v/>
      </c>
      <c r="M21" s="50" t="str">
        <f aca="false">""</f>
        <v/>
      </c>
      <c r="N21" s="65"/>
      <c r="O21" s="15" t="str">
        <f aca="false">IF(ISNUMBER(N21),N21,J21)</f>
        <v>미확인</v>
      </c>
      <c r="P21" s="13" t="str">
        <f aca="false">IF(ISNUMBER(N21),"실적 입력",IF(ISNUMBER(J21),"추정 생산 가능량","미확인"))</f>
        <v>미확인</v>
      </c>
      <c r="Q21" s="36" t="n">
        <f aca="false">IF(D21="리플럭스 적용",IF(ISNUMBER(01_Inputs!$B$36),01_Inputs!$B$36,01_Inputs!$B$32),01_Inputs!$B$32)</f>
        <v>190</v>
      </c>
      <c r="R21" s="40" t="str">
        <f aca="false">IF(ISNUMBER(O21),O21*Q21,"미확인")</f>
        <v>미확인</v>
      </c>
      <c r="S21" s="40" t="str">
        <f aca="false">IF(ISNUMBER(R21),R21*IF(ISNUMBER(01_Inputs!$B$81),01_Inputs!$B$81,1),"미확인")</f>
        <v>미확인</v>
      </c>
      <c r="T21" s="66" t="n">
        <f aca="false">01_Inputs!$F$96</f>
        <v>1893.33333333333</v>
      </c>
      <c r="U21" s="66" t="n">
        <f aca="false">IF(ISNUMBER(01_Inputs!$F$97),01_Inputs!$F$97,"미제시")</f>
        <v>580</v>
      </c>
      <c r="V21" s="66" t="n">
        <f aca="false">01_Inputs!$F$98</f>
        <v>840</v>
      </c>
      <c r="W21" s="27" t="n">
        <f aca="false">SUM(T21:V21)</f>
        <v>3313.33333333333</v>
      </c>
      <c r="X21" s="20" t="n">
        <f aca="false">W21/Q21</f>
        <v>17.4385964912281</v>
      </c>
      <c r="Y21" s="15" t="n">
        <f aca="false">ROUNDUP(T21/01_Inputs!$B$33,0)+IF(ISNUMBER(U21),ROUNDUP(U21/01_Inputs!$B$33,0),0)</f>
        <v>124</v>
      </c>
      <c r="Z21" s="14" t="n">
        <f aca="false">Y21*01_Inputs!$B$23</f>
        <v>248</v>
      </c>
      <c r="AA21" s="15" t="n">
        <f aca="false">ROUNDUP(V21/01_Inputs!$B$35,0)</f>
        <v>6</v>
      </c>
      <c r="AB21" s="14" t="n">
        <f aca="false">IF(AND(A21&gt;=01_Inputs!$B$51,ISNUMBER(01_Inputs!$B$29)),01_Inputs!$B$29,01_Inputs!$B$27)</f>
        <v>8</v>
      </c>
      <c r="AC21" s="13" t="str">
        <f aca="false">IF(A21&gt;=01_Inputs!$B$51,IF(ISNUMBER(01_Inputs!$B$29),"ARS","ARS (시간 미확인→수동 8 h 참고)"),"수동")</f>
        <v>ARS (시간 미확인→수동 8 h 참고)</v>
      </c>
      <c r="AD21" s="14" t="n">
        <f aca="false">IF(01_Inputs!$B$28=1,AA21*AB21,ROUNDUP(V21/Q21,0)*AB21)</f>
        <v>48</v>
      </c>
      <c r="AE21" s="14" t="str">
        <f aca="false">IF(ISNUMBER(O21),O21*(01_Inputs!$B$14/IF(ISNUMBER(01_Inputs!$B$15),01_Inputs!$B$15,1)+01_Inputs!$B$20+01_Inputs!$B$30),"미확인")</f>
        <v>미확인</v>
      </c>
      <c r="AF21" s="14" t="str">
        <f aca="false">IF(ISNUMBER(01_Inputs!$B$62),01_Inputs!$B$62,"미확인")</f>
        <v>미확인</v>
      </c>
      <c r="AG21" s="14" t="str">
        <f aca="false">IF(ISNUMBER(AF21),AF21-Z21,"미확인")</f>
        <v>미확인</v>
      </c>
      <c r="AH21" s="29" t="str">
        <f aca="false">IF(ISNUMBER(S21),S21-W21,"미확인")</f>
        <v>미확인</v>
      </c>
      <c r="AI21" s="29" t="str">
        <f aca="false">IF(AND(ISNUMBER(AH21),ISNUMBER(AI20)),AI20+AH21,"보류")</f>
        <v>보류</v>
      </c>
      <c r="AJ21" s="29" t="str">
        <f aca="false">IF(ISNUMBER(AQ20),AQ20,"보류")</f>
        <v>보류</v>
      </c>
      <c r="AK21" s="29" t="str">
        <f aca="false">IF(AND(ISNUMBER(AJ21),ISNUMBER(S21)),AJ21+S21,"보류")</f>
        <v>보류</v>
      </c>
      <c r="AL21" s="29" t="str">
        <f aca="false">IF(ISNUMBER(AK21),MIN(AK21,T21),"보류")</f>
        <v>보류</v>
      </c>
      <c r="AM21" s="29" t="str">
        <f aca="false">IF(ISNUMBER(AK21),MIN(AK21-AL21,N(01_Inputs!$B$79)),"보류")</f>
        <v>보류</v>
      </c>
      <c r="AN21" s="29" t="str">
        <f aca="false">IF(ISNUMBER(AK21),MIN(AK21-AL21-AM21,N(U21)),"보류")</f>
        <v>보류</v>
      </c>
      <c r="AO21" s="29" t="str">
        <f aca="false">IF(ISNUMBER(AK21),MIN(AK21-AL21-AM21-AN21,V21),"보류")</f>
        <v>보류</v>
      </c>
      <c r="AP21" s="29" t="str">
        <f aca="false">IF(ISNUMBER(AK21),W21-AL21-AN21-AO21,"보류")</f>
        <v>보류</v>
      </c>
      <c r="AQ21" s="27" t="str">
        <f aca="false">IF(ISNUMBER(AK21),AK21-AL21-AN21-AO21,"보류")</f>
        <v>보류</v>
      </c>
      <c r="AR21" s="29" t="str">
        <f aca="false">IF(ISNUMBER(01_Inputs!$B$80),01_Inputs!$B$80,"미입력")</f>
        <v>미입력</v>
      </c>
      <c r="AS21" s="29" t="str">
        <f aca="false">IF(AND(ISNUMBER(AJ21),ISNUMBER(AR21)),W21+AR21-AJ21,"보류")</f>
        <v>보류</v>
      </c>
      <c r="AT21" s="29" t="str">
        <f aca="false">IF(AND(ISNUMBER(AQ21),ISNUMBER(AR21)),AQ21-AR21,"보류")</f>
        <v>보류</v>
      </c>
      <c r="AU21" s="13" t="str">
        <f aca="false">IF(ISNUMBER(AQ21),"계산 가능",IF(ISNUMBER(AH21),"부분 (재고 입력 필요)","보류 (생산 조건 미확인)"))</f>
        <v>보류 (생산 조건 미확인)</v>
      </c>
      <c r="AV21" s="8" t="str">
        <f aca="false">IF(D21="리플럭스 공사",IF(ISNUMBER(01_Inputs!$B$57),"","공사 중 가용시간·"),"")&amp;IF(D21="시운전",IF(ISNUMBER(01_Inputs!$B$58),"","시운전 양품 Batch·"),"")&amp;IF(D21="리플럭스 적용",IF(ISNUMBER(01_Inputs!$B$45),"","리플럭스 정제시간·"),"")&amp;IF(AND(D21="리플럭스 적용",NOT(ISNUMBER(01_Inputs!$B$36))),"Batch량(190 유지 가정)·","")&amp;IF(ISNUMBER(N21),"","실적 Batch·")&amp;IF(ISNUMBER(F21),"","정지·보수(미반영)·")&amp;IF(ISNUMBER(01_Inputs!$B$81),"","양품률(100% 상한)·")&amp;IF(ISNUMBER(U21),"","CXMT 물량 미제시·")&amp;IF(ISNUMBER(01_Inputs!$B$62),"","글로브 박스 가용시간·")&amp;IF(ISNUMBER(01_Inputs!$B$78),"","기초재고·")</f>
        <v>공사 중 가용시간·실적 Batch·정지·보수(미반영)·양품률(100% 상한)·글로브 박스 가용시간·기초재고·</v>
      </c>
    </row>
    <row r="22" customFormat="false" ht="26.85" hidden="false" customHeight="false" outlineLevel="0" collapsed="false">
      <c r="A22" s="63" t="n">
        <v>46508</v>
      </c>
      <c r="B22" s="15" t="n">
        <f aca="false">YEAR(A22)</f>
        <v>2027</v>
      </c>
      <c r="C22" s="15" t="n">
        <f aca="false">DAY(EOMONTH(A22,0))</f>
        <v>31</v>
      </c>
      <c r="D22" s="8" t="str">
        <f aca="false">IF(A22&lt;01_Inputs!$B$52,"현재(103℃)",IF(A22&lt;=01_Inputs!$B$53,"리플럭스 공사",IF(A22&lt;01_Inputs!$B$55,"시운전","리플럭스 적용")))</f>
        <v>리플럭스 공사</v>
      </c>
      <c r="E22" s="14" t="n">
        <f aca="false">C22*24</f>
        <v>744</v>
      </c>
      <c r="F22" s="64"/>
      <c r="G22" s="14" t="str">
        <f aca="false">IF(D22="리플럭스 공사",IF(ISNUMBER(01_Inputs!$B$57),01_Inputs!$B$57,"미확인"),IF(D22="시운전","시운전",E22-N(F22)))</f>
        <v>미확인</v>
      </c>
      <c r="H22" s="20" t="n">
        <f aca="false">IF(OR(D22="현재(103℃)",D22="리플럭스 공사"),03_Capacity_Model!$B$91,IF(D22="리플럭스 적용",IF(ISNUMBER(01_Inputs!$B$45),01_Inputs!$B$45+IF(ISNUMBER(01_Inputs!$B$46),01_Inputs!$B$46,03_Capacity_Model!$B$59),"미확인"),"-"))</f>
        <v>67.4716981132076</v>
      </c>
      <c r="I22" s="14" t="n">
        <f aca="false">IF(AND(ISNUMBER(K21),D21=D22),K21,0)</f>
        <v>0</v>
      </c>
      <c r="J22" s="43" t="str">
        <f aca="false">IF(D22="시운전",IF(ISNUMBER(01_Inputs!$B$58),01_Inputs!$B$58,"미확인"),IF(AND(ISNUMBER(G22),ISNUMBER(H22)),INT((G22+I22)/H22),"미확인"))</f>
        <v>미확인</v>
      </c>
      <c r="K22" s="14" t="str">
        <f aca="false">IF(AND(ISNUMBER(G22),ISNUMBER(H22),ISNUMBER(J22)),G22+I22-J22*H22,"")</f>
        <v/>
      </c>
      <c r="L22" s="50" t="str">
        <f aca="false">IF(COUNTIFS(02_Batch_Raw!$E$6:$E$61,"&gt;="&amp;A22,02_Batch_Raw!$E$6:$E$61,"&lt;="&amp;EOMONTH(A22,0))=0,"",COUNTIFS(02_Batch_Raw!$E$6:$E$61,"&gt;="&amp;A22,02_Batch_Raw!$E$6:$E$61,"&lt;="&amp;EOMONTH(A22,0)))</f>
        <v/>
      </c>
      <c r="M22" s="50" t="str">
        <f aca="false">""</f>
        <v/>
      </c>
      <c r="N22" s="65"/>
      <c r="O22" s="15" t="str">
        <f aca="false">IF(ISNUMBER(N22),N22,J22)</f>
        <v>미확인</v>
      </c>
      <c r="P22" s="13" t="str">
        <f aca="false">IF(ISNUMBER(N22),"실적 입력",IF(ISNUMBER(J22),"추정 생산 가능량","미확인"))</f>
        <v>미확인</v>
      </c>
      <c r="Q22" s="36" t="n">
        <f aca="false">IF(D22="리플럭스 적용",IF(ISNUMBER(01_Inputs!$B$36),01_Inputs!$B$36,01_Inputs!$B$32),01_Inputs!$B$32)</f>
        <v>190</v>
      </c>
      <c r="R22" s="40" t="str">
        <f aca="false">IF(ISNUMBER(O22),O22*Q22,"미확인")</f>
        <v>미확인</v>
      </c>
      <c r="S22" s="40" t="str">
        <f aca="false">IF(ISNUMBER(R22),R22*IF(ISNUMBER(01_Inputs!$B$81),01_Inputs!$B$81,1),"미확인")</f>
        <v>미확인</v>
      </c>
      <c r="T22" s="66" t="n">
        <f aca="false">01_Inputs!$G$96</f>
        <v>1893.33333333333</v>
      </c>
      <c r="U22" s="66" t="n">
        <f aca="false">IF(ISNUMBER(01_Inputs!$G$97),01_Inputs!$G$97,"미제시")</f>
        <v>580</v>
      </c>
      <c r="V22" s="66" t="n">
        <f aca="false">01_Inputs!$G$98</f>
        <v>840</v>
      </c>
      <c r="W22" s="27" t="n">
        <f aca="false">SUM(T22:V22)</f>
        <v>3313.33333333333</v>
      </c>
      <c r="X22" s="20" t="n">
        <f aca="false">W22/Q22</f>
        <v>17.4385964912281</v>
      </c>
      <c r="Y22" s="15" t="n">
        <f aca="false">ROUNDUP(T22/01_Inputs!$B$33,0)+IF(ISNUMBER(U22),ROUNDUP(U22/01_Inputs!$B$33,0),0)</f>
        <v>124</v>
      </c>
      <c r="Z22" s="14" t="n">
        <f aca="false">Y22*01_Inputs!$B$23</f>
        <v>248</v>
      </c>
      <c r="AA22" s="15" t="n">
        <f aca="false">ROUNDUP(V22/01_Inputs!$B$35,0)</f>
        <v>6</v>
      </c>
      <c r="AB22" s="14" t="n">
        <f aca="false">IF(AND(A22&gt;=01_Inputs!$B$51,ISNUMBER(01_Inputs!$B$29)),01_Inputs!$B$29,01_Inputs!$B$27)</f>
        <v>8</v>
      </c>
      <c r="AC22" s="13" t="str">
        <f aca="false">IF(A22&gt;=01_Inputs!$B$51,IF(ISNUMBER(01_Inputs!$B$29),"ARS","ARS (시간 미확인→수동 8 h 참고)"),"수동")</f>
        <v>ARS (시간 미확인→수동 8 h 참고)</v>
      </c>
      <c r="AD22" s="14" t="n">
        <f aca="false">IF(01_Inputs!$B$28=1,AA22*AB22,ROUNDUP(V22/Q22,0)*AB22)</f>
        <v>48</v>
      </c>
      <c r="AE22" s="14" t="str">
        <f aca="false">IF(ISNUMBER(O22),O22*(01_Inputs!$B$14/IF(ISNUMBER(01_Inputs!$B$15),01_Inputs!$B$15,1)+01_Inputs!$B$20+01_Inputs!$B$30),"미확인")</f>
        <v>미확인</v>
      </c>
      <c r="AF22" s="14" t="str">
        <f aca="false">IF(ISNUMBER(01_Inputs!$B$62),01_Inputs!$B$62,"미확인")</f>
        <v>미확인</v>
      </c>
      <c r="AG22" s="14" t="str">
        <f aca="false">IF(ISNUMBER(AF22),AF22-Z22,"미확인")</f>
        <v>미확인</v>
      </c>
      <c r="AH22" s="29" t="str">
        <f aca="false">IF(ISNUMBER(S22),S22-W22,"미확인")</f>
        <v>미확인</v>
      </c>
      <c r="AI22" s="29" t="str">
        <f aca="false">IF(AND(ISNUMBER(AH22),ISNUMBER(AI21)),AI21+AH22,"보류")</f>
        <v>보류</v>
      </c>
      <c r="AJ22" s="29" t="str">
        <f aca="false">IF(ISNUMBER(AQ21),AQ21,"보류")</f>
        <v>보류</v>
      </c>
      <c r="AK22" s="29" t="str">
        <f aca="false">IF(AND(ISNUMBER(AJ22),ISNUMBER(S22)),AJ22+S22,"보류")</f>
        <v>보류</v>
      </c>
      <c r="AL22" s="29" t="str">
        <f aca="false">IF(ISNUMBER(AK22),MIN(AK22,T22),"보류")</f>
        <v>보류</v>
      </c>
      <c r="AM22" s="29" t="str">
        <f aca="false">IF(ISNUMBER(AK22),MIN(AK22-AL22,N(01_Inputs!$B$79)),"보류")</f>
        <v>보류</v>
      </c>
      <c r="AN22" s="29" t="str">
        <f aca="false">IF(ISNUMBER(AK22),MIN(AK22-AL22-AM22,N(U22)),"보류")</f>
        <v>보류</v>
      </c>
      <c r="AO22" s="29" t="str">
        <f aca="false">IF(ISNUMBER(AK22),MIN(AK22-AL22-AM22-AN22,V22),"보류")</f>
        <v>보류</v>
      </c>
      <c r="AP22" s="29" t="str">
        <f aca="false">IF(ISNUMBER(AK22),W22-AL22-AN22-AO22,"보류")</f>
        <v>보류</v>
      </c>
      <c r="AQ22" s="27" t="str">
        <f aca="false">IF(ISNUMBER(AK22),AK22-AL22-AN22-AO22,"보류")</f>
        <v>보류</v>
      </c>
      <c r="AR22" s="29" t="str">
        <f aca="false">IF(ISNUMBER(01_Inputs!$B$80),01_Inputs!$B$80,"미입력")</f>
        <v>미입력</v>
      </c>
      <c r="AS22" s="29" t="str">
        <f aca="false">IF(AND(ISNUMBER(AJ22),ISNUMBER(AR22)),W22+AR22-AJ22,"보류")</f>
        <v>보류</v>
      </c>
      <c r="AT22" s="29" t="str">
        <f aca="false">IF(AND(ISNUMBER(AQ22),ISNUMBER(AR22)),AQ22-AR22,"보류")</f>
        <v>보류</v>
      </c>
      <c r="AU22" s="13" t="str">
        <f aca="false">IF(ISNUMBER(AQ22),"계산 가능",IF(ISNUMBER(AH22),"부분 (재고 입력 필요)","보류 (생산 조건 미확인)"))</f>
        <v>보류 (생산 조건 미확인)</v>
      </c>
      <c r="AV22" s="8" t="str">
        <f aca="false">IF(D22="리플럭스 공사",IF(ISNUMBER(01_Inputs!$B$57),"","공사 중 가용시간·"),"")&amp;IF(D22="시운전",IF(ISNUMBER(01_Inputs!$B$58),"","시운전 양품 Batch·"),"")&amp;IF(D22="리플럭스 적용",IF(ISNUMBER(01_Inputs!$B$45),"","리플럭스 정제시간·"),"")&amp;IF(AND(D22="리플럭스 적용",NOT(ISNUMBER(01_Inputs!$B$36))),"Batch량(190 유지 가정)·","")&amp;IF(ISNUMBER(N22),"","실적 Batch·")&amp;IF(ISNUMBER(F22),"","정지·보수(미반영)·")&amp;IF(ISNUMBER(01_Inputs!$B$81),"","양품률(100% 상한)·")&amp;IF(ISNUMBER(U22),"","CXMT 물량 미제시·")&amp;IF(ISNUMBER(01_Inputs!$B$62),"","글로브 박스 가용시간·")&amp;IF(ISNUMBER(01_Inputs!$B$78),"","기초재고·")</f>
        <v>공사 중 가용시간·실적 Batch·정지·보수(미반영)·양품률(100% 상한)·글로브 박스 가용시간·기초재고·</v>
      </c>
    </row>
    <row r="23" customFormat="false" ht="26.85" hidden="false" customHeight="false" outlineLevel="0" collapsed="false">
      <c r="A23" s="63" t="n">
        <v>46539</v>
      </c>
      <c r="B23" s="15" t="n">
        <f aca="false">YEAR(A23)</f>
        <v>2027</v>
      </c>
      <c r="C23" s="15" t="n">
        <f aca="false">DAY(EOMONTH(A23,0))</f>
        <v>30</v>
      </c>
      <c r="D23" s="8" t="str">
        <f aca="false">IF(A23&lt;01_Inputs!$B$52,"현재(103℃)",IF(A23&lt;=01_Inputs!$B$53,"리플럭스 공사",IF(A23&lt;01_Inputs!$B$55,"시운전","리플럭스 적용")))</f>
        <v>시운전</v>
      </c>
      <c r="E23" s="14" t="n">
        <f aca="false">C23*24</f>
        <v>720</v>
      </c>
      <c r="F23" s="64"/>
      <c r="G23" s="14" t="str">
        <f aca="false">IF(D23="리플럭스 공사",IF(ISNUMBER(01_Inputs!$B$57),01_Inputs!$B$57,"미확인"),IF(D23="시운전","시운전",E23-N(F23)))</f>
        <v>시운전</v>
      </c>
      <c r="H23" s="20" t="str">
        <f aca="false">IF(OR(D23="현재(103℃)",D23="리플럭스 공사"),03_Capacity_Model!$B$91,IF(D23="리플럭스 적용",IF(ISNUMBER(01_Inputs!$B$45),01_Inputs!$B$45+IF(ISNUMBER(01_Inputs!$B$46),01_Inputs!$B$46,03_Capacity_Model!$B$59),"미확인"),"-"))</f>
        <v>-</v>
      </c>
      <c r="I23" s="14" t="n">
        <f aca="false">IF(AND(ISNUMBER(K22),D22=D23),K22,0)</f>
        <v>0</v>
      </c>
      <c r="J23" s="43" t="str">
        <f aca="false">IF(D23="시운전",IF(ISNUMBER(01_Inputs!$B$58),01_Inputs!$B$58,"미확인"),IF(AND(ISNUMBER(G23),ISNUMBER(H23)),INT((G23+I23)/H23),"미확인"))</f>
        <v>미확인</v>
      </c>
      <c r="K23" s="14" t="str">
        <f aca="false">IF(AND(ISNUMBER(G23),ISNUMBER(H23),ISNUMBER(J23)),G23+I23-J23*H23,"")</f>
        <v/>
      </c>
      <c r="L23" s="50" t="str">
        <f aca="false">IF(COUNTIFS(02_Batch_Raw!$E$6:$E$61,"&gt;="&amp;A23,02_Batch_Raw!$E$6:$E$61,"&lt;="&amp;EOMONTH(A23,0))=0,"",COUNTIFS(02_Batch_Raw!$E$6:$E$61,"&gt;="&amp;A23,02_Batch_Raw!$E$6:$E$61,"&lt;="&amp;EOMONTH(A23,0)))</f>
        <v/>
      </c>
      <c r="M23" s="50" t="str">
        <f aca="false">""</f>
        <v/>
      </c>
      <c r="N23" s="65"/>
      <c r="O23" s="15" t="str">
        <f aca="false">IF(ISNUMBER(N23),N23,J23)</f>
        <v>미확인</v>
      </c>
      <c r="P23" s="13" t="str">
        <f aca="false">IF(ISNUMBER(N23),"실적 입력",IF(ISNUMBER(J23),"추정 생산 가능량","미확인"))</f>
        <v>미확인</v>
      </c>
      <c r="Q23" s="36" t="n">
        <f aca="false">IF(D23="리플럭스 적용",IF(ISNUMBER(01_Inputs!$B$36),01_Inputs!$B$36,01_Inputs!$B$32),01_Inputs!$B$32)</f>
        <v>190</v>
      </c>
      <c r="R23" s="40" t="str">
        <f aca="false">IF(ISNUMBER(O23),O23*Q23,"미확인")</f>
        <v>미확인</v>
      </c>
      <c r="S23" s="40" t="str">
        <f aca="false">IF(ISNUMBER(R23),R23*IF(ISNUMBER(01_Inputs!$B$81),01_Inputs!$B$81,1),"미확인")</f>
        <v>미확인</v>
      </c>
      <c r="T23" s="66" t="n">
        <f aca="false">01_Inputs!$H$96</f>
        <v>1893.33333333333</v>
      </c>
      <c r="U23" s="66" t="n">
        <f aca="false">IF(ISNUMBER(01_Inputs!$H$97),01_Inputs!$H$97,"미제시")</f>
        <v>580</v>
      </c>
      <c r="V23" s="66" t="n">
        <f aca="false">01_Inputs!$H$98</f>
        <v>840</v>
      </c>
      <c r="W23" s="27" t="n">
        <f aca="false">SUM(T23:V23)</f>
        <v>3313.33333333333</v>
      </c>
      <c r="X23" s="20" t="n">
        <f aca="false">W23/Q23</f>
        <v>17.4385964912281</v>
      </c>
      <c r="Y23" s="15" t="n">
        <f aca="false">ROUNDUP(T23/01_Inputs!$B$33,0)+IF(ISNUMBER(U23),ROUNDUP(U23/01_Inputs!$B$33,0),0)</f>
        <v>124</v>
      </c>
      <c r="Z23" s="14" t="n">
        <f aca="false">Y23*01_Inputs!$B$23</f>
        <v>248</v>
      </c>
      <c r="AA23" s="15" t="n">
        <f aca="false">ROUNDUP(V23/01_Inputs!$B$35,0)</f>
        <v>6</v>
      </c>
      <c r="AB23" s="14" t="n">
        <f aca="false">IF(AND(A23&gt;=01_Inputs!$B$51,ISNUMBER(01_Inputs!$B$29)),01_Inputs!$B$29,01_Inputs!$B$27)</f>
        <v>8</v>
      </c>
      <c r="AC23" s="13" t="str">
        <f aca="false">IF(A23&gt;=01_Inputs!$B$51,IF(ISNUMBER(01_Inputs!$B$29),"ARS","ARS (시간 미확인→수동 8 h 참고)"),"수동")</f>
        <v>ARS (시간 미확인→수동 8 h 참고)</v>
      </c>
      <c r="AD23" s="14" t="n">
        <f aca="false">IF(01_Inputs!$B$28=1,AA23*AB23,ROUNDUP(V23/Q23,0)*AB23)</f>
        <v>48</v>
      </c>
      <c r="AE23" s="14" t="str">
        <f aca="false">IF(ISNUMBER(O23),O23*(01_Inputs!$B$14/IF(ISNUMBER(01_Inputs!$B$15),01_Inputs!$B$15,1)+01_Inputs!$B$20+01_Inputs!$B$30),"미확인")</f>
        <v>미확인</v>
      </c>
      <c r="AF23" s="14" t="str">
        <f aca="false">IF(ISNUMBER(01_Inputs!$B$62),01_Inputs!$B$62,"미확인")</f>
        <v>미확인</v>
      </c>
      <c r="AG23" s="14" t="str">
        <f aca="false">IF(ISNUMBER(AF23),AF23-Z23,"미확인")</f>
        <v>미확인</v>
      </c>
      <c r="AH23" s="29" t="str">
        <f aca="false">IF(ISNUMBER(S23),S23-W23,"미확인")</f>
        <v>미확인</v>
      </c>
      <c r="AI23" s="29" t="str">
        <f aca="false">IF(AND(ISNUMBER(AH23),ISNUMBER(AI22)),AI22+AH23,"보류")</f>
        <v>보류</v>
      </c>
      <c r="AJ23" s="29" t="str">
        <f aca="false">IF(ISNUMBER(AQ22),AQ22,"보류")</f>
        <v>보류</v>
      </c>
      <c r="AK23" s="29" t="str">
        <f aca="false">IF(AND(ISNUMBER(AJ23),ISNUMBER(S23)),AJ23+S23,"보류")</f>
        <v>보류</v>
      </c>
      <c r="AL23" s="29" t="str">
        <f aca="false">IF(ISNUMBER(AK23),MIN(AK23,T23),"보류")</f>
        <v>보류</v>
      </c>
      <c r="AM23" s="29" t="str">
        <f aca="false">IF(ISNUMBER(AK23),MIN(AK23-AL23,N(01_Inputs!$B$79)),"보류")</f>
        <v>보류</v>
      </c>
      <c r="AN23" s="29" t="str">
        <f aca="false">IF(ISNUMBER(AK23),MIN(AK23-AL23-AM23,N(U23)),"보류")</f>
        <v>보류</v>
      </c>
      <c r="AO23" s="29" t="str">
        <f aca="false">IF(ISNUMBER(AK23),MIN(AK23-AL23-AM23-AN23,V23),"보류")</f>
        <v>보류</v>
      </c>
      <c r="AP23" s="29" t="str">
        <f aca="false">IF(ISNUMBER(AK23),W23-AL23-AN23-AO23,"보류")</f>
        <v>보류</v>
      </c>
      <c r="AQ23" s="27" t="str">
        <f aca="false">IF(ISNUMBER(AK23),AK23-AL23-AN23-AO23,"보류")</f>
        <v>보류</v>
      </c>
      <c r="AR23" s="29" t="str">
        <f aca="false">IF(ISNUMBER(01_Inputs!$B$80),01_Inputs!$B$80,"미입력")</f>
        <v>미입력</v>
      </c>
      <c r="AS23" s="29" t="str">
        <f aca="false">IF(AND(ISNUMBER(AJ23),ISNUMBER(AR23)),W23+AR23-AJ23,"보류")</f>
        <v>보류</v>
      </c>
      <c r="AT23" s="29" t="str">
        <f aca="false">IF(AND(ISNUMBER(AQ23),ISNUMBER(AR23)),AQ23-AR23,"보류")</f>
        <v>보류</v>
      </c>
      <c r="AU23" s="13" t="str">
        <f aca="false">IF(ISNUMBER(AQ23),"계산 가능",IF(ISNUMBER(AH23),"부분 (재고 입력 필요)","보류 (생산 조건 미확인)"))</f>
        <v>보류 (생산 조건 미확인)</v>
      </c>
      <c r="AV23" s="8" t="str">
        <f aca="false">IF(D23="리플럭스 공사",IF(ISNUMBER(01_Inputs!$B$57),"","공사 중 가용시간·"),"")&amp;IF(D23="시운전",IF(ISNUMBER(01_Inputs!$B$58),"","시운전 양품 Batch·"),"")&amp;IF(D23="리플럭스 적용",IF(ISNUMBER(01_Inputs!$B$45),"","리플럭스 정제시간·"),"")&amp;IF(AND(D23="리플럭스 적용",NOT(ISNUMBER(01_Inputs!$B$36))),"Batch량(190 유지 가정)·","")&amp;IF(ISNUMBER(N23),"","실적 Batch·")&amp;IF(ISNUMBER(F23),"","정지·보수(미반영)·")&amp;IF(ISNUMBER(01_Inputs!$B$81),"","양품률(100% 상한)·")&amp;IF(ISNUMBER(U23),"","CXMT 물량 미제시·")&amp;IF(ISNUMBER(01_Inputs!$B$62),"","글로브 박스 가용시간·")&amp;IF(ISNUMBER(01_Inputs!$B$78),"","기초재고·")</f>
        <v>시운전 양품 Batch·실적 Batch·정지·보수(미반영)·양품률(100% 상한)·글로브 박스 가용시간·기초재고·</v>
      </c>
    </row>
    <row r="24" customFormat="false" ht="26.85" hidden="false" customHeight="false" outlineLevel="0" collapsed="false">
      <c r="A24" s="63" t="n">
        <v>46569</v>
      </c>
      <c r="B24" s="15" t="n">
        <f aca="false">YEAR(A24)</f>
        <v>2027</v>
      </c>
      <c r="C24" s="15" t="n">
        <f aca="false">DAY(EOMONTH(A24,0))</f>
        <v>31</v>
      </c>
      <c r="D24" s="8" t="str">
        <f aca="false">IF(A24&lt;01_Inputs!$B$52,"현재(103℃)",IF(A24&lt;=01_Inputs!$B$53,"리플럭스 공사",IF(A24&lt;01_Inputs!$B$55,"시운전","리플럭스 적용")))</f>
        <v>리플럭스 적용</v>
      </c>
      <c r="E24" s="14" t="n">
        <f aca="false">C24*24</f>
        <v>744</v>
      </c>
      <c r="F24" s="64"/>
      <c r="G24" s="14" t="n">
        <f aca="false">IF(D24="리플럭스 공사",IF(ISNUMBER(01_Inputs!$B$57),01_Inputs!$B$57,"미확인"),IF(D24="시운전","시운전",E24-N(F24)))</f>
        <v>744</v>
      </c>
      <c r="H24" s="20" t="str">
        <f aca="false">IF(OR(D24="현재(103℃)",D24="리플럭스 공사"),03_Capacity_Model!$B$91,IF(D24="리플럭스 적용",IF(ISNUMBER(01_Inputs!$B$45),01_Inputs!$B$45+IF(ISNUMBER(01_Inputs!$B$46),01_Inputs!$B$46,03_Capacity_Model!$B$59),"미확인"),"-"))</f>
        <v>미확인</v>
      </c>
      <c r="I24" s="14" t="n">
        <f aca="false">IF(AND(ISNUMBER(K23),D23=D24),K23,0)</f>
        <v>0</v>
      </c>
      <c r="J24" s="43" t="str">
        <f aca="false">IF(D24="시운전",IF(ISNUMBER(01_Inputs!$B$58),01_Inputs!$B$58,"미확인"),IF(AND(ISNUMBER(G24),ISNUMBER(H24)),INT((G24+I24)/H24),"미확인"))</f>
        <v>미확인</v>
      </c>
      <c r="K24" s="14" t="str">
        <f aca="false">IF(AND(ISNUMBER(G24),ISNUMBER(H24),ISNUMBER(J24)),G24+I24-J24*H24,"")</f>
        <v/>
      </c>
      <c r="L24" s="50" t="str">
        <f aca="false">IF(COUNTIFS(02_Batch_Raw!$E$6:$E$61,"&gt;="&amp;A24,02_Batch_Raw!$E$6:$E$61,"&lt;="&amp;EOMONTH(A24,0))=0,"",COUNTIFS(02_Batch_Raw!$E$6:$E$61,"&gt;="&amp;A24,02_Batch_Raw!$E$6:$E$61,"&lt;="&amp;EOMONTH(A24,0)))</f>
        <v/>
      </c>
      <c r="M24" s="50" t="str">
        <f aca="false">""</f>
        <v/>
      </c>
      <c r="N24" s="65"/>
      <c r="O24" s="15" t="str">
        <f aca="false">IF(ISNUMBER(N24),N24,J24)</f>
        <v>미확인</v>
      </c>
      <c r="P24" s="13" t="str">
        <f aca="false">IF(ISNUMBER(N24),"실적 입력",IF(ISNUMBER(J24),"추정 생산 가능량","미확인"))</f>
        <v>미확인</v>
      </c>
      <c r="Q24" s="36" t="n">
        <f aca="false">IF(D24="리플럭스 적용",IF(ISNUMBER(01_Inputs!$B$36),01_Inputs!$B$36,01_Inputs!$B$32),01_Inputs!$B$32)</f>
        <v>190</v>
      </c>
      <c r="R24" s="40" t="str">
        <f aca="false">IF(ISNUMBER(O24),O24*Q24,"미확인")</f>
        <v>미확인</v>
      </c>
      <c r="S24" s="40" t="str">
        <f aca="false">IF(ISNUMBER(R24),R24*IF(ISNUMBER(01_Inputs!$B$81),01_Inputs!$B$81,1),"미확인")</f>
        <v>미확인</v>
      </c>
      <c r="T24" s="66" t="n">
        <f aca="false">01_Inputs!$I$96</f>
        <v>1893.33333333333</v>
      </c>
      <c r="U24" s="66" t="n">
        <f aca="false">IF(ISNUMBER(01_Inputs!$I$97),01_Inputs!$I$97,"미제시")</f>
        <v>580</v>
      </c>
      <c r="V24" s="66" t="n">
        <f aca="false">01_Inputs!$I$98</f>
        <v>840</v>
      </c>
      <c r="W24" s="27" t="n">
        <f aca="false">SUM(T24:V24)</f>
        <v>3313.33333333333</v>
      </c>
      <c r="X24" s="20" t="n">
        <f aca="false">W24/Q24</f>
        <v>17.4385964912281</v>
      </c>
      <c r="Y24" s="15" t="n">
        <f aca="false">ROUNDUP(T24/01_Inputs!$B$33,0)+IF(ISNUMBER(U24),ROUNDUP(U24/01_Inputs!$B$33,0),0)</f>
        <v>124</v>
      </c>
      <c r="Z24" s="14" t="n">
        <f aca="false">Y24*01_Inputs!$B$23</f>
        <v>248</v>
      </c>
      <c r="AA24" s="15" t="n">
        <f aca="false">ROUNDUP(V24/01_Inputs!$B$35,0)</f>
        <v>6</v>
      </c>
      <c r="AB24" s="14" t="n">
        <f aca="false">IF(AND(A24&gt;=01_Inputs!$B$51,ISNUMBER(01_Inputs!$B$29)),01_Inputs!$B$29,01_Inputs!$B$27)</f>
        <v>8</v>
      </c>
      <c r="AC24" s="13" t="str">
        <f aca="false">IF(A24&gt;=01_Inputs!$B$51,IF(ISNUMBER(01_Inputs!$B$29),"ARS","ARS (시간 미확인→수동 8 h 참고)"),"수동")</f>
        <v>ARS (시간 미확인→수동 8 h 참고)</v>
      </c>
      <c r="AD24" s="14" t="n">
        <f aca="false">IF(01_Inputs!$B$28=1,AA24*AB24,ROUNDUP(V24/Q24,0)*AB24)</f>
        <v>48</v>
      </c>
      <c r="AE24" s="14" t="str">
        <f aca="false">IF(ISNUMBER(O24),O24*(01_Inputs!$B$14/IF(ISNUMBER(01_Inputs!$B$15),01_Inputs!$B$15,1)+01_Inputs!$B$20+01_Inputs!$B$30),"미확인")</f>
        <v>미확인</v>
      </c>
      <c r="AF24" s="14" t="str">
        <f aca="false">IF(ISNUMBER(01_Inputs!$B$62),01_Inputs!$B$62,"미확인")</f>
        <v>미확인</v>
      </c>
      <c r="AG24" s="14" t="str">
        <f aca="false">IF(ISNUMBER(AF24),AF24-Z24,"미확인")</f>
        <v>미확인</v>
      </c>
      <c r="AH24" s="29" t="str">
        <f aca="false">IF(ISNUMBER(S24),S24-W24,"미확인")</f>
        <v>미확인</v>
      </c>
      <c r="AI24" s="29" t="str">
        <f aca="false">IF(AND(ISNUMBER(AH24),ISNUMBER(AI23)),AI23+AH24,"보류")</f>
        <v>보류</v>
      </c>
      <c r="AJ24" s="29" t="str">
        <f aca="false">IF(ISNUMBER(AQ23),AQ23,"보류")</f>
        <v>보류</v>
      </c>
      <c r="AK24" s="29" t="str">
        <f aca="false">IF(AND(ISNUMBER(AJ24),ISNUMBER(S24)),AJ24+S24,"보류")</f>
        <v>보류</v>
      </c>
      <c r="AL24" s="29" t="str">
        <f aca="false">IF(ISNUMBER(AK24),MIN(AK24,T24),"보류")</f>
        <v>보류</v>
      </c>
      <c r="AM24" s="29" t="str">
        <f aca="false">IF(ISNUMBER(AK24),MIN(AK24-AL24,N(01_Inputs!$B$79)),"보류")</f>
        <v>보류</v>
      </c>
      <c r="AN24" s="29" t="str">
        <f aca="false">IF(ISNUMBER(AK24),MIN(AK24-AL24-AM24,N(U24)),"보류")</f>
        <v>보류</v>
      </c>
      <c r="AO24" s="29" t="str">
        <f aca="false">IF(ISNUMBER(AK24),MIN(AK24-AL24-AM24-AN24,V24),"보류")</f>
        <v>보류</v>
      </c>
      <c r="AP24" s="29" t="str">
        <f aca="false">IF(ISNUMBER(AK24),W24-AL24-AN24-AO24,"보류")</f>
        <v>보류</v>
      </c>
      <c r="AQ24" s="27" t="str">
        <f aca="false">IF(ISNUMBER(AK24),AK24-AL24-AN24-AO24,"보류")</f>
        <v>보류</v>
      </c>
      <c r="AR24" s="29" t="str">
        <f aca="false">IF(ISNUMBER(01_Inputs!$B$80),01_Inputs!$B$80,"미입력")</f>
        <v>미입력</v>
      </c>
      <c r="AS24" s="29" t="str">
        <f aca="false">IF(AND(ISNUMBER(AJ24),ISNUMBER(AR24)),W24+AR24-AJ24,"보류")</f>
        <v>보류</v>
      </c>
      <c r="AT24" s="29" t="str">
        <f aca="false">IF(AND(ISNUMBER(AQ24),ISNUMBER(AR24)),AQ24-AR24,"보류")</f>
        <v>보류</v>
      </c>
      <c r="AU24" s="13" t="str">
        <f aca="false">IF(ISNUMBER(AQ24),"계산 가능",IF(ISNUMBER(AH24),"부분 (재고 입력 필요)","보류 (생산 조건 미확인)"))</f>
        <v>보류 (생산 조건 미확인)</v>
      </c>
      <c r="AV24" s="8" t="str">
        <f aca="false">IF(D24="리플럭스 공사",IF(ISNUMBER(01_Inputs!$B$57),"","공사 중 가용시간·"),"")&amp;IF(D24="시운전",IF(ISNUMBER(01_Inputs!$B$58),"","시운전 양품 Batch·"),"")&amp;IF(D24="리플럭스 적용",IF(ISNUMBER(01_Inputs!$B$45),"","리플럭스 정제시간·"),"")&amp;IF(AND(D24="리플럭스 적용",NOT(ISNUMBER(01_Inputs!$B$36))),"Batch량(190 유지 가정)·","")&amp;IF(ISNUMBER(N24),"","실적 Batch·")&amp;IF(ISNUMBER(F24),"","정지·보수(미반영)·")&amp;IF(ISNUMBER(01_Inputs!$B$81),"","양품률(100% 상한)·")&amp;IF(ISNUMBER(U24),"","CXMT 물량 미제시·")&amp;IF(ISNUMBER(01_Inputs!$B$62),"","글로브 박스 가용시간·")&amp;IF(ISNUMBER(01_Inputs!$B$78),"","기초재고·")</f>
        <v>리플럭스 정제시간·Batch량(190 유지 가정)·실적 Batch·정지·보수(미반영)·양품률(100% 상한)·글로브 박스 가용시간·기초재고·</v>
      </c>
    </row>
    <row r="25" customFormat="false" ht="26.85" hidden="false" customHeight="false" outlineLevel="0" collapsed="false">
      <c r="A25" s="63" t="n">
        <v>46600</v>
      </c>
      <c r="B25" s="15" t="n">
        <f aca="false">YEAR(A25)</f>
        <v>2027</v>
      </c>
      <c r="C25" s="15" t="n">
        <f aca="false">DAY(EOMONTH(A25,0))</f>
        <v>31</v>
      </c>
      <c r="D25" s="8" t="str">
        <f aca="false">IF(A25&lt;01_Inputs!$B$52,"현재(103℃)",IF(A25&lt;=01_Inputs!$B$53,"리플럭스 공사",IF(A25&lt;01_Inputs!$B$55,"시운전","리플럭스 적용")))</f>
        <v>리플럭스 적용</v>
      </c>
      <c r="E25" s="14" t="n">
        <f aca="false">C25*24</f>
        <v>744</v>
      </c>
      <c r="F25" s="64"/>
      <c r="G25" s="14" t="n">
        <f aca="false">IF(D25="리플럭스 공사",IF(ISNUMBER(01_Inputs!$B$57),01_Inputs!$B$57,"미확인"),IF(D25="시운전","시운전",E25-N(F25)))</f>
        <v>744</v>
      </c>
      <c r="H25" s="20" t="str">
        <f aca="false">IF(OR(D25="현재(103℃)",D25="리플럭스 공사"),03_Capacity_Model!$B$91,IF(D25="리플럭스 적용",IF(ISNUMBER(01_Inputs!$B$45),01_Inputs!$B$45+IF(ISNUMBER(01_Inputs!$B$46),01_Inputs!$B$46,03_Capacity_Model!$B$59),"미확인"),"-"))</f>
        <v>미확인</v>
      </c>
      <c r="I25" s="14" t="n">
        <f aca="false">IF(AND(ISNUMBER(K24),D24=D25),K24,0)</f>
        <v>0</v>
      </c>
      <c r="J25" s="43" t="str">
        <f aca="false">IF(D25="시운전",IF(ISNUMBER(01_Inputs!$B$58),01_Inputs!$B$58,"미확인"),IF(AND(ISNUMBER(G25),ISNUMBER(H25)),INT((G25+I25)/H25),"미확인"))</f>
        <v>미확인</v>
      </c>
      <c r="K25" s="14" t="str">
        <f aca="false">IF(AND(ISNUMBER(G25),ISNUMBER(H25),ISNUMBER(J25)),G25+I25-J25*H25,"")</f>
        <v/>
      </c>
      <c r="L25" s="50" t="str">
        <f aca="false">IF(COUNTIFS(02_Batch_Raw!$E$6:$E$61,"&gt;="&amp;A25,02_Batch_Raw!$E$6:$E$61,"&lt;="&amp;EOMONTH(A25,0))=0,"",COUNTIFS(02_Batch_Raw!$E$6:$E$61,"&gt;="&amp;A25,02_Batch_Raw!$E$6:$E$61,"&lt;="&amp;EOMONTH(A25,0)))</f>
        <v/>
      </c>
      <c r="M25" s="50" t="str">
        <f aca="false">""</f>
        <v/>
      </c>
      <c r="N25" s="65"/>
      <c r="O25" s="15" t="str">
        <f aca="false">IF(ISNUMBER(N25),N25,J25)</f>
        <v>미확인</v>
      </c>
      <c r="P25" s="13" t="str">
        <f aca="false">IF(ISNUMBER(N25),"실적 입력",IF(ISNUMBER(J25),"추정 생산 가능량","미확인"))</f>
        <v>미확인</v>
      </c>
      <c r="Q25" s="36" t="n">
        <f aca="false">IF(D25="리플럭스 적용",IF(ISNUMBER(01_Inputs!$B$36),01_Inputs!$B$36,01_Inputs!$B$32),01_Inputs!$B$32)</f>
        <v>190</v>
      </c>
      <c r="R25" s="40" t="str">
        <f aca="false">IF(ISNUMBER(O25),O25*Q25,"미확인")</f>
        <v>미확인</v>
      </c>
      <c r="S25" s="40" t="str">
        <f aca="false">IF(ISNUMBER(R25),R25*IF(ISNUMBER(01_Inputs!$B$81),01_Inputs!$B$81,1),"미확인")</f>
        <v>미확인</v>
      </c>
      <c r="T25" s="66" t="n">
        <f aca="false">01_Inputs!$J$96</f>
        <v>1893.33333333333</v>
      </c>
      <c r="U25" s="66" t="n">
        <f aca="false">IF(ISNUMBER(01_Inputs!$J$97),01_Inputs!$J$97,"미제시")</f>
        <v>580</v>
      </c>
      <c r="V25" s="66" t="n">
        <f aca="false">01_Inputs!$J$98</f>
        <v>840</v>
      </c>
      <c r="W25" s="27" t="n">
        <f aca="false">SUM(T25:V25)</f>
        <v>3313.33333333333</v>
      </c>
      <c r="X25" s="20" t="n">
        <f aca="false">W25/Q25</f>
        <v>17.4385964912281</v>
      </c>
      <c r="Y25" s="15" t="n">
        <f aca="false">ROUNDUP(T25/01_Inputs!$B$33,0)+IF(ISNUMBER(U25),ROUNDUP(U25/01_Inputs!$B$33,0),0)</f>
        <v>124</v>
      </c>
      <c r="Z25" s="14" t="n">
        <f aca="false">Y25*01_Inputs!$B$23</f>
        <v>248</v>
      </c>
      <c r="AA25" s="15" t="n">
        <f aca="false">ROUNDUP(V25/01_Inputs!$B$35,0)</f>
        <v>6</v>
      </c>
      <c r="AB25" s="14" t="n">
        <f aca="false">IF(AND(A25&gt;=01_Inputs!$B$51,ISNUMBER(01_Inputs!$B$29)),01_Inputs!$B$29,01_Inputs!$B$27)</f>
        <v>8</v>
      </c>
      <c r="AC25" s="13" t="str">
        <f aca="false">IF(A25&gt;=01_Inputs!$B$51,IF(ISNUMBER(01_Inputs!$B$29),"ARS","ARS (시간 미확인→수동 8 h 참고)"),"수동")</f>
        <v>ARS (시간 미확인→수동 8 h 참고)</v>
      </c>
      <c r="AD25" s="14" t="n">
        <f aca="false">IF(01_Inputs!$B$28=1,AA25*AB25,ROUNDUP(V25/Q25,0)*AB25)</f>
        <v>48</v>
      </c>
      <c r="AE25" s="14" t="str">
        <f aca="false">IF(ISNUMBER(O25),O25*(01_Inputs!$B$14/IF(ISNUMBER(01_Inputs!$B$15),01_Inputs!$B$15,1)+01_Inputs!$B$20+01_Inputs!$B$30),"미확인")</f>
        <v>미확인</v>
      </c>
      <c r="AF25" s="14" t="str">
        <f aca="false">IF(ISNUMBER(01_Inputs!$B$62),01_Inputs!$B$62,"미확인")</f>
        <v>미확인</v>
      </c>
      <c r="AG25" s="14" t="str">
        <f aca="false">IF(ISNUMBER(AF25),AF25-Z25,"미확인")</f>
        <v>미확인</v>
      </c>
      <c r="AH25" s="29" t="str">
        <f aca="false">IF(ISNUMBER(S25),S25-W25,"미확인")</f>
        <v>미확인</v>
      </c>
      <c r="AI25" s="29" t="str">
        <f aca="false">IF(AND(ISNUMBER(AH25),ISNUMBER(AI24)),AI24+AH25,"보류")</f>
        <v>보류</v>
      </c>
      <c r="AJ25" s="29" t="str">
        <f aca="false">IF(ISNUMBER(AQ24),AQ24,"보류")</f>
        <v>보류</v>
      </c>
      <c r="AK25" s="29" t="str">
        <f aca="false">IF(AND(ISNUMBER(AJ25),ISNUMBER(S25)),AJ25+S25,"보류")</f>
        <v>보류</v>
      </c>
      <c r="AL25" s="29" t="str">
        <f aca="false">IF(ISNUMBER(AK25),MIN(AK25,T25),"보류")</f>
        <v>보류</v>
      </c>
      <c r="AM25" s="29" t="str">
        <f aca="false">IF(ISNUMBER(AK25),MIN(AK25-AL25,N(01_Inputs!$B$79)),"보류")</f>
        <v>보류</v>
      </c>
      <c r="AN25" s="29" t="str">
        <f aca="false">IF(ISNUMBER(AK25),MIN(AK25-AL25-AM25,N(U25)),"보류")</f>
        <v>보류</v>
      </c>
      <c r="AO25" s="29" t="str">
        <f aca="false">IF(ISNUMBER(AK25),MIN(AK25-AL25-AM25-AN25,V25),"보류")</f>
        <v>보류</v>
      </c>
      <c r="AP25" s="29" t="str">
        <f aca="false">IF(ISNUMBER(AK25),W25-AL25-AN25-AO25,"보류")</f>
        <v>보류</v>
      </c>
      <c r="AQ25" s="27" t="str">
        <f aca="false">IF(ISNUMBER(AK25),AK25-AL25-AN25-AO25,"보류")</f>
        <v>보류</v>
      </c>
      <c r="AR25" s="29" t="str">
        <f aca="false">IF(ISNUMBER(01_Inputs!$B$80),01_Inputs!$B$80,"미입력")</f>
        <v>미입력</v>
      </c>
      <c r="AS25" s="29" t="str">
        <f aca="false">IF(AND(ISNUMBER(AJ25),ISNUMBER(AR25)),W25+AR25-AJ25,"보류")</f>
        <v>보류</v>
      </c>
      <c r="AT25" s="29" t="str">
        <f aca="false">IF(AND(ISNUMBER(AQ25),ISNUMBER(AR25)),AQ25-AR25,"보류")</f>
        <v>보류</v>
      </c>
      <c r="AU25" s="13" t="str">
        <f aca="false">IF(ISNUMBER(AQ25),"계산 가능",IF(ISNUMBER(AH25),"부분 (재고 입력 필요)","보류 (생산 조건 미확인)"))</f>
        <v>보류 (생산 조건 미확인)</v>
      </c>
      <c r="AV25" s="8" t="str">
        <f aca="false">IF(D25="리플럭스 공사",IF(ISNUMBER(01_Inputs!$B$57),"","공사 중 가용시간·"),"")&amp;IF(D25="시운전",IF(ISNUMBER(01_Inputs!$B$58),"","시운전 양품 Batch·"),"")&amp;IF(D25="리플럭스 적용",IF(ISNUMBER(01_Inputs!$B$45),"","리플럭스 정제시간·"),"")&amp;IF(AND(D25="리플럭스 적용",NOT(ISNUMBER(01_Inputs!$B$36))),"Batch량(190 유지 가정)·","")&amp;IF(ISNUMBER(N25),"","실적 Batch·")&amp;IF(ISNUMBER(F25),"","정지·보수(미반영)·")&amp;IF(ISNUMBER(01_Inputs!$B$81),"","양품률(100% 상한)·")&amp;IF(ISNUMBER(U25),"","CXMT 물량 미제시·")&amp;IF(ISNUMBER(01_Inputs!$B$62),"","글로브 박스 가용시간·")&amp;IF(ISNUMBER(01_Inputs!$B$78),"","기초재고·")</f>
        <v>리플럭스 정제시간·Batch량(190 유지 가정)·실적 Batch·정지·보수(미반영)·양품률(100% 상한)·글로브 박스 가용시간·기초재고·</v>
      </c>
    </row>
    <row r="26" customFormat="false" ht="26.85" hidden="false" customHeight="false" outlineLevel="0" collapsed="false">
      <c r="A26" s="63" t="n">
        <v>46631</v>
      </c>
      <c r="B26" s="15" t="n">
        <f aca="false">YEAR(A26)</f>
        <v>2027</v>
      </c>
      <c r="C26" s="15" t="n">
        <f aca="false">DAY(EOMONTH(A26,0))</f>
        <v>30</v>
      </c>
      <c r="D26" s="8" t="str">
        <f aca="false">IF(A26&lt;01_Inputs!$B$52,"현재(103℃)",IF(A26&lt;=01_Inputs!$B$53,"리플럭스 공사",IF(A26&lt;01_Inputs!$B$55,"시운전","리플럭스 적용")))</f>
        <v>리플럭스 적용</v>
      </c>
      <c r="E26" s="14" t="n">
        <f aca="false">C26*24</f>
        <v>720</v>
      </c>
      <c r="F26" s="64"/>
      <c r="G26" s="14" t="n">
        <f aca="false">IF(D26="리플럭스 공사",IF(ISNUMBER(01_Inputs!$B$57),01_Inputs!$B$57,"미확인"),IF(D26="시운전","시운전",E26-N(F26)))</f>
        <v>720</v>
      </c>
      <c r="H26" s="20" t="str">
        <f aca="false">IF(OR(D26="현재(103℃)",D26="리플럭스 공사"),03_Capacity_Model!$B$91,IF(D26="리플럭스 적용",IF(ISNUMBER(01_Inputs!$B$45),01_Inputs!$B$45+IF(ISNUMBER(01_Inputs!$B$46),01_Inputs!$B$46,03_Capacity_Model!$B$59),"미확인"),"-"))</f>
        <v>미확인</v>
      </c>
      <c r="I26" s="14" t="n">
        <f aca="false">IF(AND(ISNUMBER(K25),D25=D26),K25,0)</f>
        <v>0</v>
      </c>
      <c r="J26" s="43" t="str">
        <f aca="false">IF(D26="시운전",IF(ISNUMBER(01_Inputs!$B$58),01_Inputs!$B$58,"미확인"),IF(AND(ISNUMBER(G26),ISNUMBER(H26)),INT((G26+I26)/H26),"미확인"))</f>
        <v>미확인</v>
      </c>
      <c r="K26" s="14" t="str">
        <f aca="false">IF(AND(ISNUMBER(G26),ISNUMBER(H26),ISNUMBER(J26)),G26+I26-J26*H26,"")</f>
        <v/>
      </c>
      <c r="L26" s="50" t="str">
        <f aca="false">IF(COUNTIFS(02_Batch_Raw!$E$6:$E$61,"&gt;="&amp;A26,02_Batch_Raw!$E$6:$E$61,"&lt;="&amp;EOMONTH(A26,0))=0,"",COUNTIFS(02_Batch_Raw!$E$6:$E$61,"&gt;="&amp;A26,02_Batch_Raw!$E$6:$E$61,"&lt;="&amp;EOMONTH(A26,0)))</f>
        <v/>
      </c>
      <c r="M26" s="50" t="str">
        <f aca="false">""</f>
        <v/>
      </c>
      <c r="N26" s="65"/>
      <c r="O26" s="15" t="str">
        <f aca="false">IF(ISNUMBER(N26),N26,J26)</f>
        <v>미확인</v>
      </c>
      <c r="P26" s="13" t="str">
        <f aca="false">IF(ISNUMBER(N26),"실적 입력",IF(ISNUMBER(J26),"추정 생산 가능량","미확인"))</f>
        <v>미확인</v>
      </c>
      <c r="Q26" s="36" t="n">
        <f aca="false">IF(D26="리플럭스 적용",IF(ISNUMBER(01_Inputs!$B$36),01_Inputs!$B$36,01_Inputs!$B$32),01_Inputs!$B$32)</f>
        <v>190</v>
      </c>
      <c r="R26" s="40" t="str">
        <f aca="false">IF(ISNUMBER(O26),O26*Q26,"미확인")</f>
        <v>미확인</v>
      </c>
      <c r="S26" s="40" t="str">
        <f aca="false">IF(ISNUMBER(R26),R26*IF(ISNUMBER(01_Inputs!$B$81),01_Inputs!$B$81,1),"미확인")</f>
        <v>미확인</v>
      </c>
      <c r="T26" s="66" t="n">
        <f aca="false">01_Inputs!$K$96</f>
        <v>1893.33333333333</v>
      </c>
      <c r="U26" s="66" t="n">
        <f aca="false">IF(ISNUMBER(01_Inputs!$K$97),01_Inputs!$K$97,"미제시")</f>
        <v>580</v>
      </c>
      <c r="V26" s="66" t="n">
        <f aca="false">01_Inputs!$K$98</f>
        <v>840</v>
      </c>
      <c r="W26" s="27" t="n">
        <f aca="false">SUM(T26:V26)</f>
        <v>3313.33333333333</v>
      </c>
      <c r="X26" s="20" t="n">
        <f aca="false">W26/Q26</f>
        <v>17.4385964912281</v>
      </c>
      <c r="Y26" s="15" t="n">
        <f aca="false">ROUNDUP(T26/01_Inputs!$B$33,0)+IF(ISNUMBER(U26),ROUNDUP(U26/01_Inputs!$B$33,0),0)</f>
        <v>124</v>
      </c>
      <c r="Z26" s="14" t="n">
        <f aca="false">Y26*01_Inputs!$B$23</f>
        <v>248</v>
      </c>
      <c r="AA26" s="15" t="n">
        <f aca="false">ROUNDUP(V26/01_Inputs!$B$35,0)</f>
        <v>6</v>
      </c>
      <c r="AB26" s="14" t="n">
        <f aca="false">IF(AND(A26&gt;=01_Inputs!$B$51,ISNUMBER(01_Inputs!$B$29)),01_Inputs!$B$29,01_Inputs!$B$27)</f>
        <v>8</v>
      </c>
      <c r="AC26" s="13" t="str">
        <f aca="false">IF(A26&gt;=01_Inputs!$B$51,IF(ISNUMBER(01_Inputs!$B$29),"ARS","ARS (시간 미확인→수동 8 h 참고)"),"수동")</f>
        <v>ARS (시간 미확인→수동 8 h 참고)</v>
      </c>
      <c r="AD26" s="14" t="n">
        <f aca="false">IF(01_Inputs!$B$28=1,AA26*AB26,ROUNDUP(V26/Q26,0)*AB26)</f>
        <v>48</v>
      </c>
      <c r="AE26" s="14" t="str">
        <f aca="false">IF(ISNUMBER(O26),O26*(01_Inputs!$B$14/IF(ISNUMBER(01_Inputs!$B$15),01_Inputs!$B$15,1)+01_Inputs!$B$20+01_Inputs!$B$30),"미확인")</f>
        <v>미확인</v>
      </c>
      <c r="AF26" s="14" t="str">
        <f aca="false">IF(ISNUMBER(01_Inputs!$B$62),01_Inputs!$B$62,"미확인")</f>
        <v>미확인</v>
      </c>
      <c r="AG26" s="14" t="str">
        <f aca="false">IF(ISNUMBER(AF26),AF26-Z26,"미확인")</f>
        <v>미확인</v>
      </c>
      <c r="AH26" s="29" t="str">
        <f aca="false">IF(ISNUMBER(S26),S26-W26,"미확인")</f>
        <v>미확인</v>
      </c>
      <c r="AI26" s="29" t="str">
        <f aca="false">IF(AND(ISNUMBER(AH26),ISNUMBER(AI25)),AI25+AH26,"보류")</f>
        <v>보류</v>
      </c>
      <c r="AJ26" s="29" t="str">
        <f aca="false">IF(ISNUMBER(AQ25),AQ25,"보류")</f>
        <v>보류</v>
      </c>
      <c r="AK26" s="29" t="str">
        <f aca="false">IF(AND(ISNUMBER(AJ26),ISNUMBER(S26)),AJ26+S26,"보류")</f>
        <v>보류</v>
      </c>
      <c r="AL26" s="29" t="str">
        <f aca="false">IF(ISNUMBER(AK26),MIN(AK26,T26),"보류")</f>
        <v>보류</v>
      </c>
      <c r="AM26" s="29" t="str">
        <f aca="false">IF(ISNUMBER(AK26),MIN(AK26-AL26,N(01_Inputs!$B$79)),"보류")</f>
        <v>보류</v>
      </c>
      <c r="AN26" s="29" t="str">
        <f aca="false">IF(ISNUMBER(AK26),MIN(AK26-AL26-AM26,N(U26)),"보류")</f>
        <v>보류</v>
      </c>
      <c r="AO26" s="29" t="str">
        <f aca="false">IF(ISNUMBER(AK26),MIN(AK26-AL26-AM26-AN26,V26),"보류")</f>
        <v>보류</v>
      </c>
      <c r="AP26" s="29" t="str">
        <f aca="false">IF(ISNUMBER(AK26),W26-AL26-AN26-AO26,"보류")</f>
        <v>보류</v>
      </c>
      <c r="AQ26" s="27" t="str">
        <f aca="false">IF(ISNUMBER(AK26),AK26-AL26-AN26-AO26,"보류")</f>
        <v>보류</v>
      </c>
      <c r="AR26" s="29" t="str">
        <f aca="false">IF(ISNUMBER(01_Inputs!$B$80),01_Inputs!$B$80,"미입력")</f>
        <v>미입력</v>
      </c>
      <c r="AS26" s="29" t="str">
        <f aca="false">IF(AND(ISNUMBER(AJ26),ISNUMBER(AR26)),W26+AR26-AJ26,"보류")</f>
        <v>보류</v>
      </c>
      <c r="AT26" s="29" t="str">
        <f aca="false">IF(AND(ISNUMBER(AQ26),ISNUMBER(AR26)),AQ26-AR26,"보류")</f>
        <v>보류</v>
      </c>
      <c r="AU26" s="13" t="str">
        <f aca="false">IF(ISNUMBER(AQ26),"계산 가능",IF(ISNUMBER(AH26),"부분 (재고 입력 필요)","보류 (생산 조건 미확인)"))</f>
        <v>보류 (생산 조건 미확인)</v>
      </c>
      <c r="AV26" s="8" t="str">
        <f aca="false">IF(D26="리플럭스 공사",IF(ISNUMBER(01_Inputs!$B$57),"","공사 중 가용시간·"),"")&amp;IF(D26="시운전",IF(ISNUMBER(01_Inputs!$B$58),"","시운전 양품 Batch·"),"")&amp;IF(D26="리플럭스 적용",IF(ISNUMBER(01_Inputs!$B$45),"","리플럭스 정제시간·"),"")&amp;IF(AND(D26="리플럭스 적용",NOT(ISNUMBER(01_Inputs!$B$36))),"Batch량(190 유지 가정)·","")&amp;IF(ISNUMBER(N26),"","실적 Batch·")&amp;IF(ISNUMBER(F26),"","정지·보수(미반영)·")&amp;IF(ISNUMBER(01_Inputs!$B$81),"","양품률(100% 상한)·")&amp;IF(ISNUMBER(U26),"","CXMT 물량 미제시·")&amp;IF(ISNUMBER(01_Inputs!$B$62),"","글로브 박스 가용시간·")&amp;IF(ISNUMBER(01_Inputs!$B$78),"","기초재고·")</f>
        <v>리플럭스 정제시간·Batch량(190 유지 가정)·실적 Batch·정지·보수(미반영)·양품률(100% 상한)·글로브 박스 가용시간·기초재고·</v>
      </c>
    </row>
    <row r="27" customFormat="false" ht="26.85" hidden="false" customHeight="false" outlineLevel="0" collapsed="false">
      <c r="A27" s="63" t="n">
        <v>46661</v>
      </c>
      <c r="B27" s="15" t="n">
        <f aca="false">YEAR(A27)</f>
        <v>2027</v>
      </c>
      <c r="C27" s="15" t="n">
        <f aca="false">DAY(EOMONTH(A27,0))</f>
        <v>31</v>
      </c>
      <c r="D27" s="8" t="str">
        <f aca="false">IF(A27&lt;01_Inputs!$B$52,"현재(103℃)",IF(A27&lt;=01_Inputs!$B$53,"리플럭스 공사",IF(A27&lt;01_Inputs!$B$55,"시운전","리플럭스 적용")))</f>
        <v>리플럭스 적용</v>
      </c>
      <c r="E27" s="14" t="n">
        <f aca="false">C27*24</f>
        <v>744</v>
      </c>
      <c r="F27" s="64"/>
      <c r="G27" s="14" t="n">
        <f aca="false">IF(D27="리플럭스 공사",IF(ISNUMBER(01_Inputs!$B$57),01_Inputs!$B$57,"미확인"),IF(D27="시운전","시운전",E27-N(F27)))</f>
        <v>744</v>
      </c>
      <c r="H27" s="20" t="str">
        <f aca="false">IF(OR(D27="현재(103℃)",D27="리플럭스 공사"),03_Capacity_Model!$B$91,IF(D27="리플럭스 적용",IF(ISNUMBER(01_Inputs!$B$45),01_Inputs!$B$45+IF(ISNUMBER(01_Inputs!$B$46),01_Inputs!$B$46,03_Capacity_Model!$B$59),"미확인"),"-"))</f>
        <v>미확인</v>
      </c>
      <c r="I27" s="14" t="n">
        <f aca="false">IF(AND(ISNUMBER(K26),D26=D27),K26,0)</f>
        <v>0</v>
      </c>
      <c r="J27" s="43" t="str">
        <f aca="false">IF(D27="시운전",IF(ISNUMBER(01_Inputs!$B$58),01_Inputs!$B$58,"미확인"),IF(AND(ISNUMBER(G27),ISNUMBER(H27)),INT((G27+I27)/H27),"미확인"))</f>
        <v>미확인</v>
      </c>
      <c r="K27" s="14" t="str">
        <f aca="false">IF(AND(ISNUMBER(G27),ISNUMBER(H27),ISNUMBER(J27)),G27+I27-J27*H27,"")</f>
        <v/>
      </c>
      <c r="L27" s="50" t="str">
        <f aca="false">IF(COUNTIFS(02_Batch_Raw!$E$6:$E$61,"&gt;="&amp;A27,02_Batch_Raw!$E$6:$E$61,"&lt;="&amp;EOMONTH(A27,0))=0,"",COUNTIFS(02_Batch_Raw!$E$6:$E$61,"&gt;="&amp;A27,02_Batch_Raw!$E$6:$E$61,"&lt;="&amp;EOMONTH(A27,0)))</f>
        <v/>
      </c>
      <c r="M27" s="50" t="str">
        <f aca="false">""</f>
        <v/>
      </c>
      <c r="N27" s="65"/>
      <c r="O27" s="15" t="str">
        <f aca="false">IF(ISNUMBER(N27),N27,J27)</f>
        <v>미확인</v>
      </c>
      <c r="P27" s="13" t="str">
        <f aca="false">IF(ISNUMBER(N27),"실적 입력",IF(ISNUMBER(J27),"추정 생산 가능량","미확인"))</f>
        <v>미확인</v>
      </c>
      <c r="Q27" s="36" t="n">
        <f aca="false">IF(D27="리플럭스 적용",IF(ISNUMBER(01_Inputs!$B$36),01_Inputs!$B$36,01_Inputs!$B$32),01_Inputs!$B$32)</f>
        <v>190</v>
      </c>
      <c r="R27" s="40" t="str">
        <f aca="false">IF(ISNUMBER(O27),O27*Q27,"미확인")</f>
        <v>미확인</v>
      </c>
      <c r="S27" s="40" t="str">
        <f aca="false">IF(ISNUMBER(R27),R27*IF(ISNUMBER(01_Inputs!$B$81),01_Inputs!$B$81,1),"미확인")</f>
        <v>미확인</v>
      </c>
      <c r="T27" s="66" t="n">
        <f aca="false">01_Inputs!$L$96</f>
        <v>1893.33333333333</v>
      </c>
      <c r="U27" s="66" t="n">
        <f aca="false">IF(ISNUMBER(01_Inputs!$L$97),01_Inputs!$L$97,"미제시")</f>
        <v>580</v>
      </c>
      <c r="V27" s="66" t="n">
        <f aca="false">01_Inputs!$L$98</f>
        <v>840</v>
      </c>
      <c r="W27" s="27" t="n">
        <f aca="false">SUM(T27:V27)</f>
        <v>3313.33333333333</v>
      </c>
      <c r="X27" s="20" t="n">
        <f aca="false">W27/Q27</f>
        <v>17.4385964912281</v>
      </c>
      <c r="Y27" s="15" t="n">
        <f aca="false">ROUNDUP(T27/01_Inputs!$B$33,0)+IF(ISNUMBER(U27),ROUNDUP(U27/01_Inputs!$B$33,0),0)</f>
        <v>124</v>
      </c>
      <c r="Z27" s="14" t="n">
        <f aca="false">Y27*01_Inputs!$B$23</f>
        <v>248</v>
      </c>
      <c r="AA27" s="15" t="n">
        <f aca="false">ROUNDUP(V27/01_Inputs!$B$35,0)</f>
        <v>6</v>
      </c>
      <c r="AB27" s="14" t="n">
        <f aca="false">IF(AND(A27&gt;=01_Inputs!$B$51,ISNUMBER(01_Inputs!$B$29)),01_Inputs!$B$29,01_Inputs!$B$27)</f>
        <v>8</v>
      </c>
      <c r="AC27" s="13" t="str">
        <f aca="false">IF(A27&gt;=01_Inputs!$B$51,IF(ISNUMBER(01_Inputs!$B$29),"ARS","ARS (시간 미확인→수동 8 h 참고)"),"수동")</f>
        <v>ARS (시간 미확인→수동 8 h 참고)</v>
      </c>
      <c r="AD27" s="14" t="n">
        <f aca="false">IF(01_Inputs!$B$28=1,AA27*AB27,ROUNDUP(V27/Q27,0)*AB27)</f>
        <v>48</v>
      </c>
      <c r="AE27" s="14" t="str">
        <f aca="false">IF(ISNUMBER(O27),O27*(01_Inputs!$B$14/IF(ISNUMBER(01_Inputs!$B$15),01_Inputs!$B$15,1)+01_Inputs!$B$20+01_Inputs!$B$30),"미확인")</f>
        <v>미확인</v>
      </c>
      <c r="AF27" s="14" t="str">
        <f aca="false">IF(ISNUMBER(01_Inputs!$B$62),01_Inputs!$B$62,"미확인")</f>
        <v>미확인</v>
      </c>
      <c r="AG27" s="14" t="str">
        <f aca="false">IF(ISNUMBER(AF27),AF27-Z27,"미확인")</f>
        <v>미확인</v>
      </c>
      <c r="AH27" s="29" t="str">
        <f aca="false">IF(ISNUMBER(S27),S27-W27,"미확인")</f>
        <v>미확인</v>
      </c>
      <c r="AI27" s="29" t="str">
        <f aca="false">IF(AND(ISNUMBER(AH27),ISNUMBER(AI26)),AI26+AH27,"보류")</f>
        <v>보류</v>
      </c>
      <c r="AJ27" s="29" t="str">
        <f aca="false">IF(ISNUMBER(AQ26),AQ26,"보류")</f>
        <v>보류</v>
      </c>
      <c r="AK27" s="29" t="str">
        <f aca="false">IF(AND(ISNUMBER(AJ27),ISNUMBER(S27)),AJ27+S27,"보류")</f>
        <v>보류</v>
      </c>
      <c r="AL27" s="29" t="str">
        <f aca="false">IF(ISNUMBER(AK27),MIN(AK27,T27),"보류")</f>
        <v>보류</v>
      </c>
      <c r="AM27" s="29" t="str">
        <f aca="false">IF(ISNUMBER(AK27),MIN(AK27-AL27,N(01_Inputs!$B$79)),"보류")</f>
        <v>보류</v>
      </c>
      <c r="AN27" s="29" t="str">
        <f aca="false">IF(ISNUMBER(AK27),MIN(AK27-AL27-AM27,N(U27)),"보류")</f>
        <v>보류</v>
      </c>
      <c r="AO27" s="29" t="str">
        <f aca="false">IF(ISNUMBER(AK27),MIN(AK27-AL27-AM27-AN27,V27),"보류")</f>
        <v>보류</v>
      </c>
      <c r="AP27" s="29" t="str">
        <f aca="false">IF(ISNUMBER(AK27),W27-AL27-AN27-AO27,"보류")</f>
        <v>보류</v>
      </c>
      <c r="AQ27" s="27" t="str">
        <f aca="false">IF(ISNUMBER(AK27),AK27-AL27-AN27-AO27,"보류")</f>
        <v>보류</v>
      </c>
      <c r="AR27" s="29" t="str">
        <f aca="false">IF(ISNUMBER(01_Inputs!$B$80),01_Inputs!$B$80,"미입력")</f>
        <v>미입력</v>
      </c>
      <c r="AS27" s="29" t="str">
        <f aca="false">IF(AND(ISNUMBER(AJ27),ISNUMBER(AR27)),W27+AR27-AJ27,"보류")</f>
        <v>보류</v>
      </c>
      <c r="AT27" s="29" t="str">
        <f aca="false">IF(AND(ISNUMBER(AQ27),ISNUMBER(AR27)),AQ27-AR27,"보류")</f>
        <v>보류</v>
      </c>
      <c r="AU27" s="13" t="str">
        <f aca="false">IF(ISNUMBER(AQ27),"계산 가능",IF(ISNUMBER(AH27),"부분 (재고 입력 필요)","보류 (생산 조건 미확인)"))</f>
        <v>보류 (생산 조건 미확인)</v>
      </c>
      <c r="AV27" s="8" t="str">
        <f aca="false">IF(D27="리플럭스 공사",IF(ISNUMBER(01_Inputs!$B$57),"","공사 중 가용시간·"),"")&amp;IF(D27="시운전",IF(ISNUMBER(01_Inputs!$B$58),"","시운전 양품 Batch·"),"")&amp;IF(D27="리플럭스 적용",IF(ISNUMBER(01_Inputs!$B$45),"","리플럭스 정제시간·"),"")&amp;IF(AND(D27="리플럭스 적용",NOT(ISNUMBER(01_Inputs!$B$36))),"Batch량(190 유지 가정)·","")&amp;IF(ISNUMBER(N27),"","실적 Batch·")&amp;IF(ISNUMBER(F27),"","정지·보수(미반영)·")&amp;IF(ISNUMBER(01_Inputs!$B$81),"","양품률(100% 상한)·")&amp;IF(ISNUMBER(U27),"","CXMT 물량 미제시·")&amp;IF(ISNUMBER(01_Inputs!$B$62),"","글로브 박스 가용시간·")&amp;IF(ISNUMBER(01_Inputs!$B$78),"","기초재고·")</f>
        <v>리플럭스 정제시간·Batch량(190 유지 가정)·실적 Batch·정지·보수(미반영)·양품률(100% 상한)·글로브 박스 가용시간·기초재고·</v>
      </c>
    </row>
    <row r="28" customFormat="false" ht="26.85" hidden="false" customHeight="false" outlineLevel="0" collapsed="false">
      <c r="A28" s="63" t="n">
        <v>46692</v>
      </c>
      <c r="B28" s="15" t="n">
        <f aca="false">YEAR(A28)</f>
        <v>2027</v>
      </c>
      <c r="C28" s="15" t="n">
        <f aca="false">DAY(EOMONTH(A28,0))</f>
        <v>30</v>
      </c>
      <c r="D28" s="8" t="str">
        <f aca="false">IF(A28&lt;01_Inputs!$B$52,"현재(103℃)",IF(A28&lt;=01_Inputs!$B$53,"리플럭스 공사",IF(A28&lt;01_Inputs!$B$55,"시운전","리플럭스 적용")))</f>
        <v>리플럭스 적용</v>
      </c>
      <c r="E28" s="14" t="n">
        <f aca="false">C28*24</f>
        <v>720</v>
      </c>
      <c r="F28" s="64"/>
      <c r="G28" s="14" t="n">
        <f aca="false">IF(D28="리플럭스 공사",IF(ISNUMBER(01_Inputs!$B$57),01_Inputs!$B$57,"미확인"),IF(D28="시운전","시운전",E28-N(F28)))</f>
        <v>720</v>
      </c>
      <c r="H28" s="20" t="str">
        <f aca="false">IF(OR(D28="현재(103℃)",D28="리플럭스 공사"),03_Capacity_Model!$B$91,IF(D28="리플럭스 적용",IF(ISNUMBER(01_Inputs!$B$45),01_Inputs!$B$45+IF(ISNUMBER(01_Inputs!$B$46),01_Inputs!$B$46,03_Capacity_Model!$B$59),"미확인"),"-"))</f>
        <v>미확인</v>
      </c>
      <c r="I28" s="14" t="n">
        <f aca="false">IF(AND(ISNUMBER(K27),D27=D28),K27,0)</f>
        <v>0</v>
      </c>
      <c r="J28" s="43" t="str">
        <f aca="false">IF(D28="시운전",IF(ISNUMBER(01_Inputs!$B$58),01_Inputs!$B$58,"미확인"),IF(AND(ISNUMBER(G28),ISNUMBER(H28)),INT((G28+I28)/H28),"미확인"))</f>
        <v>미확인</v>
      </c>
      <c r="K28" s="14" t="str">
        <f aca="false">IF(AND(ISNUMBER(G28),ISNUMBER(H28),ISNUMBER(J28)),G28+I28-J28*H28,"")</f>
        <v/>
      </c>
      <c r="L28" s="50" t="str">
        <f aca="false">IF(COUNTIFS(02_Batch_Raw!$E$6:$E$61,"&gt;="&amp;A28,02_Batch_Raw!$E$6:$E$61,"&lt;="&amp;EOMONTH(A28,0))=0,"",COUNTIFS(02_Batch_Raw!$E$6:$E$61,"&gt;="&amp;A28,02_Batch_Raw!$E$6:$E$61,"&lt;="&amp;EOMONTH(A28,0)))</f>
        <v/>
      </c>
      <c r="M28" s="50" t="str">
        <f aca="false">""</f>
        <v/>
      </c>
      <c r="N28" s="65"/>
      <c r="O28" s="15" t="str">
        <f aca="false">IF(ISNUMBER(N28),N28,J28)</f>
        <v>미확인</v>
      </c>
      <c r="P28" s="13" t="str">
        <f aca="false">IF(ISNUMBER(N28),"실적 입력",IF(ISNUMBER(J28),"추정 생산 가능량","미확인"))</f>
        <v>미확인</v>
      </c>
      <c r="Q28" s="36" t="n">
        <f aca="false">IF(D28="리플럭스 적용",IF(ISNUMBER(01_Inputs!$B$36),01_Inputs!$B$36,01_Inputs!$B$32),01_Inputs!$B$32)</f>
        <v>190</v>
      </c>
      <c r="R28" s="40" t="str">
        <f aca="false">IF(ISNUMBER(O28),O28*Q28,"미확인")</f>
        <v>미확인</v>
      </c>
      <c r="S28" s="40" t="str">
        <f aca="false">IF(ISNUMBER(R28),R28*IF(ISNUMBER(01_Inputs!$B$81),01_Inputs!$B$81,1),"미확인")</f>
        <v>미확인</v>
      </c>
      <c r="T28" s="66" t="n">
        <f aca="false">01_Inputs!$M$96</f>
        <v>1893.33333333333</v>
      </c>
      <c r="U28" s="66" t="n">
        <f aca="false">IF(ISNUMBER(01_Inputs!$M$97),01_Inputs!$M$97,"미제시")</f>
        <v>580</v>
      </c>
      <c r="V28" s="66" t="n">
        <f aca="false">01_Inputs!$M$98</f>
        <v>840</v>
      </c>
      <c r="W28" s="27" t="n">
        <f aca="false">SUM(T28:V28)</f>
        <v>3313.33333333333</v>
      </c>
      <c r="X28" s="20" t="n">
        <f aca="false">W28/Q28</f>
        <v>17.4385964912281</v>
      </c>
      <c r="Y28" s="15" t="n">
        <f aca="false">ROUNDUP(T28/01_Inputs!$B$33,0)+IF(ISNUMBER(U28),ROUNDUP(U28/01_Inputs!$B$33,0),0)</f>
        <v>124</v>
      </c>
      <c r="Z28" s="14" t="n">
        <f aca="false">Y28*01_Inputs!$B$23</f>
        <v>248</v>
      </c>
      <c r="AA28" s="15" t="n">
        <f aca="false">ROUNDUP(V28/01_Inputs!$B$35,0)</f>
        <v>6</v>
      </c>
      <c r="AB28" s="14" t="n">
        <f aca="false">IF(AND(A28&gt;=01_Inputs!$B$51,ISNUMBER(01_Inputs!$B$29)),01_Inputs!$B$29,01_Inputs!$B$27)</f>
        <v>8</v>
      </c>
      <c r="AC28" s="13" t="str">
        <f aca="false">IF(A28&gt;=01_Inputs!$B$51,IF(ISNUMBER(01_Inputs!$B$29),"ARS","ARS (시간 미확인→수동 8 h 참고)"),"수동")</f>
        <v>ARS (시간 미확인→수동 8 h 참고)</v>
      </c>
      <c r="AD28" s="14" t="n">
        <f aca="false">IF(01_Inputs!$B$28=1,AA28*AB28,ROUNDUP(V28/Q28,0)*AB28)</f>
        <v>48</v>
      </c>
      <c r="AE28" s="14" t="str">
        <f aca="false">IF(ISNUMBER(O28),O28*(01_Inputs!$B$14/IF(ISNUMBER(01_Inputs!$B$15),01_Inputs!$B$15,1)+01_Inputs!$B$20+01_Inputs!$B$30),"미확인")</f>
        <v>미확인</v>
      </c>
      <c r="AF28" s="14" t="str">
        <f aca="false">IF(ISNUMBER(01_Inputs!$B$62),01_Inputs!$B$62,"미확인")</f>
        <v>미확인</v>
      </c>
      <c r="AG28" s="14" t="str">
        <f aca="false">IF(ISNUMBER(AF28),AF28-Z28,"미확인")</f>
        <v>미확인</v>
      </c>
      <c r="AH28" s="29" t="str">
        <f aca="false">IF(ISNUMBER(S28),S28-W28,"미확인")</f>
        <v>미확인</v>
      </c>
      <c r="AI28" s="29" t="str">
        <f aca="false">IF(AND(ISNUMBER(AH28),ISNUMBER(AI27)),AI27+AH28,"보류")</f>
        <v>보류</v>
      </c>
      <c r="AJ28" s="29" t="str">
        <f aca="false">IF(ISNUMBER(AQ27),AQ27,"보류")</f>
        <v>보류</v>
      </c>
      <c r="AK28" s="29" t="str">
        <f aca="false">IF(AND(ISNUMBER(AJ28),ISNUMBER(S28)),AJ28+S28,"보류")</f>
        <v>보류</v>
      </c>
      <c r="AL28" s="29" t="str">
        <f aca="false">IF(ISNUMBER(AK28),MIN(AK28,T28),"보류")</f>
        <v>보류</v>
      </c>
      <c r="AM28" s="29" t="str">
        <f aca="false">IF(ISNUMBER(AK28),MIN(AK28-AL28,N(01_Inputs!$B$79)),"보류")</f>
        <v>보류</v>
      </c>
      <c r="AN28" s="29" t="str">
        <f aca="false">IF(ISNUMBER(AK28),MIN(AK28-AL28-AM28,N(U28)),"보류")</f>
        <v>보류</v>
      </c>
      <c r="AO28" s="29" t="str">
        <f aca="false">IF(ISNUMBER(AK28),MIN(AK28-AL28-AM28-AN28,V28),"보류")</f>
        <v>보류</v>
      </c>
      <c r="AP28" s="29" t="str">
        <f aca="false">IF(ISNUMBER(AK28),W28-AL28-AN28-AO28,"보류")</f>
        <v>보류</v>
      </c>
      <c r="AQ28" s="27" t="str">
        <f aca="false">IF(ISNUMBER(AK28),AK28-AL28-AN28-AO28,"보류")</f>
        <v>보류</v>
      </c>
      <c r="AR28" s="29" t="str">
        <f aca="false">IF(ISNUMBER(01_Inputs!$B$80),01_Inputs!$B$80,"미입력")</f>
        <v>미입력</v>
      </c>
      <c r="AS28" s="29" t="str">
        <f aca="false">IF(AND(ISNUMBER(AJ28),ISNUMBER(AR28)),W28+AR28-AJ28,"보류")</f>
        <v>보류</v>
      </c>
      <c r="AT28" s="29" t="str">
        <f aca="false">IF(AND(ISNUMBER(AQ28),ISNUMBER(AR28)),AQ28-AR28,"보류")</f>
        <v>보류</v>
      </c>
      <c r="AU28" s="13" t="str">
        <f aca="false">IF(ISNUMBER(AQ28),"계산 가능",IF(ISNUMBER(AH28),"부분 (재고 입력 필요)","보류 (생산 조건 미확인)"))</f>
        <v>보류 (생산 조건 미확인)</v>
      </c>
      <c r="AV28" s="8" t="str">
        <f aca="false">IF(D28="리플럭스 공사",IF(ISNUMBER(01_Inputs!$B$57),"","공사 중 가용시간·"),"")&amp;IF(D28="시운전",IF(ISNUMBER(01_Inputs!$B$58),"","시운전 양품 Batch·"),"")&amp;IF(D28="리플럭스 적용",IF(ISNUMBER(01_Inputs!$B$45),"","리플럭스 정제시간·"),"")&amp;IF(AND(D28="리플럭스 적용",NOT(ISNUMBER(01_Inputs!$B$36))),"Batch량(190 유지 가정)·","")&amp;IF(ISNUMBER(N28),"","실적 Batch·")&amp;IF(ISNUMBER(F28),"","정지·보수(미반영)·")&amp;IF(ISNUMBER(01_Inputs!$B$81),"","양품률(100% 상한)·")&amp;IF(ISNUMBER(U28),"","CXMT 물량 미제시·")&amp;IF(ISNUMBER(01_Inputs!$B$62),"","글로브 박스 가용시간·")&amp;IF(ISNUMBER(01_Inputs!$B$78),"","기초재고·")</f>
        <v>리플럭스 정제시간·Batch량(190 유지 가정)·실적 Batch·정지·보수(미반영)·양품률(100% 상한)·글로브 박스 가용시간·기초재고·</v>
      </c>
    </row>
    <row r="29" customFormat="false" ht="26.85" hidden="false" customHeight="false" outlineLevel="0" collapsed="false">
      <c r="A29" s="63" t="n">
        <v>46722</v>
      </c>
      <c r="B29" s="15" t="n">
        <f aca="false">YEAR(A29)</f>
        <v>2027</v>
      </c>
      <c r="C29" s="15" t="n">
        <f aca="false">DAY(EOMONTH(A29,0))</f>
        <v>31</v>
      </c>
      <c r="D29" s="8" t="str">
        <f aca="false">IF(A29&lt;01_Inputs!$B$52,"현재(103℃)",IF(A29&lt;=01_Inputs!$B$53,"리플럭스 공사",IF(A29&lt;01_Inputs!$B$55,"시운전","리플럭스 적용")))</f>
        <v>리플럭스 적용</v>
      </c>
      <c r="E29" s="14" t="n">
        <f aca="false">C29*24</f>
        <v>744</v>
      </c>
      <c r="F29" s="64"/>
      <c r="G29" s="14" t="n">
        <f aca="false">IF(D29="리플럭스 공사",IF(ISNUMBER(01_Inputs!$B$57),01_Inputs!$B$57,"미확인"),IF(D29="시운전","시운전",E29-N(F29)))</f>
        <v>744</v>
      </c>
      <c r="H29" s="20" t="str">
        <f aca="false">IF(OR(D29="현재(103℃)",D29="리플럭스 공사"),03_Capacity_Model!$B$91,IF(D29="리플럭스 적용",IF(ISNUMBER(01_Inputs!$B$45),01_Inputs!$B$45+IF(ISNUMBER(01_Inputs!$B$46),01_Inputs!$B$46,03_Capacity_Model!$B$59),"미확인"),"-"))</f>
        <v>미확인</v>
      </c>
      <c r="I29" s="14" t="n">
        <f aca="false">IF(AND(ISNUMBER(K28),D28=D29),K28,0)</f>
        <v>0</v>
      </c>
      <c r="J29" s="43" t="str">
        <f aca="false">IF(D29="시운전",IF(ISNUMBER(01_Inputs!$B$58),01_Inputs!$B$58,"미확인"),IF(AND(ISNUMBER(G29),ISNUMBER(H29)),INT((G29+I29)/H29),"미확인"))</f>
        <v>미확인</v>
      </c>
      <c r="K29" s="14" t="str">
        <f aca="false">IF(AND(ISNUMBER(G29),ISNUMBER(H29),ISNUMBER(J29)),G29+I29-J29*H29,"")</f>
        <v/>
      </c>
      <c r="L29" s="50" t="str">
        <f aca="false">IF(COUNTIFS(02_Batch_Raw!$E$6:$E$61,"&gt;="&amp;A29,02_Batch_Raw!$E$6:$E$61,"&lt;="&amp;EOMONTH(A29,0))=0,"",COUNTIFS(02_Batch_Raw!$E$6:$E$61,"&gt;="&amp;A29,02_Batch_Raw!$E$6:$E$61,"&lt;="&amp;EOMONTH(A29,0)))</f>
        <v/>
      </c>
      <c r="M29" s="50" t="str">
        <f aca="false">""</f>
        <v/>
      </c>
      <c r="N29" s="65"/>
      <c r="O29" s="15" t="str">
        <f aca="false">IF(ISNUMBER(N29),N29,J29)</f>
        <v>미확인</v>
      </c>
      <c r="P29" s="13" t="str">
        <f aca="false">IF(ISNUMBER(N29),"실적 입력",IF(ISNUMBER(J29),"추정 생산 가능량","미확인"))</f>
        <v>미확인</v>
      </c>
      <c r="Q29" s="36" t="n">
        <f aca="false">IF(D29="리플럭스 적용",IF(ISNUMBER(01_Inputs!$B$36),01_Inputs!$B$36,01_Inputs!$B$32),01_Inputs!$B$32)</f>
        <v>190</v>
      </c>
      <c r="R29" s="40" t="str">
        <f aca="false">IF(ISNUMBER(O29),O29*Q29,"미확인")</f>
        <v>미확인</v>
      </c>
      <c r="S29" s="40" t="str">
        <f aca="false">IF(ISNUMBER(R29),R29*IF(ISNUMBER(01_Inputs!$B$81),01_Inputs!$B$81,1),"미확인")</f>
        <v>미확인</v>
      </c>
      <c r="T29" s="66" t="n">
        <f aca="false">01_Inputs!$N$96</f>
        <v>1893.33333333333</v>
      </c>
      <c r="U29" s="66" t="n">
        <f aca="false">IF(ISNUMBER(01_Inputs!$N$97),01_Inputs!$N$97,"미제시")</f>
        <v>580</v>
      </c>
      <c r="V29" s="66" t="n">
        <f aca="false">01_Inputs!$N$98</f>
        <v>840</v>
      </c>
      <c r="W29" s="27" t="n">
        <f aca="false">SUM(T29:V29)</f>
        <v>3313.33333333333</v>
      </c>
      <c r="X29" s="20" t="n">
        <f aca="false">W29/Q29</f>
        <v>17.4385964912281</v>
      </c>
      <c r="Y29" s="15" t="n">
        <f aca="false">ROUNDUP(T29/01_Inputs!$B$33,0)+IF(ISNUMBER(U29),ROUNDUP(U29/01_Inputs!$B$33,0),0)</f>
        <v>124</v>
      </c>
      <c r="Z29" s="14" t="n">
        <f aca="false">Y29*01_Inputs!$B$23</f>
        <v>248</v>
      </c>
      <c r="AA29" s="15" t="n">
        <f aca="false">ROUNDUP(V29/01_Inputs!$B$35,0)</f>
        <v>6</v>
      </c>
      <c r="AB29" s="14" t="n">
        <f aca="false">IF(AND(A29&gt;=01_Inputs!$B$51,ISNUMBER(01_Inputs!$B$29)),01_Inputs!$B$29,01_Inputs!$B$27)</f>
        <v>8</v>
      </c>
      <c r="AC29" s="13" t="str">
        <f aca="false">IF(A29&gt;=01_Inputs!$B$51,IF(ISNUMBER(01_Inputs!$B$29),"ARS","ARS (시간 미확인→수동 8 h 참고)"),"수동")</f>
        <v>ARS (시간 미확인→수동 8 h 참고)</v>
      </c>
      <c r="AD29" s="14" t="n">
        <f aca="false">IF(01_Inputs!$B$28=1,AA29*AB29,ROUNDUP(V29/Q29,0)*AB29)</f>
        <v>48</v>
      </c>
      <c r="AE29" s="14" t="str">
        <f aca="false">IF(ISNUMBER(O29),O29*(01_Inputs!$B$14/IF(ISNUMBER(01_Inputs!$B$15),01_Inputs!$B$15,1)+01_Inputs!$B$20+01_Inputs!$B$30),"미확인")</f>
        <v>미확인</v>
      </c>
      <c r="AF29" s="14" t="str">
        <f aca="false">IF(ISNUMBER(01_Inputs!$B$62),01_Inputs!$B$62,"미확인")</f>
        <v>미확인</v>
      </c>
      <c r="AG29" s="14" t="str">
        <f aca="false">IF(ISNUMBER(AF29),AF29-Z29,"미확인")</f>
        <v>미확인</v>
      </c>
      <c r="AH29" s="29" t="str">
        <f aca="false">IF(ISNUMBER(S29),S29-W29,"미확인")</f>
        <v>미확인</v>
      </c>
      <c r="AI29" s="29" t="str">
        <f aca="false">IF(AND(ISNUMBER(AH29),ISNUMBER(AI28)),AI28+AH29,"보류")</f>
        <v>보류</v>
      </c>
      <c r="AJ29" s="29" t="str">
        <f aca="false">IF(ISNUMBER(AQ28),AQ28,"보류")</f>
        <v>보류</v>
      </c>
      <c r="AK29" s="29" t="str">
        <f aca="false">IF(AND(ISNUMBER(AJ29),ISNUMBER(S29)),AJ29+S29,"보류")</f>
        <v>보류</v>
      </c>
      <c r="AL29" s="29" t="str">
        <f aca="false">IF(ISNUMBER(AK29),MIN(AK29,T29),"보류")</f>
        <v>보류</v>
      </c>
      <c r="AM29" s="29" t="str">
        <f aca="false">IF(ISNUMBER(AK29),MIN(AK29-AL29,N(01_Inputs!$B$79)),"보류")</f>
        <v>보류</v>
      </c>
      <c r="AN29" s="29" t="str">
        <f aca="false">IF(ISNUMBER(AK29),MIN(AK29-AL29-AM29,N(U29)),"보류")</f>
        <v>보류</v>
      </c>
      <c r="AO29" s="29" t="str">
        <f aca="false">IF(ISNUMBER(AK29),MIN(AK29-AL29-AM29-AN29,V29),"보류")</f>
        <v>보류</v>
      </c>
      <c r="AP29" s="29" t="str">
        <f aca="false">IF(ISNUMBER(AK29),W29-AL29-AN29-AO29,"보류")</f>
        <v>보류</v>
      </c>
      <c r="AQ29" s="27" t="str">
        <f aca="false">IF(ISNUMBER(AK29),AK29-AL29-AN29-AO29,"보류")</f>
        <v>보류</v>
      </c>
      <c r="AR29" s="29" t="str">
        <f aca="false">IF(ISNUMBER(01_Inputs!$B$80),01_Inputs!$B$80,"미입력")</f>
        <v>미입력</v>
      </c>
      <c r="AS29" s="29" t="str">
        <f aca="false">IF(AND(ISNUMBER(AJ29),ISNUMBER(AR29)),W29+AR29-AJ29,"보류")</f>
        <v>보류</v>
      </c>
      <c r="AT29" s="29" t="str">
        <f aca="false">IF(AND(ISNUMBER(AQ29),ISNUMBER(AR29)),AQ29-AR29,"보류")</f>
        <v>보류</v>
      </c>
      <c r="AU29" s="13" t="str">
        <f aca="false">IF(ISNUMBER(AQ29),"계산 가능",IF(ISNUMBER(AH29),"부분 (재고 입력 필요)","보류 (생산 조건 미확인)"))</f>
        <v>보류 (생산 조건 미확인)</v>
      </c>
      <c r="AV29" s="8" t="str">
        <f aca="false">IF(D29="리플럭스 공사",IF(ISNUMBER(01_Inputs!$B$57),"","공사 중 가용시간·"),"")&amp;IF(D29="시운전",IF(ISNUMBER(01_Inputs!$B$58),"","시운전 양품 Batch·"),"")&amp;IF(D29="리플럭스 적용",IF(ISNUMBER(01_Inputs!$B$45),"","리플럭스 정제시간·"),"")&amp;IF(AND(D29="리플럭스 적용",NOT(ISNUMBER(01_Inputs!$B$36))),"Batch량(190 유지 가정)·","")&amp;IF(ISNUMBER(N29),"","실적 Batch·")&amp;IF(ISNUMBER(F29),"","정지·보수(미반영)·")&amp;IF(ISNUMBER(01_Inputs!$B$81),"","양품률(100% 상한)·")&amp;IF(ISNUMBER(U29),"","CXMT 물량 미제시·")&amp;IF(ISNUMBER(01_Inputs!$B$62),"","글로브 박스 가용시간·")&amp;IF(ISNUMBER(01_Inputs!$B$78),"","기초재고·")</f>
        <v>리플럭스 정제시간·Batch량(190 유지 가정)·실적 Batch·정지·보수(미반영)·양품률(100% 상한)·글로브 박스 가용시간·기초재고·</v>
      </c>
    </row>
    <row r="30" customFormat="false" ht="15" hidden="false" customHeight="false" outlineLevel="0" collapsed="false">
      <c r="A30" s="30" t="s">
        <v>661</v>
      </c>
      <c r="J30" s="40" t="n">
        <f aca="false">IF(COUNT(J6:J17)=12,SUM(J6:J17),"부분합계 "&amp;TEXT(SUM(J6:J17),"#,##0")&amp;" ("&amp;COUNT(J6:J17)&amp;"/12개월)")</f>
        <v>129</v>
      </c>
      <c r="L30" s="43" t="n">
        <f aca="false">SUM(L6:L17)</f>
        <v>56</v>
      </c>
      <c r="M30" s="43" t="n">
        <f aca="false">SUM(M6:M17)</f>
        <v>46</v>
      </c>
      <c r="O30" s="40" t="n">
        <f aca="false">IF(COUNT(O6:O17)=12,SUM(O6:O17),"부분합계 "&amp;TEXT(SUM(O6:O17),"#,##0")&amp;" ("&amp;COUNT(O6:O17)&amp;"/12개월)")</f>
        <v>129</v>
      </c>
      <c r="R30" s="40" t="n">
        <f aca="false">IF(COUNT(R6:R17)=12,SUM(R6:R17),"부분합계 "&amp;TEXT(SUM(R6:R17),"#,##0")&amp;" ("&amp;COUNT(R6:R17)&amp;"/12개월)")</f>
        <v>24510</v>
      </c>
      <c r="S30" s="40" t="n">
        <f aca="false">IF(COUNT(S6:S17)=12,SUM(S6:S17),"부분합계 "&amp;TEXT(SUM(S6:S17),"#,##0")&amp;" ("&amp;COUNT(S6:S17)&amp;"/12개월)")</f>
        <v>24510</v>
      </c>
      <c r="T30" s="27" t="n">
        <f aca="false">SUM(T6:T17)</f>
        <v>16980</v>
      </c>
      <c r="U30" s="27" t="str">
        <f aca="false">IF(COUNT(U6:U17)=0,"미제시",SUM(U6:U17))</f>
        <v>미제시</v>
      </c>
      <c r="V30" s="27" t="n">
        <f aca="false">SUM(V6:V17)</f>
        <v>2240</v>
      </c>
      <c r="W30" s="27" t="n">
        <f aca="false">SUM(W6:W17)</f>
        <v>19220</v>
      </c>
      <c r="X30" s="42" t="n">
        <f aca="false">SUM(X6:X17)</f>
        <v>101.157894736842</v>
      </c>
      <c r="Y30" s="43" t="n">
        <f aca="false">SUM(Y6:Y17)</f>
        <v>849</v>
      </c>
      <c r="Z30" s="49" t="n">
        <f aca="false">SUM(Z6:Z17)</f>
        <v>1698</v>
      </c>
      <c r="AA30" s="43" t="n">
        <f aca="false">SUM(AA6:AA17)</f>
        <v>16</v>
      </c>
      <c r="AD30" s="49" t="n">
        <f aca="false">SUM(AD6:AD17)</f>
        <v>128</v>
      </c>
    </row>
    <row r="31" customFormat="false" ht="26.85" hidden="false" customHeight="false" outlineLevel="0" collapsed="false">
      <c r="A31" s="30" t="s">
        <v>662</v>
      </c>
      <c r="J31" s="40" t="str">
        <f aca="false">IF(COUNT(J18:J29)=12,SUM(J18:J29),"부분합계 "&amp;TEXT(SUM(J18:J29),"#,##0")&amp;" ("&amp;COUNT(J18:J29)&amp;"/12개월)")</f>
        <v>부분합계 11 (1/12개월)</v>
      </c>
      <c r="O31" s="40" t="str">
        <f aca="false">IF(COUNT(O18:O29)=12,SUM(O18:O29),"부분합계 "&amp;TEXT(SUM(O18:O29),"#,##0")&amp;" ("&amp;COUNT(O18:O29)&amp;"/12개월)")</f>
        <v>부분합계 11 (1/12개월)</v>
      </c>
      <c r="R31" s="40" t="str">
        <f aca="false">IF(COUNT(R18:R29)=12,SUM(R18:R29),"부분합계 "&amp;TEXT(SUM(R18:R29),"#,##0")&amp;" ("&amp;COUNT(R18:R29)&amp;"/12개월)")</f>
        <v>부분합계 2,090 (1/12개월)</v>
      </c>
      <c r="S31" s="40" t="str">
        <f aca="false">IF(COUNT(S18:S29)=12,SUM(S18:S29),"부분합계 "&amp;TEXT(SUM(S18:S29),"#,##0")&amp;" ("&amp;COUNT(S18:S29)&amp;"/12개월)")</f>
        <v>부분합계 2,090 (1/12개월)</v>
      </c>
      <c r="T31" s="27" t="n">
        <f aca="false">SUM(T18:T29)</f>
        <v>22720</v>
      </c>
      <c r="U31" s="27" t="n">
        <f aca="false">IF(COUNT(U18:U29)=0,"미제시",SUM(U18:U29))</f>
        <v>5220</v>
      </c>
      <c r="V31" s="27" t="n">
        <f aca="false">SUM(V18:V29)</f>
        <v>10080</v>
      </c>
      <c r="W31" s="27" t="n">
        <f aca="false">SUM(W18:W29)</f>
        <v>38020</v>
      </c>
      <c r="X31" s="42" t="n">
        <f aca="false">SUM(X18:X29)</f>
        <v>200.105263157895</v>
      </c>
      <c r="Y31" s="43" t="n">
        <f aca="false">SUM(Y18:Y29)</f>
        <v>1401</v>
      </c>
      <c r="Z31" s="49" t="n">
        <f aca="false">SUM(Z18:Z29)</f>
        <v>2802</v>
      </c>
      <c r="AA31" s="43" t="n">
        <f aca="false">SUM(AA18:AA29)</f>
        <v>72</v>
      </c>
      <c r="AD31" s="49" t="n">
        <f aca="false">SUM(AD18:AD29)</f>
        <v>576</v>
      </c>
    </row>
    <row r="32" customFormat="false" ht="15" hidden="false" customHeight="false" outlineLevel="0" collapsed="false">
      <c r="A32" s="30" t="s">
        <v>663</v>
      </c>
      <c r="W32" s="29" t="n">
        <f aca="false">MAX(W6:W17)</f>
        <v>2040</v>
      </c>
      <c r="Y32" s="15" t="n">
        <f aca="false">MAX(Y6:Y17)</f>
        <v>80</v>
      </c>
      <c r="Z32" s="14" t="n">
        <f aca="false">MAX(Z6:Z17)</f>
        <v>160</v>
      </c>
      <c r="AA32" s="15" t="n">
        <f aca="false">MAX(AA6:AA17)</f>
        <v>4</v>
      </c>
      <c r="AD32" s="14" t="n">
        <f aca="false">MAX(AD6:AD17)</f>
        <v>32</v>
      </c>
      <c r="AE32" s="14" t="n">
        <f aca="false">MAX(AE6:AE17)</f>
        <v>72</v>
      </c>
    </row>
    <row r="33" customFormat="false" ht="15" hidden="false" customHeight="false" outlineLevel="0" collapsed="false">
      <c r="A33" s="30" t="s">
        <v>664</v>
      </c>
      <c r="W33" s="29" t="n">
        <f aca="false">MAX(W18:W29)</f>
        <v>3313.33333333333</v>
      </c>
      <c r="Y33" s="15" t="n">
        <f aca="false">MAX(Y18:Y29)</f>
        <v>124</v>
      </c>
      <c r="Z33" s="14" t="n">
        <f aca="false">MAX(Z18:Z29)</f>
        <v>248</v>
      </c>
      <c r="AA33" s="15" t="n">
        <f aca="false">MAX(AA18:AA29)</f>
        <v>6</v>
      </c>
      <c r="AD33" s="14" t="n">
        <f aca="false">MAX(AD18:AD29)</f>
        <v>48</v>
      </c>
      <c r="AE33" s="14" t="n">
        <f aca="false">MAX(AE18:AE29)</f>
        <v>66</v>
      </c>
    </row>
    <row r="35" customFormat="false" ht="15" hidden="false" customHeight="false" outlineLevel="0" collapsed="false">
      <c r="A35" s="2" t="s">
        <v>665</v>
      </c>
    </row>
    <row r="36" customFormat="false" ht="15" hidden="false" customHeight="false" outlineLevel="0" collapsed="false">
      <c r="A36" s="2" t="s">
        <v>666</v>
      </c>
    </row>
    <row r="37" customFormat="false" ht="15" hidden="false" customHeight="false" outlineLevel="0" collapsed="false">
      <c r="A37" s="2" t="s">
        <v>667</v>
      </c>
    </row>
    <row r="38" customFormat="false" ht="15" hidden="false" customHeight="false" outlineLevel="0" collapsed="false">
      <c r="A38" s="2" t="s">
        <v>668</v>
      </c>
    </row>
    <row r="39" customFormat="false" ht="15" hidden="false" customHeight="false" outlineLevel="0" collapsed="false">
      <c r="A39" s="31" t="s">
        <v>669</v>
      </c>
    </row>
    <row r="40" customFormat="false" ht="15" hidden="false" customHeight="false" outlineLevel="0" collapsed="false">
      <c r="A40" s="31" t="s">
        <v>670</v>
      </c>
    </row>
  </sheetData>
  <autoFilter ref="A5:AV29"/>
  <conditionalFormatting sqref="AG6:AG29">
    <cfRule type="expression" priority="2" aboveAverage="0" equalAverage="0" bottom="0" percent="0" rank="0" text="" dxfId="24">
      <formula>AND(ISNUMBER(AG6),AG6&lt;0)</formula>
    </cfRule>
  </conditionalFormatting>
  <conditionalFormatting sqref="AH6:AH29">
    <cfRule type="expression" priority="3" aboveAverage="0" equalAverage="0" bottom="0" percent="0" rank="0" text="" dxfId="24">
      <formula>AND(ISNUMBER(AH6),AH6&lt;0)</formula>
    </cfRule>
  </conditionalFormatting>
  <conditionalFormatting sqref="AP6:AP29">
    <cfRule type="expression" priority="4" aboveAverage="0" equalAverage="0" bottom="0" percent="0" rank="0" text="" dxfId="24">
      <formula>AND(ISNUMBER(AP6),AP6&lt;0)</formula>
    </cfRule>
    <cfRule type="expression" priority="5" aboveAverage="0" equalAverage="0" bottom="0" percent="0" rank="0" text="" dxfId="24">
      <formula>AND(ISNUMBER(AP6),AP6&gt;0)</formula>
    </cfRule>
  </conditionalFormatting>
  <conditionalFormatting sqref="AT6:AT29">
    <cfRule type="expression" priority="6" aboveAverage="0" equalAverage="0" bottom="0" percent="0" rank="0" text="" dxfId="24">
      <formula>AND(ISNUMBER(AT6),AT6&lt;0)</formula>
    </cfRule>
  </conditionalFormatting>
  <conditionalFormatting sqref="G6:AU29">
    <cfRule type="expression" priority="7" aboveAverage="0" equalAverage="0" bottom="0" percent="0" rank="0" text="" dxfId="25">
      <formula>OR(G6="미확인",G6="보류",G6="미입력",LEFT(G6,2)="보류")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P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4" min="2" style="0" width="13"/>
    <col collapsed="false" customWidth="true" hidden="false" outlineLevel="0" max="15" min="15" style="0" width="14"/>
    <col collapsed="false" customWidth="true" hidden="false" outlineLevel="0" max="16" min="16" style="0" width="40"/>
  </cols>
  <sheetData>
    <row r="1" customFormat="false" ht="21.6" hidden="false" customHeight="false" outlineLevel="0" collapsed="false">
      <c r="A1" s="1" t="s">
        <v>671</v>
      </c>
    </row>
    <row r="2" customFormat="false" ht="15" hidden="false" customHeight="false" outlineLevel="0" collapsed="false">
      <c r="A2" s="2" t="s">
        <v>672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</row>
    <row r="5" customFormat="false" ht="15" hidden="false" customHeight="false" outlineLevel="0" collapsed="false">
      <c r="A5" s="67" t="s">
        <v>673</v>
      </c>
    </row>
    <row r="6" customFormat="false" ht="30" hidden="false" customHeight="true" outlineLevel="0" collapsed="false">
      <c r="A6" s="10" t="s">
        <v>13</v>
      </c>
      <c r="B6" s="10" t="s">
        <v>674</v>
      </c>
      <c r="C6" s="10" t="s">
        <v>675</v>
      </c>
      <c r="D6" s="10" t="s">
        <v>616</v>
      </c>
      <c r="E6" s="10" t="s">
        <v>676</v>
      </c>
      <c r="F6" s="10" t="s">
        <v>677</v>
      </c>
      <c r="G6" s="10" t="s">
        <v>678</v>
      </c>
      <c r="H6" s="10" t="s">
        <v>679</v>
      </c>
    </row>
    <row r="7" customFormat="false" ht="26.85" hidden="false" customHeight="false" outlineLevel="0" collapsed="false">
      <c r="A7" s="13" t="s">
        <v>680</v>
      </c>
      <c r="B7" s="52" t="n">
        <v>46023</v>
      </c>
      <c r="C7" s="52" t="n">
        <f aca="false">01_Inputs!$B$52-1</f>
        <v>46418</v>
      </c>
      <c r="D7" s="8" t="s">
        <v>681</v>
      </c>
      <c r="E7" s="13" t="s">
        <v>682</v>
      </c>
      <c r="F7" s="13" t="s">
        <v>683</v>
      </c>
      <c r="G7" s="13" t="s">
        <v>684</v>
      </c>
      <c r="H7" s="13" t="s">
        <v>20</v>
      </c>
    </row>
    <row r="8" customFormat="false" ht="26.85" hidden="false" customHeight="false" outlineLevel="0" collapsed="false">
      <c r="A8" s="13" t="s">
        <v>685</v>
      </c>
      <c r="B8" s="52" t="n">
        <f aca="false">01_Inputs!$B$52</f>
        <v>46419</v>
      </c>
      <c r="C8" s="52" t="n">
        <f aca="false">01_Inputs!$B$53</f>
        <v>46538</v>
      </c>
      <c r="D8" s="13" t="s">
        <v>686</v>
      </c>
      <c r="E8" s="13" t="s">
        <v>682</v>
      </c>
      <c r="F8" s="8" t="s">
        <v>687</v>
      </c>
      <c r="G8" s="8" t="str">
        <f aca="false">IF(ISNUMBER(01_Inputs!$B$57),"가용 "&amp;01_Inputs!$B$57&amp;" h/월","공사 중 가용시간 미확인")</f>
        <v>공사 중 가용시간 미확인</v>
      </c>
      <c r="H8" s="13" t="s">
        <v>128</v>
      </c>
    </row>
    <row r="9" customFormat="false" ht="26.85" hidden="false" customHeight="false" outlineLevel="0" collapsed="false">
      <c r="A9" s="13" t="s">
        <v>688</v>
      </c>
      <c r="B9" s="52" t="n">
        <f aca="false">01_Inputs!$B$54</f>
        <v>46539</v>
      </c>
      <c r="C9" s="52" t="n">
        <f aca="false">01_Inputs!$B$55-1</f>
        <v>46568</v>
      </c>
      <c r="D9" s="13" t="s">
        <v>688</v>
      </c>
      <c r="E9" s="13" t="s">
        <v>682</v>
      </c>
      <c r="F9" s="8" t="s">
        <v>687</v>
      </c>
      <c r="G9" s="8" t="str">
        <f aca="false">IF(ISNUMBER(01_Inputs!$B$58),01_Inputs!$B$58&amp;" Batch","시운전 양품 Batch 미확인")</f>
        <v>시운전 양품 Batch 미확인</v>
      </c>
      <c r="H9" s="13" t="s">
        <v>128</v>
      </c>
    </row>
    <row r="10" customFormat="false" ht="15" hidden="false" customHeight="false" outlineLevel="0" collapsed="false">
      <c r="A10" s="13" t="s">
        <v>689</v>
      </c>
      <c r="B10" s="52" t="n">
        <f aca="false">01_Inputs!$B$55</f>
        <v>46569</v>
      </c>
      <c r="C10" s="52"/>
      <c r="D10" s="13" t="s">
        <v>690</v>
      </c>
      <c r="E10" s="13" t="s">
        <v>691</v>
      </c>
      <c r="F10" s="8" t="s">
        <v>687</v>
      </c>
      <c r="G10" s="8" t="str">
        <f aca="false">IF(ISNUMBER(01_Inputs!$B$45),01_Inputs!$B$45&amp;" h/Batch","정제시간 미확인")</f>
        <v>정제시간 미확인</v>
      </c>
      <c r="H10" s="13" t="s">
        <v>128</v>
      </c>
    </row>
    <row r="11" customFormat="false" ht="26.85" hidden="false" customHeight="false" outlineLevel="0" collapsed="false">
      <c r="A11" s="13" t="s">
        <v>692</v>
      </c>
      <c r="B11" s="52" t="n">
        <f aca="false">01_Inputs!$B$55</f>
        <v>46569</v>
      </c>
      <c r="C11" s="52" t="n">
        <f aca="false">01_Inputs!$B$56</f>
        <v>46934</v>
      </c>
      <c r="D11" s="13" t="s">
        <v>693</v>
      </c>
      <c r="E11" s="13" t="s">
        <v>691</v>
      </c>
      <c r="F11" s="8" t="s">
        <v>687</v>
      </c>
      <c r="G11" s="13" t="s">
        <v>694</v>
      </c>
      <c r="H11" s="13" t="s">
        <v>20</v>
      </c>
    </row>
    <row r="12" customFormat="false" ht="26.85" hidden="false" customHeight="false" outlineLevel="0" collapsed="false">
      <c r="A12" s="8" t="s">
        <v>695</v>
      </c>
      <c r="B12" s="52" t="str">
        <f aca="false">IF(ISNUMBER(01_Inputs!$B$48),01_Inputs!$B$48,"미정")</f>
        <v>미정</v>
      </c>
      <c r="C12" s="52"/>
      <c r="D12" s="8" t="s">
        <v>696</v>
      </c>
      <c r="E12" s="13" t="s">
        <v>691</v>
      </c>
      <c r="F12" s="8" t="s">
        <v>687</v>
      </c>
      <c r="G12" s="13" t="s">
        <v>123</v>
      </c>
      <c r="H12" s="13" t="s">
        <v>122</v>
      </c>
    </row>
    <row r="14" customFormat="false" ht="15" hidden="false" customHeight="false" outlineLevel="0" collapsed="false">
      <c r="A14" s="67" t="s">
        <v>697</v>
      </c>
    </row>
    <row r="15" customFormat="false" ht="30" hidden="false" customHeight="true" outlineLevel="0" collapsed="false">
      <c r="A15" s="10" t="s">
        <v>13</v>
      </c>
      <c r="B15" s="10" t="s">
        <v>698</v>
      </c>
      <c r="C15" s="10" t="s">
        <v>699</v>
      </c>
      <c r="D15" s="10" t="s">
        <v>700</v>
      </c>
      <c r="E15" s="25" t="s">
        <v>701</v>
      </c>
      <c r="F15" s="10" t="s">
        <v>702</v>
      </c>
      <c r="G15" s="10" t="s">
        <v>679</v>
      </c>
      <c r="H15" s="10" t="s">
        <v>15</v>
      </c>
    </row>
    <row r="16" customFormat="false" ht="39.55" hidden="false" customHeight="false" outlineLevel="0" collapsed="false">
      <c r="A16" s="13" t="s">
        <v>703</v>
      </c>
      <c r="B16" s="42" t="n">
        <f aca="false">01_Inputs!$B$38</f>
        <v>26.2</v>
      </c>
      <c r="C16" s="20"/>
      <c r="D16" s="20" t="n">
        <f aca="false">B16/12</f>
        <v>2.18333333333333</v>
      </c>
      <c r="E16" s="20" t="n">
        <f aca="false">B16*1000/01_Inputs!$B$32</f>
        <v>137.894736842105</v>
      </c>
      <c r="F16" s="20" t="n">
        <f aca="false">01_Inputs!$B$11/E16</f>
        <v>63.5267175572519</v>
      </c>
      <c r="G16" s="13" t="s">
        <v>505</v>
      </c>
      <c r="H16" s="13" t="s">
        <v>704</v>
      </c>
    </row>
    <row r="17" customFormat="false" ht="39.55" hidden="false" customHeight="false" outlineLevel="0" collapsed="false">
      <c r="A17" s="13" t="s">
        <v>705</v>
      </c>
      <c r="B17" s="42" t="n">
        <f aca="false">01_Inputs!$B$40</f>
        <v>47.2</v>
      </c>
      <c r="C17" s="20" t="n">
        <f aca="false">01_Inputs!$B$39</f>
        <v>21</v>
      </c>
      <c r="D17" s="20" t="n">
        <f aca="false">B17/12</f>
        <v>3.93333333333333</v>
      </c>
      <c r="E17" s="20" t="n">
        <f aca="false">B17*1000/01_Inputs!$B$32</f>
        <v>248.421052631579</v>
      </c>
      <c r="F17" s="20" t="n">
        <f aca="false">01_Inputs!$B$11/E17</f>
        <v>35.2627118644068</v>
      </c>
      <c r="G17" s="13" t="s">
        <v>706</v>
      </c>
      <c r="H17" s="8" t="s">
        <v>707</v>
      </c>
    </row>
    <row r="18" customFormat="false" ht="49.95" hidden="false" customHeight="false" outlineLevel="0" collapsed="false">
      <c r="A18" s="68" t="s">
        <v>708</v>
      </c>
      <c r="B18" s="69" t="n">
        <f aca="false">01_Inputs!$B$42</f>
        <v>50.2</v>
      </c>
      <c r="C18" s="70" t="n">
        <f aca="false">01_Inputs!$B$41</f>
        <v>3</v>
      </c>
      <c r="D18" s="70" t="n">
        <f aca="false">B18/12</f>
        <v>4.18333333333333</v>
      </c>
      <c r="E18" s="70" t="n">
        <f aca="false">B18*1000/01_Inputs!$B$32</f>
        <v>264.21052631579</v>
      </c>
      <c r="F18" s="70" t="n">
        <f aca="false">01_Inputs!$B$11/E18</f>
        <v>33.1553784860558</v>
      </c>
      <c r="G18" s="71" t="s">
        <v>709</v>
      </c>
      <c r="H18" s="71" t="s">
        <v>710</v>
      </c>
    </row>
    <row r="19" customFormat="false" ht="15" hidden="false" customHeight="false" outlineLevel="0" collapsed="false">
      <c r="A19" s="13" t="s">
        <v>711</v>
      </c>
      <c r="B19" s="42" t="n">
        <f aca="false">01_Inputs!$B$43</f>
        <v>50</v>
      </c>
      <c r="C19" s="20"/>
      <c r="D19" s="20" t="n">
        <f aca="false">B19/12</f>
        <v>4.16666666666667</v>
      </c>
      <c r="E19" s="20" t="n">
        <f aca="false">B19*1000/01_Inputs!$B$32</f>
        <v>263.157894736842</v>
      </c>
      <c r="F19" s="20" t="n">
        <f aca="false">01_Inputs!$B$11/E19</f>
        <v>33.288</v>
      </c>
      <c r="G19" s="13" t="s">
        <v>712</v>
      </c>
      <c r="H19" s="8" t="s">
        <v>127</v>
      </c>
    </row>
    <row r="20" customFormat="false" ht="37.3" hidden="false" customHeight="false" outlineLevel="0" collapsed="false">
      <c r="A20" s="56" t="s">
        <v>713</v>
      </c>
    </row>
    <row r="22" customFormat="false" ht="15" hidden="false" customHeight="false" outlineLevel="0" collapsed="false">
      <c r="A22" s="67" t="s">
        <v>714</v>
      </c>
    </row>
    <row r="23" customFormat="false" ht="30" hidden="false" customHeight="true" outlineLevel="0" collapsed="false">
      <c r="A23" s="10" t="s">
        <v>13</v>
      </c>
      <c r="B23" s="25" t="s">
        <v>238</v>
      </c>
      <c r="C23" s="25" t="s">
        <v>239</v>
      </c>
      <c r="D23" s="25" t="s">
        <v>240</v>
      </c>
      <c r="E23" s="25" t="s">
        <v>241</v>
      </c>
      <c r="F23" s="25" t="s">
        <v>242</v>
      </c>
      <c r="G23" s="25" t="s">
        <v>243</v>
      </c>
      <c r="H23" s="25" t="s">
        <v>244</v>
      </c>
      <c r="I23" s="25" t="s">
        <v>245</v>
      </c>
      <c r="J23" s="25" t="s">
        <v>246</v>
      </c>
      <c r="K23" s="25" t="s">
        <v>247</v>
      </c>
      <c r="L23" s="25" t="s">
        <v>248</v>
      </c>
      <c r="M23" s="25" t="s">
        <v>249</v>
      </c>
      <c r="N23" s="10" t="s">
        <v>250</v>
      </c>
      <c r="O23" s="10" t="s">
        <v>15</v>
      </c>
    </row>
    <row r="24" customFormat="false" ht="15" hidden="false" customHeight="false" outlineLevel="0" collapsed="false">
      <c r="A24" s="48" t="s">
        <v>616</v>
      </c>
      <c r="B24" s="51" t="str">
        <f aca="false">04_Monthly_2026_2027!D18</f>
        <v>현재(103℃)</v>
      </c>
      <c r="C24" s="51" t="str">
        <f aca="false">04_Monthly_2026_2027!D19</f>
        <v>리플럭스 공사</v>
      </c>
      <c r="D24" s="51" t="str">
        <f aca="false">04_Monthly_2026_2027!D20</f>
        <v>리플럭스 공사</v>
      </c>
      <c r="E24" s="51" t="str">
        <f aca="false">04_Monthly_2026_2027!D21</f>
        <v>리플럭스 공사</v>
      </c>
      <c r="F24" s="51" t="str">
        <f aca="false">04_Monthly_2026_2027!D22</f>
        <v>리플럭스 공사</v>
      </c>
      <c r="G24" s="51" t="str">
        <f aca="false">04_Monthly_2026_2027!D23</f>
        <v>시운전</v>
      </c>
      <c r="H24" s="51" t="str">
        <f aca="false">04_Monthly_2026_2027!D24</f>
        <v>리플럭스 적용</v>
      </c>
      <c r="I24" s="51" t="str">
        <f aca="false">04_Monthly_2026_2027!D25</f>
        <v>리플럭스 적용</v>
      </c>
      <c r="J24" s="51" t="str">
        <f aca="false">04_Monthly_2026_2027!D26</f>
        <v>리플럭스 적용</v>
      </c>
      <c r="K24" s="51" t="str">
        <f aca="false">04_Monthly_2026_2027!D27</f>
        <v>리플럭스 적용</v>
      </c>
      <c r="L24" s="51" t="str">
        <f aca="false">04_Monthly_2026_2027!D28</f>
        <v>리플럭스 적용</v>
      </c>
      <c r="M24" s="51" t="str">
        <f aca="false">04_Monthly_2026_2027!D29</f>
        <v>리플럭스 적용</v>
      </c>
      <c r="N24" s="9" t="s">
        <v>41</v>
      </c>
    </row>
    <row r="25" customFormat="false" ht="24.6" hidden="false" customHeight="false" outlineLevel="0" collapsed="false">
      <c r="A25" s="48" t="s">
        <v>715</v>
      </c>
      <c r="B25" s="50" t="n">
        <f aca="false">04_Monthly_2026_2027!O18</f>
        <v>11</v>
      </c>
      <c r="C25" s="50" t="str">
        <f aca="false">04_Monthly_2026_2027!O19</f>
        <v>미확인</v>
      </c>
      <c r="D25" s="50" t="str">
        <f aca="false">04_Monthly_2026_2027!O20</f>
        <v>미확인</v>
      </c>
      <c r="E25" s="50" t="str">
        <f aca="false">04_Monthly_2026_2027!O21</f>
        <v>미확인</v>
      </c>
      <c r="F25" s="50" t="str">
        <f aca="false">04_Monthly_2026_2027!O22</f>
        <v>미확인</v>
      </c>
      <c r="G25" s="50" t="str">
        <f aca="false">04_Monthly_2026_2027!O23</f>
        <v>미확인</v>
      </c>
      <c r="H25" s="50" t="str">
        <f aca="false">04_Monthly_2026_2027!O24</f>
        <v>미확인</v>
      </c>
      <c r="I25" s="50" t="str">
        <f aca="false">04_Monthly_2026_2027!O25</f>
        <v>미확인</v>
      </c>
      <c r="J25" s="50" t="str">
        <f aca="false">04_Monthly_2026_2027!O26</f>
        <v>미확인</v>
      </c>
      <c r="K25" s="50" t="str">
        <f aca="false">04_Monthly_2026_2027!O27</f>
        <v>미확인</v>
      </c>
      <c r="L25" s="50" t="str">
        <f aca="false">04_Monthly_2026_2027!O28</f>
        <v>미확인</v>
      </c>
      <c r="M25" s="50" t="str">
        <f aca="false">04_Monthly_2026_2027!O29</f>
        <v>미확인</v>
      </c>
      <c r="N25" s="43" t="str">
        <f aca="false">04_Monthly_2026_2027!O31</f>
        <v>부분합계 11 (1/12개월)</v>
      </c>
    </row>
    <row r="26" customFormat="false" ht="26.85" hidden="false" customHeight="false" outlineLevel="0" collapsed="false">
      <c r="A26" s="48" t="s">
        <v>716</v>
      </c>
      <c r="B26" s="55" t="n">
        <f aca="false">04_Monthly_2026_2027!S18</f>
        <v>2090</v>
      </c>
      <c r="C26" s="55" t="str">
        <f aca="false">04_Monthly_2026_2027!S19</f>
        <v>미확인</v>
      </c>
      <c r="D26" s="55" t="str">
        <f aca="false">04_Monthly_2026_2027!S20</f>
        <v>미확인</v>
      </c>
      <c r="E26" s="55" t="str">
        <f aca="false">04_Monthly_2026_2027!S21</f>
        <v>미확인</v>
      </c>
      <c r="F26" s="55" t="str">
        <f aca="false">04_Monthly_2026_2027!S22</f>
        <v>미확인</v>
      </c>
      <c r="G26" s="55" t="str">
        <f aca="false">04_Monthly_2026_2027!S23</f>
        <v>미확인</v>
      </c>
      <c r="H26" s="55" t="str">
        <f aca="false">04_Monthly_2026_2027!S24</f>
        <v>미확인</v>
      </c>
      <c r="I26" s="55" t="str">
        <f aca="false">04_Monthly_2026_2027!S25</f>
        <v>미확인</v>
      </c>
      <c r="J26" s="55" t="str">
        <f aca="false">04_Monthly_2026_2027!S26</f>
        <v>미확인</v>
      </c>
      <c r="K26" s="55" t="str">
        <f aca="false">04_Monthly_2026_2027!S27</f>
        <v>미확인</v>
      </c>
      <c r="L26" s="55" t="str">
        <f aca="false">04_Monthly_2026_2027!S28</f>
        <v>미확인</v>
      </c>
      <c r="M26" s="55" t="str">
        <f aca="false">04_Monthly_2026_2027!S29</f>
        <v>미확인</v>
      </c>
      <c r="N26" s="40" t="str">
        <f aca="false">04_Monthly_2026_2027!S31</f>
        <v>부분합계 2,090 (1/12개월)</v>
      </c>
    </row>
    <row r="27" customFormat="false" ht="15" hidden="false" customHeight="false" outlineLevel="0" collapsed="false">
      <c r="A27" s="48" t="s">
        <v>717</v>
      </c>
      <c r="B27" s="55" t="n">
        <f aca="false">04_Monthly_2026_2027!W18</f>
        <v>2733.33333333333</v>
      </c>
      <c r="C27" s="55" t="n">
        <f aca="false">04_Monthly_2026_2027!W19</f>
        <v>2733.33333333333</v>
      </c>
      <c r="D27" s="55" t="n">
        <f aca="false">04_Monthly_2026_2027!W20</f>
        <v>2733.33333333333</v>
      </c>
      <c r="E27" s="55" t="n">
        <f aca="false">04_Monthly_2026_2027!W21</f>
        <v>3313.33333333333</v>
      </c>
      <c r="F27" s="55" t="n">
        <f aca="false">04_Monthly_2026_2027!W22</f>
        <v>3313.33333333333</v>
      </c>
      <c r="G27" s="55" t="n">
        <f aca="false">04_Monthly_2026_2027!W23</f>
        <v>3313.33333333333</v>
      </c>
      <c r="H27" s="55" t="n">
        <f aca="false">04_Monthly_2026_2027!W24</f>
        <v>3313.33333333333</v>
      </c>
      <c r="I27" s="55" t="n">
        <f aca="false">04_Monthly_2026_2027!W25</f>
        <v>3313.33333333333</v>
      </c>
      <c r="J27" s="55" t="n">
        <f aca="false">04_Monthly_2026_2027!W26</f>
        <v>3313.33333333333</v>
      </c>
      <c r="K27" s="55" t="n">
        <f aca="false">04_Monthly_2026_2027!W27</f>
        <v>3313.33333333333</v>
      </c>
      <c r="L27" s="55" t="n">
        <f aca="false">04_Monthly_2026_2027!W28</f>
        <v>3313.33333333333</v>
      </c>
      <c r="M27" s="55" t="n">
        <f aca="false">04_Monthly_2026_2027!W29</f>
        <v>3313.33333333333</v>
      </c>
      <c r="N27" s="40" t="n">
        <f aca="false">SUM(B27:M27)</f>
        <v>38020</v>
      </c>
    </row>
    <row r="28" customFormat="false" ht="26.85" hidden="false" customHeight="false" outlineLevel="0" collapsed="false">
      <c r="A28" s="56" t="s">
        <v>718</v>
      </c>
    </row>
    <row r="30" customFormat="false" ht="15" hidden="false" customHeight="false" outlineLevel="0" collapsed="false">
      <c r="A30" s="67" t="s">
        <v>719</v>
      </c>
    </row>
    <row r="31" customFormat="false" ht="30" hidden="false" customHeight="true" outlineLevel="0" collapsed="false">
      <c r="A31" s="10" t="s">
        <v>720</v>
      </c>
      <c r="B31" s="25" t="s">
        <v>721</v>
      </c>
      <c r="C31" s="25" t="s">
        <v>722</v>
      </c>
      <c r="D31" s="25" t="s">
        <v>723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 t="s">
        <v>724</v>
      </c>
    </row>
    <row r="32" customFormat="false" ht="15" hidden="false" customHeight="true" outlineLevel="0" collapsed="false">
      <c r="A32" s="48" t="s">
        <v>725</v>
      </c>
      <c r="B32" s="72" t="n">
        <v>0</v>
      </c>
      <c r="C32" s="72" t="n">
        <v>1</v>
      </c>
      <c r="D32" s="72" t="n">
        <v>0.5</v>
      </c>
      <c r="E32" s="46" t="s">
        <v>726</v>
      </c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</row>
    <row r="33" customFormat="false" ht="15" hidden="false" customHeight="true" outlineLevel="0" collapsed="false">
      <c r="A33" s="48" t="s">
        <v>727</v>
      </c>
      <c r="B33" s="73" t="n">
        <v>0</v>
      </c>
      <c r="C33" s="73" t="n">
        <v>0</v>
      </c>
      <c r="D33" s="73" t="n">
        <v>0</v>
      </c>
      <c r="E33" s="47" t="s">
        <v>728</v>
      </c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</row>
    <row r="34" customFormat="false" ht="15" hidden="false" customHeight="true" outlineLevel="0" collapsed="false">
      <c r="A34" s="48" t="s">
        <v>729</v>
      </c>
      <c r="B34" s="17" t="n">
        <v>0</v>
      </c>
      <c r="C34" s="17" t="n">
        <v>0</v>
      </c>
      <c r="D34" s="17" t="n">
        <v>3</v>
      </c>
      <c r="E34" s="47" t="s">
        <v>730</v>
      </c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</row>
    <row r="35" customFormat="false" ht="15" hidden="false" customHeight="true" outlineLevel="0" collapsed="false">
      <c r="A35" s="48" t="s">
        <v>731</v>
      </c>
      <c r="B35" s="73" t="n">
        <f aca="false">01_Inputs!$B$40*1000/12</f>
        <v>3933.33333333333</v>
      </c>
      <c r="C35" s="73" t="n">
        <f aca="false">01_Inputs!$B$40*1000/12</f>
        <v>3933.33333333333</v>
      </c>
      <c r="D35" s="73" t="n">
        <f aca="false">01_Inputs!$B$40*1000/12</f>
        <v>3933.33333333333</v>
      </c>
      <c r="E35" s="47" t="s">
        <v>732</v>
      </c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</row>
    <row r="36" customFormat="false" ht="15" hidden="false" customHeight="true" outlineLevel="0" collapsed="false">
      <c r="A36" s="48" t="s">
        <v>733</v>
      </c>
      <c r="B36" s="72" t="n">
        <v>1</v>
      </c>
      <c r="C36" s="72" t="n">
        <v>1</v>
      </c>
      <c r="D36" s="72" t="n">
        <v>1</v>
      </c>
      <c r="E36" s="47" t="s">
        <v>734</v>
      </c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</row>
    <row r="38" customFormat="false" ht="30" hidden="false" customHeight="true" outlineLevel="0" collapsed="false">
      <c r="A38" s="25" t="s">
        <v>735</v>
      </c>
      <c r="B38" s="25" t="s">
        <v>238</v>
      </c>
      <c r="C38" s="25" t="s">
        <v>239</v>
      </c>
      <c r="D38" s="25" t="s">
        <v>240</v>
      </c>
      <c r="E38" s="25" t="s">
        <v>241</v>
      </c>
      <c r="F38" s="25" t="s">
        <v>242</v>
      </c>
      <c r="G38" s="25" t="s">
        <v>243</v>
      </c>
      <c r="H38" s="25" t="s">
        <v>244</v>
      </c>
      <c r="I38" s="25" t="s">
        <v>245</v>
      </c>
      <c r="J38" s="25" t="s">
        <v>246</v>
      </c>
      <c r="K38" s="25" t="s">
        <v>247</v>
      </c>
      <c r="L38" s="25" t="s">
        <v>248</v>
      </c>
      <c r="M38" s="25" t="s">
        <v>249</v>
      </c>
      <c r="N38" s="10" t="s">
        <v>250</v>
      </c>
      <c r="O38" s="10" t="s">
        <v>15</v>
      </c>
    </row>
    <row r="39" customFormat="false" ht="26.85" hidden="false" customHeight="false" outlineLevel="0" collapsed="false">
      <c r="A39" s="48" t="s">
        <v>736</v>
      </c>
      <c r="B39" s="36" t="n">
        <f aca="false">04_Monthly_2026_2027!C18*24/03_Capacity_Model!$B$91*01_Inputs!$B$32</f>
        <v>2095.10067114094</v>
      </c>
      <c r="C39" s="36" t="n">
        <f aca="false">04_Monthly_2026_2027!C19*24/03_Capacity_Model!$B$91*01_Inputs!$B$32</f>
        <v>1892.34899328859</v>
      </c>
      <c r="D39" s="36" t="n">
        <f aca="false">04_Monthly_2026_2027!C20*24/03_Capacity_Model!$B$91*01_Inputs!$B$32</f>
        <v>2095.10067114094</v>
      </c>
      <c r="E39" s="36" t="n">
        <f aca="false">04_Monthly_2026_2027!C21*24/03_Capacity_Model!$B$91*01_Inputs!$B$32</f>
        <v>2027.51677852349</v>
      </c>
      <c r="F39" s="36" t="n">
        <f aca="false">04_Monthly_2026_2027!C22*24/03_Capacity_Model!$B$91*01_Inputs!$B$32</f>
        <v>2095.10067114094</v>
      </c>
      <c r="G39" s="36" t="n">
        <f aca="false">04_Monthly_2026_2027!C23*24/03_Capacity_Model!$B$91*01_Inputs!$B$32</f>
        <v>2027.51677852349</v>
      </c>
      <c r="H39" s="36" t="n">
        <f aca="false">04_Monthly_2026_2027!C24*24/03_Capacity_Model!$B$91*01_Inputs!$B$32</f>
        <v>2095.10067114094</v>
      </c>
      <c r="I39" s="36" t="n">
        <f aca="false">04_Monthly_2026_2027!C25*24/03_Capacity_Model!$B$91*01_Inputs!$B$32</f>
        <v>2095.10067114094</v>
      </c>
      <c r="J39" s="36" t="n">
        <f aca="false">04_Monthly_2026_2027!C26*24/03_Capacity_Model!$B$91*01_Inputs!$B$32</f>
        <v>2027.51677852349</v>
      </c>
      <c r="K39" s="36" t="n">
        <f aca="false">04_Monthly_2026_2027!C27*24/03_Capacity_Model!$B$91*01_Inputs!$B$32</f>
        <v>2095.10067114094</v>
      </c>
      <c r="L39" s="36" t="n">
        <f aca="false">04_Monthly_2026_2027!C28*24/03_Capacity_Model!$B$91*01_Inputs!$B$32</f>
        <v>2027.51677852349</v>
      </c>
      <c r="M39" s="36" t="n">
        <f aca="false">04_Monthly_2026_2027!C29*24/03_Capacity_Model!$B$91*01_Inputs!$B$32</f>
        <v>2095.10067114094</v>
      </c>
      <c r="N39" s="36" t="n">
        <f aca="false">SUM(B39:M39)</f>
        <v>24668.1208053691</v>
      </c>
      <c r="O39" s="57" t="s">
        <v>737</v>
      </c>
    </row>
    <row r="40" customFormat="false" ht="15" hidden="false" customHeight="false" outlineLevel="0" collapsed="false">
      <c r="A40" s="48" t="s">
        <v>738</v>
      </c>
      <c r="B40" s="55" t="n">
        <f aca="false">01_Inputs!C100</f>
        <v>2733.33333333333</v>
      </c>
      <c r="C40" s="55" t="n">
        <f aca="false">01_Inputs!D100</f>
        <v>2733.33333333333</v>
      </c>
      <c r="D40" s="55" t="n">
        <f aca="false">01_Inputs!E100</f>
        <v>2733.33333333333</v>
      </c>
      <c r="E40" s="55" t="n">
        <f aca="false">01_Inputs!F100</f>
        <v>3313.33333333333</v>
      </c>
      <c r="F40" s="55" t="n">
        <f aca="false">01_Inputs!G100</f>
        <v>3313.33333333333</v>
      </c>
      <c r="G40" s="55" t="n">
        <f aca="false">01_Inputs!H100</f>
        <v>3313.33333333333</v>
      </c>
      <c r="H40" s="55" t="n">
        <f aca="false">01_Inputs!I100</f>
        <v>3313.33333333333</v>
      </c>
      <c r="I40" s="55" t="n">
        <f aca="false">01_Inputs!J100</f>
        <v>3313.33333333333</v>
      </c>
      <c r="J40" s="55" t="n">
        <f aca="false">01_Inputs!K100</f>
        <v>3313.33333333333</v>
      </c>
      <c r="K40" s="55" t="n">
        <f aca="false">01_Inputs!L100</f>
        <v>3313.33333333333</v>
      </c>
      <c r="L40" s="55" t="n">
        <f aca="false">01_Inputs!M100</f>
        <v>3313.33333333333</v>
      </c>
      <c r="M40" s="55" t="n">
        <f aca="false">01_Inputs!N100</f>
        <v>3313.33333333333</v>
      </c>
      <c r="N40" s="40" t="n">
        <f aca="false">SUM(B40:M40)</f>
        <v>38020</v>
      </c>
    </row>
    <row r="41" customFormat="false" ht="15" hidden="false" customHeight="false" outlineLevel="0" collapsed="false">
      <c r="A41" s="30" t="s">
        <v>739</v>
      </c>
      <c r="B41" s="36" t="n">
        <f aca="false">IF(1=1,B39,IF(1&lt;=5,B39*$B$32,IF(1=6,$B$33,IF(1-6&lt;=$B$34,B39,$B$35))))*$B$36</f>
        <v>2095.10067114094</v>
      </c>
      <c r="C41" s="36" t="n">
        <f aca="false">IF(2=1,C39,IF(2&lt;=5,C39*$B$32,IF(2=6,$B$33,IF(2-6&lt;=$B$34,C39,$B$35))))*$B$36</f>
        <v>0</v>
      </c>
      <c r="D41" s="36" t="n">
        <f aca="false">IF(3=1,D39,IF(3&lt;=5,D39*$B$32,IF(3=6,$B$33,IF(3-6&lt;=$B$34,D39,$B$35))))*$B$36</f>
        <v>0</v>
      </c>
      <c r="E41" s="36" t="n">
        <f aca="false">IF(4=1,E39,IF(4&lt;=5,E39*$B$32,IF(4=6,$B$33,IF(4-6&lt;=$B$34,E39,$B$35))))*$B$36</f>
        <v>0</v>
      </c>
      <c r="F41" s="36" t="n">
        <f aca="false">IF(5=1,F39,IF(5&lt;=5,F39*$B$32,IF(5=6,$B$33,IF(5-6&lt;=$B$34,F39,$B$35))))*$B$36</f>
        <v>0</v>
      </c>
      <c r="G41" s="36" t="n">
        <f aca="false">IF(6=1,G39,IF(6&lt;=5,G39*$B$32,IF(6=6,$B$33,IF(6-6&lt;=$B$34,G39,$B$35))))*$B$36</f>
        <v>0</v>
      </c>
      <c r="H41" s="36" t="n">
        <f aca="false">IF(7=1,H39,IF(7&lt;=5,H39*$B$32,IF(7=6,$B$33,IF(7-6&lt;=$B$34,H39,$B$35))))*$B$36</f>
        <v>3933.33333333333</v>
      </c>
      <c r="I41" s="36" t="n">
        <f aca="false">IF(8=1,I39,IF(8&lt;=5,I39*$B$32,IF(8=6,$B$33,IF(8-6&lt;=$B$34,I39,$B$35))))*$B$36</f>
        <v>3933.33333333333</v>
      </c>
      <c r="J41" s="36" t="n">
        <f aca="false">IF(9=1,J39,IF(9&lt;=5,J39*$B$32,IF(9=6,$B$33,IF(9-6&lt;=$B$34,J39,$B$35))))*$B$36</f>
        <v>3933.33333333333</v>
      </c>
      <c r="K41" s="36" t="n">
        <f aca="false">IF(10=1,K39,IF(10&lt;=5,K39*$B$32,IF(10=6,$B$33,IF(10-6&lt;=$B$34,K39,$B$35))))*$B$36</f>
        <v>3933.33333333333</v>
      </c>
      <c r="L41" s="36" t="n">
        <f aca="false">IF(11=1,L39,IF(11&lt;=5,L39*$B$32,IF(11=6,$B$33,IF(11-6&lt;=$B$34,L39,$B$35))))*$B$36</f>
        <v>3933.33333333333</v>
      </c>
      <c r="M41" s="36" t="n">
        <f aca="false">IF(12=1,M39,IF(12&lt;=5,M39*$B$32,IF(12=6,$B$33,IF(12-6&lt;=$B$34,M39,$B$35))))*$B$36</f>
        <v>3933.33333333333</v>
      </c>
      <c r="N41" s="40" t="n">
        <f aca="false">SUM(B41:M41)</f>
        <v>25695.1006711409</v>
      </c>
    </row>
    <row r="42" customFormat="false" ht="15" hidden="false" customHeight="false" outlineLevel="0" collapsed="false">
      <c r="A42" s="8" t="s">
        <v>740</v>
      </c>
      <c r="B42" s="36" t="n">
        <f aca="false">B41-B40</f>
        <v>-638.232662192394</v>
      </c>
      <c r="C42" s="36" t="n">
        <f aca="false">B42+C41-C40</f>
        <v>-3371.56599552573</v>
      </c>
      <c r="D42" s="36" t="n">
        <f aca="false">C42+D41-D40</f>
        <v>-6104.89932885906</v>
      </c>
      <c r="E42" s="36" t="n">
        <f aca="false">D42+E41-E40</f>
        <v>-9418.23266219239</v>
      </c>
      <c r="F42" s="36" t="n">
        <f aca="false">E42+F41-F40</f>
        <v>-12731.5659955257</v>
      </c>
      <c r="G42" s="36" t="n">
        <f aca="false">F42+G41-G40</f>
        <v>-16044.8993288591</v>
      </c>
      <c r="H42" s="36" t="n">
        <f aca="false">G42+H41-H40</f>
        <v>-15424.8993288591</v>
      </c>
      <c r="I42" s="36" t="n">
        <f aca="false">H42+I41-I40</f>
        <v>-14804.8993288591</v>
      </c>
      <c r="J42" s="36" t="n">
        <f aca="false">I42+J41-J40</f>
        <v>-14184.8993288591</v>
      </c>
      <c r="K42" s="36" t="n">
        <f aca="false">J42+K41-K40</f>
        <v>-13564.8993288591</v>
      </c>
      <c r="L42" s="36" t="n">
        <f aca="false">K42+L41-L40</f>
        <v>-12944.8993288591</v>
      </c>
      <c r="M42" s="36" t="n">
        <f aca="false">L42+M41-M40</f>
        <v>-12324.8993288591</v>
      </c>
    </row>
    <row r="43" customFormat="false" ht="15" hidden="false" customHeight="false" outlineLevel="0" collapsed="false">
      <c r="A43" s="30" t="s">
        <v>741</v>
      </c>
      <c r="B43" s="36" t="n">
        <f aca="false">IF(1=1,B39,IF(1&lt;=5,B39*$C$32,IF(1=6,$C$33,IF(1-6&lt;=$C$34,B39,$C$35))))*$C$36</f>
        <v>2095.10067114094</v>
      </c>
      <c r="C43" s="36" t="n">
        <f aca="false">IF(2=1,C39,IF(2&lt;=5,C39*$C$32,IF(2=6,$C$33,IF(2-6&lt;=$C$34,C39,$C$35))))*$C$36</f>
        <v>1892.34899328859</v>
      </c>
      <c r="D43" s="36" t="n">
        <f aca="false">IF(3=1,D39,IF(3&lt;=5,D39*$C$32,IF(3=6,$C$33,IF(3-6&lt;=$C$34,D39,$C$35))))*$C$36</f>
        <v>2095.10067114094</v>
      </c>
      <c r="E43" s="36" t="n">
        <f aca="false">IF(4=1,E39,IF(4&lt;=5,E39*$C$32,IF(4=6,$C$33,IF(4-6&lt;=$C$34,E39,$C$35))))*$C$36</f>
        <v>2027.51677852349</v>
      </c>
      <c r="F43" s="36" t="n">
        <f aca="false">IF(5=1,F39,IF(5&lt;=5,F39*$C$32,IF(5=6,$C$33,IF(5-6&lt;=$C$34,F39,$C$35))))*$C$36</f>
        <v>2095.10067114094</v>
      </c>
      <c r="G43" s="36" t="n">
        <f aca="false">IF(6=1,G39,IF(6&lt;=5,G39*$C$32,IF(6=6,$C$33,IF(6-6&lt;=$C$34,G39,$C$35))))*$C$36</f>
        <v>0</v>
      </c>
      <c r="H43" s="36" t="n">
        <f aca="false">IF(7=1,H39,IF(7&lt;=5,H39*$C$32,IF(7=6,$C$33,IF(7-6&lt;=$C$34,H39,$C$35))))*$C$36</f>
        <v>3933.33333333333</v>
      </c>
      <c r="I43" s="36" t="n">
        <f aca="false">IF(8=1,I39,IF(8&lt;=5,I39*$C$32,IF(8=6,$C$33,IF(8-6&lt;=$C$34,I39,$C$35))))*$C$36</f>
        <v>3933.33333333333</v>
      </c>
      <c r="J43" s="36" t="n">
        <f aca="false">IF(9=1,J39,IF(9&lt;=5,J39*$C$32,IF(9=6,$C$33,IF(9-6&lt;=$C$34,J39,$C$35))))*$C$36</f>
        <v>3933.33333333333</v>
      </c>
      <c r="K43" s="36" t="n">
        <f aca="false">IF(10=1,K39,IF(10&lt;=5,K39*$C$32,IF(10=6,$C$33,IF(10-6&lt;=$C$34,K39,$C$35))))*$C$36</f>
        <v>3933.33333333333</v>
      </c>
      <c r="L43" s="36" t="n">
        <f aca="false">IF(11=1,L39,IF(11&lt;=5,L39*$C$32,IF(11=6,$C$33,IF(11-6&lt;=$C$34,L39,$C$35))))*$C$36</f>
        <v>3933.33333333333</v>
      </c>
      <c r="M43" s="36" t="n">
        <f aca="false">IF(12=1,M39,IF(12&lt;=5,M39*$C$32,IF(12=6,$C$33,IF(12-6&lt;=$C$34,M39,$C$35))))*$C$36</f>
        <v>3933.33333333333</v>
      </c>
      <c r="N43" s="40" t="n">
        <f aca="false">SUM(B43:M43)</f>
        <v>33805.1677852349</v>
      </c>
    </row>
    <row r="44" customFormat="false" ht="15" hidden="false" customHeight="false" outlineLevel="0" collapsed="false">
      <c r="A44" s="8" t="s">
        <v>742</v>
      </c>
      <c r="B44" s="36" t="n">
        <f aca="false">B43-B40</f>
        <v>-638.232662192394</v>
      </c>
      <c r="C44" s="36" t="n">
        <f aca="false">B44+C43-C40</f>
        <v>-1479.21700223714</v>
      </c>
      <c r="D44" s="36" t="n">
        <f aca="false">C44+D43-D40</f>
        <v>-2117.44966442953</v>
      </c>
      <c r="E44" s="36" t="n">
        <f aca="false">D44+E43-E40</f>
        <v>-3403.26621923937</v>
      </c>
      <c r="F44" s="36" t="n">
        <f aca="false">E44+F43-F40</f>
        <v>-4621.49888143177</v>
      </c>
      <c r="G44" s="36" t="n">
        <f aca="false">F44+G43-G40</f>
        <v>-7934.8322147651</v>
      </c>
      <c r="H44" s="36" t="n">
        <f aca="false">G44+H43-H40</f>
        <v>-7314.8322147651</v>
      </c>
      <c r="I44" s="36" t="n">
        <f aca="false">H44+I43-I40</f>
        <v>-6694.8322147651</v>
      </c>
      <c r="J44" s="36" t="n">
        <f aca="false">I44+J43-J40</f>
        <v>-6074.8322147651</v>
      </c>
      <c r="K44" s="36" t="n">
        <f aca="false">J44+K43-K40</f>
        <v>-5454.8322147651</v>
      </c>
      <c r="L44" s="36" t="n">
        <f aca="false">K44+L43-L40</f>
        <v>-4834.8322147651</v>
      </c>
      <c r="M44" s="36" t="n">
        <f aca="false">L44+M43-M40</f>
        <v>-4214.8322147651</v>
      </c>
    </row>
    <row r="45" customFormat="false" ht="15" hidden="false" customHeight="false" outlineLevel="0" collapsed="false">
      <c r="A45" s="30" t="s">
        <v>743</v>
      </c>
      <c r="B45" s="36" t="n">
        <f aca="false">IF(1=1,B39,IF(1&lt;=5,B39*$D$32,IF(1=6,$D$33,IF(1-6&lt;=$D$34,B39,$D$35))))*$D$36</f>
        <v>2095.10067114094</v>
      </c>
      <c r="C45" s="36" t="n">
        <f aca="false">IF(2=1,C39,IF(2&lt;=5,C39*$D$32,IF(2=6,$D$33,IF(2-6&lt;=$D$34,C39,$D$35))))*$D$36</f>
        <v>946.174496644295</v>
      </c>
      <c r="D45" s="36" t="n">
        <f aca="false">IF(3=1,D39,IF(3&lt;=5,D39*$D$32,IF(3=6,$D$33,IF(3-6&lt;=$D$34,D39,$D$35))))*$D$36</f>
        <v>1047.55033557047</v>
      </c>
      <c r="E45" s="36" t="n">
        <f aca="false">IF(4=1,E39,IF(4&lt;=5,E39*$D$32,IF(4=6,$D$33,IF(4-6&lt;=$D$34,E39,$D$35))))*$D$36</f>
        <v>1013.75838926174</v>
      </c>
      <c r="F45" s="36" t="n">
        <f aca="false">IF(5=1,F39,IF(5&lt;=5,F39*$D$32,IF(5=6,$D$33,IF(5-6&lt;=$D$34,F39,$D$35))))*$D$36</f>
        <v>1047.55033557047</v>
      </c>
      <c r="G45" s="36" t="n">
        <f aca="false">IF(6=1,G39,IF(6&lt;=5,G39*$D$32,IF(6=6,$D$33,IF(6-6&lt;=$D$34,G39,$D$35))))*$D$36</f>
        <v>0</v>
      </c>
      <c r="H45" s="36" t="n">
        <f aca="false">IF(7=1,H39,IF(7&lt;=5,H39*$D$32,IF(7=6,$D$33,IF(7-6&lt;=$D$34,H39,$D$35))))*$D$36</f>
        <v>2095.10067114094</v>
      </c>
      <c r="I45" s="36" t="n">
        <f aca="false">IF(8=1,I39,IF(8&lt;=5,I39*$D$32,IF(8=6,$D$33,IF(8-6&lt;=$D$34,I39,$D$35))))*$D$36</f>
        <v>2095.10067114094</v>
      </c>
      <c r="J45" s="36" t="n">
        <f aca="false">IF(9=1,J39,IF(9&lt;=5,J39*$D$32,IF(9=6,$D$33,IF(9-6&lt;=$D$34,J39,$D$35))))*$D$36</f>
        <v>2027.51677852349</v>
      </c>
      <c r="K45" s="36" t="n">
        <f aca="false">IF(10=1,K39,IF(10&lt;=5,K39*$D$32,IF(10=6,$D$33,IF(10-6&lt;=$D$34,K39,$D$35))))*$D$36</f>
        <v>3933.33333333333</v>
      </c>
      <c r="L45" s="36" t="n">
        <f aca="false">IF(11=1,L39,IF(11&lt;=5,L39*$D$32,IF(11=6,$D$33,IF(11-6&lt;=$D$34,L39,$D$35))))*$D$36</f>
        <v>3933.33333333333</v>
      </c>
      <c r="M45" s="36" t="n">
        <f aca="false">IF(12=1,M39,IF(12&lt;=5,M39*$D$32,IF(12=6,$D$33,IF(12-6&lt;=$D$34,M39,$D$35))))*$D$36</f>
        <v>3933.33333333333</v>
      </c>
      <c r="N45" s="40" t="n">
        <f aca="false">SUM(B45:M45)</f>
        <v>24167.8523489933</v>
      </c>
    </row>
    <row r="46" customFormat="false" ht="15" hidden="false" customHeight="false" outlineLevel="0" collapsed="false">
      <c r="A46" s="8" t="s">
        <v>744</v>
      </c>
      <c r="B46" s="36" t="n">
        <f aca="false">B45-B40</f>
        <v>-638.232662192394</v>
      </c>
      <c r="C46" s="36" t="n">
        <f aca="false">B46+C45-C40</f>
        <v>-2425.39149888143</v>
      </c>
      <c r="D46" s="36" t="n">
        <f aca="false">C46+D45-D40</f>
        <v>-4111.1744966443</v>
      </c>
      <c r="E46" s="36" t="n">
        <f aca="false">D46+E45-E40</f>
        <v>-6410.74944071588</v>
      </c>
      <c r="F46" s="36" t="n">
        <f aca="false">E46+F45-F40</f>
        <v>-8676.53243847875</v>
      </c>
      <c r="G46" s="36" t="n">
        <f aca="false">F46+G45-G40</f>
        <v>-11989.8657718121</v>
      </c>
      <c r="H46" s="36" t="n">
        <f aca="false">G46+H45-H40</f>
        <v>-13208.0984340045</v>
      </c>
      <c r="I46" s="36" t="n">
        <f aca="false">H46+I45-I40</f>
        <v>-14426.3310961969</v>
      </c>
      <c r="J46" s="36" t="n">
        <f aca="false">I46+J45-J40</f>
        <v>-15712.1476510067</v>
      </c>
      <c r="K46" s="36" t="n">
        <f aca="false">J46+K45-K40</f>
        <v>-15092.1476510067</v>
      </c>
      <c r="L46" s="36" t="n">
        <f aca="false">K46+L45-L40</f>
        <v>-14472.1476510067</v>
      </c>
      <c r="M46" s="36" t="n">
        <f aca="false">L46+M45-M40</f>
        <v>-13852.1476510067</v>
      </c>
    </row>
    <row r="48" customFormat="false" ht="30" hidden="false" customHeight="true" outlineLevel="0" collapsed="false">
      <c r="A48" s="10" t="s">
        <v>745</v>
      </c>
      <c r="B48" s="25" t="s">
        <v>721</v>
      </c>
      <c r="C48" s="25" t="s">
        <v>722</v>
      </c>
      <c r="D48" s="25" t="s">
        <v>723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 t="s">
        <v>746</v>
      </c>
    </row>
    <row r="49" customFormat="false" ht="15" hidden="false" customHeight="true" outlineLevel="0" collapsed="false">
      <c r="A49" s="30" t="s">
        <v>747</v>
      </c>
      <c r="B49" s="40" t="n">
        <f aca="false">N41</f>
        <v>25695.1006711409</v>
      </c>
      <c r="C49" s="40" t="n">
        <f aca="false">N43</f>
        <v>33805.1677852349</v>
      </c>
      <c r="D49" s="40" t="n">
        <f aca="false">N45</f>
        <v>24167.8523489933</v>
      </c>
      <c r="E49" s="46" t="s">
        <v>748</v>
      </c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</row>
    <row r="50" customFormat="false" ht="15" hidden="false" customHeight="true" outlineLevel="0" collapsed="false">
      <c r="A50" s="30" t="s">
        <v>749</v>
      </c>
      <c r="B50" s="40" t="n">
        <f aca="false">N40</f>
        <v>38020</v>
      </c>
      <c r="C50" s="40" t="n">
        <f aca="false">N40</f>
        <v>38020</v>
      </c>
      <c r="D50" s="40" t="n">
        <f aca="false">N40</f>
        <v>38020</v>
      </c>
      <c r="E50" s="47" t="s">
        <v>750</v>
      </c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</row>
    <row r="51" customFormat="false" ht="15" hidden="false" customHeight="true" outlineLevel="0" collapsed="false">
      <c r="A51" s="48" t="s">
        <v>751</v>
      </c>
      <c r="B51" s="40" t="n">
        <f aca="false">N41-N40</f>
        <v>-12324.8993288591</v>
      </c>
      <c r="C51" s="40" t="n">
        <f aca="false">N43-N40</f>
        <v>-4214.8322147651</v>
      </c>
      <c r="D51" s="40" t="n">
        <f aca="false">N45-N40</f>
        <v>-13852.1476510067</v>
      </c>
      <c r="E51" s="46" t="s">
        <v>752</v>
      </c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</row>
    <row r="52" customFormat="false" ht="15" hidden="false" customHeight="true" outlineLevel="0" collapsed="false">
      <c r="A52" s="48" t="s">
        <v>753</v>
      </c>
      <c r="B52" s="40" t="n">
        <f aca="false">MAX(0,-MIN(B42:M42))</f>
        <v>16044.8993288591</v>
      </c>
      <c r="C52" s="40" t="n">
        <f aca="false">MAX(0,-MIN(B44:M44))</f>
        <v>7934.8322147651</v>
      </c>
      <c r="D52" s="40" t="n">
        <f aca="false">MAX(0,-MIN(B46:M46))</f>
        <v>15712.1476510067</v>
      </c>
      <c r="E52" s="46" t="s">
        <v>754</v>
      </c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</row>
    <row r="53" customFormat="false" ht="15" hidden="false" customHeight="false" outlineLevel="0" collapsed="false">
      <c r="A53" s="48" t="s">
        <v>755</v>
      </c>
      <c r="B53" s="42" t="n">
        <f aca="false">B52/01_Inputs!$B$32</f>
        <v>84.4468385729424</v>
      </c>
      <c r="C53" s="42" t="n">
        <f aca="false">C52/01_Inputs!$B$32</f>
        <v>41.7622748145532</v>
      </c>
      <c r="D53" s="42" t="n">
        <f aca="false">D52/01_Inputs!$B$32</f>
        <v>82.6955139526669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</row>
    <row r="54" customFormat="false" ht="15" hidden="false" customHeight="true" outlineLevel="0" collapsed="false">
      <c r="A54" s="48" t="s">
        <v>756</v>
      </c>
      <c r="B54" s="9" t="str">
        <f aca="false">IF(MIN(B42:M42)&lt;0,MATCH(MIN(B42:M42),B42:M42,0)&amp;"월","-")</f>
        <v>6월</v>
      </c>
      <c r="C54" s="9" t="str">
        <f aca="false">IF(MIN(B44:M44)&lt;0,MATCH(MIN(B44:M44),B44:M44,0)&amp;"월","-")</f>
        <v>6월</v>
      </c>
      <c r="D54" s="9" t="str">
        <f aca="false">IF(MIN(B46:M46)&lt;0,MATCH(MIN(B46:M46),B46:M46,0)&amp;"월","-")</f>
        <v>9월</v>
      </c>
      <c r="E54" s="46" t="s">
        <v>757</v>
      </c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</row>
    <row r="55" customFormat="false" ht="15" hidden="false" customHeight="true" outlineLevel="0" collapsed="false">
      <c r="A55" s="30" t="s">
        <v>758</v>
      </c>
      <c r="B55" s="40" t="n">
        <f aca="false">SUM(H40:M40)</f>
        <v>19880</v>
      </c>
      <c r="C55" s="46" t="s">
        <v>759</v>
      </c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</row>
    <row r="56" customFormat="false" ht="15" hidden="false" customHeight="true" outlineLevel="0" collapsed="false">
      <c r="A56" s="30" t="s">
        <v>760</v>
      </c>
      <c r="B56" s="43" t="n">
        <f aca="false">SUM(04_Monthly_2026_2027!E24:E29)</f>
        <v>4416</v>
      </c>
      <c r="C56" s="47" t="s">
        <v>761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</row>
    <row r="57" customFormat="false" ht="15" hidden="false" customHeight="true" outlineLevel="0" collapsed="false">
      <c r="A57" s="30" t="s">
        <v>762</v>
      </c>
      <c r="B57" s="42" t="n">
        <f aca="false">B55/01_Inputs!$B$32</f>
        <v>104.631578947368</v>
      </c>
      <c r="C57" s="47" t="s">
        <v>763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</row>
    <row r="58" customFormat="false" ht="15" hidden="false" customHeight="false" outlineLevel="0" collapsed="false">
      <c r="A58" s="30" t="s">
        <v>764</v>
      </c>
      <c r="B58" s="42" t="n">
        <f aca="false">B57/6</f>
        <v>17.4385964912281</v>
      </c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</row>
    <row r="59" customFormat="false" ht="15" hidden="false" customHeight="true" outlineLevel="0" collapsed="false">
      <c r="A59" s="48" t="s">
        <v>765</v>
      </c>
      <c r="B59" s="42" t="n">
        <f aca="false">B56/B57</f>
        <v>42.20523138833</v>
      </c>
      <c r="C59" s="46" t="s">
        <v>766</v>
      </c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</row>
    <row r="61" customFormat="false" ht="15" hidden="false" customHeight="false" outlineLevel="0" collapsed="false">
      <c r="A61" s="67" t="s">
        <v>767</v>
      </c>
    </row>
    <row r="62" customFormat="false" ht="15" hidden="false" customHeight="false" outlineLevel="0" collapsed="false">
      <c r="A62" s="8" t="s">
        <v>768</v>
      </c>
    </row>
    <row r="63" customFormat="false" ht="15" hidden="false" customHeight="false" outlineLevel="0" collapsed="false">
      <c r="A63" s="8" t="s">
        <v>769</v>
      </c>
    </row>
    <row r="64" customFormat="false" ht="15" hidden="false" customHeight="false" outlineLevel="0" collapsed="false">
      <c r="A64" s="8" t="s">
        <v>770</v>
      </c>
    </row>
    <row r="65" customFormat="false" ht="15" hidden="false" customHeight="false" outlineLevel="0" collapsed="false">
      <c r="A65" s="8" t="s">
        <v>771</v>
      </c>
    </row>
    <row r="66" customFormat="false" ht="15" hidden="false" customHeight="false" outlineLevel="0" collapsed="false">
      <c r="A66" s="8" t="s">
        <v>772</v>
      </c>
    </row>
    <row r="67" customFormat="false" ht="15" hidden="false" customHeight="false" outlineLevel="0" collapsed="false">
      <c r="A67" s="8" t="s">
        <v>773</v>
      </c>
    </row>
  </sheetData>
  <mergeCells count="16">
    <mergeCell ref="E32:P32"/>
    <mergeCell ref="E33:P33"/>
    <mergeCell ref="E34:P34"/>
    <mergeCell ref="E35:P35"/>
    <mergeCell ref="E36:P36"/>
    <mergeCell ref="E49:P49"/>
    <mergeCell ref="E50:P50"/>
    <mergeCell ref="E51:P51"/>
    <mergeCell ref="E52:P52"/>
    <mergeCell ref="E53:P53"/>
    <mergeCell ref="E54:P54"/>
    <mergeCell ref="C55:P55"/>
    <mergeCell ref="C56:P56"/>
    <mergeCell ref="C57:P57"/>
    <mergeCell ref="C58:P58"/>
    <mergeCell ref="C59:P59"/>
  </mergeCells>
  <conditionalFormatting sqref="B42:M46">
    <cfRule type="cellIs" priority="2" operator="lessThan" aboveAverage="0" equalAverage="0" bottom="0" percent="0" rank="0" text="" dxfId="2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N1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13" min="3" style="0" width="12"/>
    <col collapsed="false" customWidth="true" hidden="false" outlineLevel="0" max="14" min="14" style="0" width="13"/>
    <col collapsed="false" customWidth="true" hidden="false" outlineLevel="0" max="15" min="15" style="0" width="30"/>
  </cols>
  <sheetData>
    <row r="1" customFormat="false" ht="21.6" hidden="false" customHeight="false" outlineLevel="0" collapsed="false">
      <c r="A1" s="1" t="s">
        <v>774</v>
      </c>
    </row>
    <row r="2" customFormat="false" ht="15" hidden="false" customHeight="false" outlineLevel="0" collapsed="false">
      <c r="A2" s="31" t="s">
        <v>775</v>
      </c>
    </row>
    <row r="4" customFormat="false" ht="15" hidden="false" customHeight="false" outlineLevel="0" collapsed="false">
      <c r="A4" s="67" t="s">
        <v>776</v>
      </c>
    </row>
    <row r="5" customFormat="false" ht="30" hidden="false" customHeight="true" outlineLevel="0" collapsed="false">
      <c r="A5" s="10" t="s">
        <v>9</v>
      </c>
      <c r="B5" s="10" t="s">
        <v>10</v>
      </c>
      <c r="C5" s="10" t="s">
        <v>11</v>
      </c>
      <c r="D5" s="10" t="s">
        <v>777</v>
      </c>
    </row>
    <row r="6" customFormat="false" ht="15" hidden="false" customHeight="false" outlineLevel="0" collapsed="false">
      <c r="A6" s="13" t="s">
        <v>504</v>
      </c>
      <c r="B6" s="74" t="n">
        <f aca="false">01_Inputs!$B$38</f>
        <v>26.2</v>
      </c>
      <c r="C6" s="8" t="s">
        <v>112</v>
      </c>
      <c r="D6" s="8" t="s">
        <v>778</v>
      </c>
    </row>
    <row r="7" customFormat="false" ht="15" hidden="false" customHeight="false" outlineLevel="0" collapsed="false">
      <c r="A7" s="8" t="s">
        <v>779</v>
      </c>
      <c r="B7" s="75" t="n">
        <f aca="false">03_Capacity_Model!$B$75</f>
        <v>137.894736842105</v>
      </c>
      <c r="C7" s="8" t="s">
        <v>435</v>
      </c>
      <c r="D7" s="8" t="s">
        <v>780</v>
      </c>
    </row>
    <row r="8" customFormat="false" ht="15" hidden="false" customHeight="false" outlineLevel="0" collapsed="false">
      <c r="A8" s="8" t="s">
        <v>781</v>
      </c>
      <c r="B8" s="55" t="n">
        <f aca="false">03_Capacity_Model!$B$79</f>
        <v>26220</v>
      </c>
      <c r="C8" s="8" t="s">
        <v>222</v>
      </c>
      <c r="D8" s="8" t="s">
        <v>780</v>
      </c>
    </row>
    <row r="9" customFormat="false" ht="15" hidden="false" customHeight="false" outlineLevel="0" collapsed="false">
      <c r="A9" s="8" t="s">
        <v>782</v>
      </c>
      <c r="B9" s="74" t="n">
        <f aca="false">03_Capacity_Model!$B$81</f>
        <v>63.5267175572519</v>
      </c>
      <c r="C9" s="8" t="s">
        <v>53</v>
      </c>
      <c r="D9" s="8" t="s">
        <v>780</v>
      </c>
    </row>
    <row r="10" customFormat="false" ht="15" hidden="false" customHeight="false" outlineLevel="0" collapsed="false">
      <c r="A10" s="13" t="s">
        <v>783</v>
      </c>
      <c r="B10" s="74" t="n">
        <f aca="false">03_Capacity_Model!$B$80</f>
        <v>11.4912280701754</v>
      </c>
      <c r="C10" s="8" t="s">
        <v>130</v>
      </c>
      <c r="D10" s="8" t="s">
        <v>780</v>
      </c>
    </row>
    <row r="11" customFormat="false" ht="15" hidden="false" customHeight="false" outlineLevel="0" collapsed="false">
      <c r="A11" s="8" t="s">
        <v>784</v>
      </c>
      <c r="B11" s="45" t="n">
        <f aca="false">03_Capacity_Model!$B$17</f>
        <v>79</v>
      </c>
      <c r="C11" s="8" t="s">
        <v>80</v>
      </c>
      <c r="D11" s="8" t="s">
        <v>780</v>
      </c>
    </row>
    <row r="12" customFormat="false" ht="15" hidden="false" customHeight="false" outlineLevel="0" collapsed="false">
      <c r="A12" s="8" t="s">
        <v>785</v>
      </c>
      <c r="B12" s="45" t="n">
        <f aca="false">03_Capacity_Model!$C$17</f>
        <v>71</v>
      </c>
      <c r="C12" s="8" t="s">
        <v>80</v>
      </c>
      <c r="D12" s="8" t="s">
        <v>780</v>
      </c>
    </row>
    <row r="13" customFormat="false" ht="15" hidden="false" customHeight="false" outlineLevel="0" collapsed="false">
      <c r="A13" s="8" t="s">
        <v>786</v>
      </c>
      <c r="B13" s="50" t="n">
        <f aca="false">03_Capacity_Model!$B$18</f>
        <v>4</v>
      </c>
      <c r="C13" s="13" t="s">
        <v>787</v>
      </c>
      <c r="D13" s="8" t="s">
        <v>780</v>
      </c>
    </row>
    <row r="14" customFormat="false" ht="15" hidden="false" customHeight="false" outlineLevel="0" collapsed="false">
      <c r="A14" s="13" t="s">
        <v>424</v>
      </c>
      <c r="B14" s="74" t="n">
        <f aca="false">03_Capacity_Model!$B$23</f>
        <v>12.6315789473684</v>
      </c>
      <c r="C14" s="8" t="s">
        <v>130</v>
      </c>
      <c r="D14" s="8" t="s">
        <v>780</v>
      </c>
    </row>
    <row r="15" customFormat="false" ht="15" hidden="false" customHeight="false" outlineLevel="0" collapsed="false">
      <c r="A15" s="13" t="s">
        <v>788</v>
      </c>
      <c r="B15" s="50" t="n">
        <f aca="false">03_Capacity_Model!$B$24</f>
        <v>12</v>
      </c>
      <c r="C15" s="8" t="s">
        <v>130</v>
      </c>
      <c r="D15" s="8" t="s">
        <v>780</v>
      </c>
    </row>
    <row r="16" customFormat="false" ht="15" hidden="false" customHeight="false" outlineLevel="0" collapsed="false">
      <c r="A16" s="13" t="s">
        <v>789</v>
      </c>
      <c r="B16" s="45" t="n">
        <f aca="false">03_Capacity_Model!$B$25</f>
        <v>36</v>
      </c>
      <c r="C16" s="8" t="s">
        <v>80</v>
      </c>
      <c r="D16" s="8" t="s">
        <v>780</v>
      </c>
    </row>
    <row r="17" customFormat="false" ht="15" hidden="false" customHeight="false" outlineLevel="0" collapsed="false">
      <c r="A17" s="13" t="s">
        <v>790</v>
      </c>
      <c r="B17" s="55" t="n">
        <f aca="false">03_Capacity_Model!$B$27</f>
        <v>2280</v>
      </c>
      <c r="C17" s="8" t="s">
        <v>226</v>
      </c>
      <c r="D17" s="8" t="s">
        <v>780</v>
      </c>
    </row>
    <row r="18" customFormat="false" ht="15" hidden="false" customHeight="false" outlineLevel="0" collapsed="false">
      <c r="A18" s="13" t="s">
        <v>791</v>
      </c>
      <c r="B18" s="50" t="n">
        <f aca="false">03_Capacity_Model!$B$28</f>
        <v>153</v>
      </c>
      <c r="C18" s="8" t="s">
        <v>435</v>
      </c>
      <c r="D18" s="8" t="s">
        <v>780</v>
      </c>
    </row>
    <row r="19" customFormat="false" ht="15" hidden="false" customHeight="false" outlineLevel="0" collapsed="false">
      <c r="A19" s="13" t="s">
        <v>792</v>
      </c>
      <c r="B19" s="55" t="n">
        <f aca="false">03_Capacity_Model!$B$29</f>
        <v>29070</v>
      </c>
      <c r="C19" s="8" t="s">
        <v>222</v>
      </c>
      <c r="D19" s="8" t="s">
        <v>780</v>
      </c>
    </row>
    <row r="20" customFormat="false" ht="15" hidden="false" customHeight="false" outlineLevel="0" collapsed="false">
      <c r="A20" s="13" t="s">
        <v>793</v>
      </c>
      <c r="B20" s="55" t="n">
        <f aca="false">03_Capacity_Model!$B$31</f>
        <v>27360</v>
      </c>
      <c r="C20" s="8" t="s">
        <v>222</v>
      </c>
      <c r="D20" s="8" t="s">
        <v>780</v>
      </c>
    </row>
    <row r="21" customFormat="false" ht="15" hidden="false" customHeight="false" outlineLevel="0" collapsed="false">
      <c r="A21" s="8" t="s">
        <v>794</v>
      </c>
      <c r="B21" s="45" t="n">
        <f aca="false">03_Capacity_Model!$B$35</f>
        <v>627</v>
      </c>
      <c r="C21" s="8" t="s">
        <v>80</v>
      </c>
      <c r="D21" s="8" t="s">
        <v>780</v>
      </c>
    </row>
    <row r="22" customFormat="false" ht="15" hidden="false" customHeight="false" outlineLevel="0" collapsed="false">
      <c r="A22" s="8" t="s">
        <v>795</v>
      </c>
      <c r="B22" s="45" t="n">
        <f aca="false">03_Capacity_Model!$B$36</f>
        <v>93</v>
      </c>
      <c r="C22" s="8" t="s">
        <v>80</v>
      </c>
      <c r="D22" s="8" t="s">
        <v>780</v>
      </c>
    </row>
    <row r="23" customFormat="false" ht="15" hidden="false" customHeight="false" outlineLevel="0" collapsed="false">
      <c r="A23" s="8" t="s">
        <v>796</v>
      </c>
      <c r="B23" s="74" t="n">
        <f aca="false">03_Capacity_Model!$B$37</f>
        <v>65.4545454545455</v>
      </c>
      <c r="C23" s="8" t="s">
        <v>53</v>
      </c>
      <c r="D23" s="8" t="s">
        <v>780</v>
      </c>
    </row>
    <row r="24" customFormat="false" ht="15" hidden="false" customHeight="false" outlineLevel="0" collapsed="false">
      <c r="A24" s="8" t="s">
        <v>797</v>
      </c>
      <c r="B24" s="74" t="n">
        <f aca="false">03_Capacity_Model!$B$39</f>
        <v>8.45454545454545</v>
      </c>
      <c r="C24" s="8" t="s">
        <v>53</v>
      </c>
      <c r="D24" s="8" t="s">
        <v>780</v>
      </c>
    </row>
    <row r="25" customFormat="false" ht="15" hidden="false" customHeight="false" outlineLevel="0" collapsed="false">
      <c r="A25" s="8" t="s">
        <v>798</v>
      </c>
      <c r="B25" s="55" t="n">
        <f aca="false">03_Capacity_Model!$B$40</f>
        <v>2090</v>
      </c>
      <c r="C25" s="8" t="s">
        <v>226</v>
      </c>
      <c r="D25" s="8" t="s">
        <v>780</v>
      </c>
    </row>
    <row r="26" customFormat="false" ht="15" hidden="false" customHeight="false" outlineLevel="0" collapsed="false">
      <c r="A26" s="8" t="s">
        <v>799</v>
      </c>
      <c r="B26" s="55" t="n">
        <f aca="false">03_Capacity_Model!$B$42</f>
        <v>25080</v>
      </c>
      <c r="C26" s="8" t="s">
        <v>222</v>
      </c>
      <c r="D26" s="8" t="s">
        <v>780</v>
      </c>
    </row>
    <row r="27" customFormat="false" ht="15" hidden="false" customHeight="false" outlineLevel="0" collapsed="false">
      <c r="A27" s="8" t="s">
        <v>800</v>
      </c>
      <c r="B27" s="55" t="n">
        <f aca="false">03_Capacity_Model!$B$44</f>
        <v>25270</v>
      </c>
      <c r="C27" s="8" t="s">
        <v>222</v>
      </c>
      <c r="D27" s="8" t="s">
        <v>780</v>
      </c>
    </row>
    <row r="28" customFormat="false" ht="15" hidden="false" customHeight="false" outlineLevel="0" collapsed="false">
      <c r="A28" s="13" t="s">
        <v>801</v>
      </c>
      <c r="B28" s="74" t="n">
        <f aca="false">03_Capacity_Model!$B$54</f>
        <v>67.4716981132076</v>
      </c>
      <c r="C28" s="8" t="s">
        <v>53</v>
      </c>
      <c r="D28" s="8" t="s">
        <v>780</v>
      </c>
    </row>
    <row r="29" customFormat="false" ht="15" hidden="false" customHeight="false" outlineLevel="0" collapsed="false">
      <c r="A29" s="13" t="s">
        <v>802</v>
      </c>
      <c r="B29" s="74" t="n">
        <f aca="false">03_Capacity_Model!$B$55</f>
        <v>67.0188679245283</v>
      </c>
      <c r="C29" s="8" t="s">
        <v>53</v>
      </c>
      <c r="D29" s="8" t="s">
        <v>780</v>
      </c>
    </row>
    <row r="30" customFormat="false" ht="15" hidden="false" customHeight="false" outlineLevel="0" collapsed="false">
      <c r="A30" s="13" t="s">
        <v>803</v>
      </c>
      <c r="B30" s="74" t="n">
        <f aca="false">03_Capacity_Model!$B$56</f>
        <v>67.9245283018868</v>
      </c>
      <c r="C30" s="8" t="s">
        <v>53</v>
      </c>
      <c r="D30" s="8" t="s">
        <v>780</v>
      </c>
    </row>
    <row r="31" customFormat="false" ht="15" hidden="false" customHeight="false" outlineLevel="0" collapsed="false">
      <c r="A31" s="13" t="s">
        <v>804</v>
      </c>
      <c r="B31" s="50" t="n">
        <f aca="false">03_Capacity_Model!$B$50</f>
        <v>149</v>
      </c>
      <c r="C31" s="13" t="s">
        <v>468</v>
      </c>
      <c r="D31" s="8" t="s">
        <v>780</v>
      </c>
    </row>
    <row r="32" customFormat="false" ht="15" hidden="false" customHeight="false" outlineLevel="0" collapsed="false">
      <c r="A32" s="13" t="s">
        <v>805</v>
      </c>
      <c r="B32" s="50" t="n">
        <f aca="false">03_Capacity_Model!$B$51</f>
        <v>53</v>
      </c>
      <c r="C32" s="13" t="s">
        <v>194</v>
      </c>
      <c r="D32" s="8" t="s">
        <v>780</v>
      </c>
    </row>
    <row r="33" customFormat="false" ht="15" hidden="false" customHeight="false" outlineLevel="0" collapsed="false">
      <c r="A33" s="13" t="s">
        <v>806</v>
      </c>
      <c r="B33" s="74" t="n">
        <f aca="false">03_Capacity_Model!$B$59</f>
        <v>10.4716981132076</v>
      </c>
      <c r="C33" s="8" t="s">
        <v>53</v>
      </c>
      <c r="D33" s="8" t="s">
        <v>780</v>
      </c>
    </row>
    <row r="34" customFormat="false" ht="15" hidden="false" customHeight="false" outlineLevel="0" collapsed="false">
      <c r="A34" s="13" t="s">
        <v>807</v>
      </c>
      <c r="B34" s="74" t="n">
        <f aca="false">03_Capacity_Model!$B$62</f>
        <v>10.6711409395973</v>
      </c>
      <c r="C34" s="8" t="s">
        <v>130</v>
      </c>
      <c r="D34" s="8" t="s">
        <v>780</v>
      </c>
    </row>
    <row r="35" customFormat="false" ht="15" hidden="false" customHeight="false" outlineLevel="0" collapsed="false">
      <c r="A35" s="13" t="s">
        <v>808</v>
      </c>
      <c r="B35" s="74" t="n">
        <f aca="false">03_Capacity_Model!$B$63</f>
        <v>11.0268456375839</v>
      </c>
      <c r="C35" s="8" t="s">
        <v>130</v>
      </c>
      <c r="D35" s="8" t="s">
        <v>780</v>
      </c>
    </row>
    <row r="36" customFormat="false" ht="15" hidden="false" customHeight="false" outlineLevel="0" collapsed="false">
      <c r="A36" s="13" t="s">
        <v>809</v>
      </c>
      <c r="B36" s="50" t="n">
        <f aca="false">03_Capacity_Model!$B$64</f>
        <v>129</v>
      </c>
      <c r="C36" s="8" t="s">
        <v>435</v>
      </c>
      <c r="D36" s="8" t="s">
        <v>780</v>
      </c>
    </row>
    <row r="37" customFormat="false" ht="15" hidden="false" customHeight="false" outlineLevel="0" collapsed="false">
      <c r="A37" s="13" t="s">
        <v>810</v>
      </c>
      <c r="B37" s="55" t="n">
        <f aca="false">03_Capacity_Model!$B$65</f>
        <v>24510</v>
      </c>
      <c r="C37" s="8" t="s">
        <v>222</v>
      </c>
      <c r="D37" s="8" t="s">
        <v>780</v>
      </c>
    </row>
    <row r="38" customFormat="false" ht="15" hidden="false" customHeight="false" outlineLevel="0" collapsed="false">
      <c r="A38" s="13" t="s">
        <v>811</v>
      </c>
      <c r="B38" s="54" t="n">
        <f aca="false">03_Capacity_Model!$B$58</f>
        <v>0.735849056603774</v>
      </c>
      <c r="C38" s="8" t="s">
        <v>214</v>
      </c>
      <c r="D38" s="8" t="s">
        <v>780</v>
      </c>
    </row>
    <row r="39" customFormat="false" ht="15" hidden="false" customHeight="false" outlineLevel="0" collapsed="false">
      <c r="A39" s="13" t="s">
        <v>812</v>
      </c>
      <c r="B39" s="45" t="n">
        <f aca="false">03_Capacity_Model!$B$57</f>
        <v>72</v>
      </c>
      <c r="C39" s="8" t="s">
        <v>80</v>
      </c>
      <c r="D39" s="8" t="s">
        <v>780</v>
      </c>
    </row>
    <row r="40" customFormat="false" ht="15" hidden="false" customHeight="false" outlineLevel="0" collapsed="false">
      <c r="A40" s="8" t="s">
        <v>813</v>
      </c>
      <c r="B40" s="74" t="n">
        <f aca="false">03_Capacity_Model!$B$67</f>
        <v>69.3818181818182</v>
      </c>
      <c r="C40" s="8" t="s">
        <v>80</v>
      </c>
      <c r="D40" s="8" t="s">
        <v>780</v>
      </c>
    </row>
    <row r="41" customFormat="false" ht="15" hidden="false" customHeight="false" outlineLevel="0" collapsed="false">
      <c r="A41" s="8" t="s">
        <v>814</v>
      </c>
      <c r="B41" s="74" t="n">
        <f aca="false">03_Capacity_Model!$B$69</f>
        <v>79.8260869565217</v>
      </c>
      <c r="C41" s="8" t="s">
        <v>80</v>
      </c>
      <c r="D41" s="8" t="s">
        <v>780</v>
      </c>
    </row>
    <row r="42" customFormat="false" ht="15" hidden="false" customHeight="false" outlineLevel="0" collapsed="false">
      <c r="A42" s="8" t="s">
        <v>815</v>
      </c>
      <c r="B42" s="50" t="n">
        <f aca="false">03_Capacity_Model!$B$71</f>
        <v>4</v>
      </c>
      <c r="C42" s="13" t="s">
        <v>501</v>
      </c>
      <c r="D42" s="8" t="s">
        <v>816</v>
      </c>
    </row>
    <row r="43" customFormat="false" ht="15" hidden="false" customHeight="false" outlineLevel="0" collapsed="false">
      <c r="A43" s="13" t="s">
        <v>817</v>
      </c>
      <c r="B43" s="50" t="n">
        <f aca="false">02_Batch_Raw!$E$73</f>
        <v>0</v>
      </c>
      <c r="C43" s="13" t="s">
        <v>818</v>
      </c>
      <c r="D43" s="8" t="s">
        <v>816</v>
      </c>
    </row>
    <row r="44" customFormat="false" ht="15" hidden="false" customHeight="false" outlineLevel="0" collapsed="false">
      <c r="A44" s="8" t="s">
        <v>819</v>
      </c>
      <c r="B44" s="74" t="n">
        <f aca="false">03_Capacity_Model!$B$109</f>
        <v>35.2627118644068</v>
      </c>
      <c r="C44" s="8" t="s">
        <v>53</v>
      </c>
      <c r="D44" s="8" t="s">
        <v>780</v>
      </c>
    </row>
    <row r="45" customFormat="false" ht="15" hidden="false" customHeight="false" outlineLevel="0" collapsed="false">
      <c r="A45" s="8" t="s">
        <v>820</v>
      </c>
      <c r="B45" s="45" t="n">
        <f aca="false">03_Capacity_Model!$E$111</f>
        <v>7</v>
      </c>
      <c r="C45" s="8" t="s">
        <v>80</v>
      </c>
      <c r="D45" s="8" t="s">
        <v>780</v>
      </c>
    </row>
    <row r="46" customFormat="false" ht="15" hidden="false" customHeight="false" outlineLevel="0" collapsed="false">
      <c r="A46" s="8" t="s">
        <v>821</v>
      </c>
      <c r="B46" s="45" t="n">
        <f aca="false">03_Capacity_Model!$F$111</f>
        <v>17.4716981132076</v>
      </c>
      <c r="C46" s="8" t="s">
        <v>80</v>
      </c>
      <c r="D46" s="8" t="s">
        <v>780</v>
      </c>
    </row>
    <row r="47" customFormat="false" ht="15" hidden="false" customHeight="false" outlineLevel="0" collapsed="false">
      <c r="A47" s="8" t="s">
        <v>822</v>
      </c>
      <c r="B47" s="45" t="n">
        <f aca="false">03_Capacity_Model!$G$111</f>
        <v>-14.7372881355932</v>
      </c>
      <c r="C47" s="8" t="s">
        <v>80</v>
      </c>
      <c r="D47" s="8" t="s">
        <v>780</v>
      </c>
    </row>
    <row r="48" customFormat="false" ht="15" hidden="false" customHeight="false" outlineLevel="0" collapsed="false">
      <c r="A48" s="8" t="s">
        <v>823</v>
      </c>
      <c r="B48" s="45" t="n">
        <f aca="false">03_Capacity_Model!$G$112</f>
        <v>9.26271186440678</v>
      </c>
      <c r="C48" s="8" t="s">
        <v>80</v>
      </c>
      <c r="D48" s="8" t="s">
        <v>780</v>
      </c>
    </row>
    <row r="49" customFormat="false" ht="15" hidden="false" customHeight="false" outlineLevel="0" collapsed="false">
      <c r="A49" s="8" t="s">
        <v>824</v>
      </c>
      <c r="B49" s="45" t="n">
        <f aca="false">03_Capacity_Model!$B$108</f>
        <v>2</v>
      </c>
      <c r="C49" s="8" t="s">
        <v>80</v>
      </c>
      <c r="D49" s="8" t="s">
        <v>780</v>
      </c>
    </row>
    <row r="50" customFormat="false" ht="15" hidden="false" customHeight="false" outlineLevel="0" collapsed="false">
      <c r="A50" s="8" t="s">
        <v>825</v>
      </c>
      <c r="B50" s="45" t="n">
        <f aca="false">03_Capacity_Model!$B$97</f>
        <v>160</v>
      </c>
      <c r="C50" s="8" t="s">
        <v>31</v>
      </c>
      <c r="D50" s="8" t="s">
        <v>826</v>
      </c>
    </row>
    <row r="51" customFormat="false" ht="15" hidden="false" customHeight="false" outlineLevel="0" collapsed="false">
      <c r="A51" s="8" t="s">
        <v>827</v>
      </c>
      <c r="B51" s="45" t="n">
        <f aca="false">03_Capacity_Model!$B$98</f>
        <v>248</v>
      </c>
      <c r="C51" s="8" t="s">
        <v>31</v>
      </c>
      <c r="D51" s="8" t="s">
        <v>826</v>
      </c>
    </row>
    <row r="52" customFormat="false" ht="15" hidden="false" customHeight="false" outlineLevel="0" collapsed="false">
      <c r="A52" s="8" t="s">
        <v>828</v>
      </c>
      <c r="B52" s="45" t="n">
        <f aca="false">03_Capacity_Model!$B$99</f>
        <v>48</v>
      </c>
      <c r="C52" s="8" t="s">
        <v>31</v>
      </c>
      <c r="D52" s="8" t="s">
        <v>826</v>
      </c>
    </row>
    <row r="53" customFormat="false" ht="15" hidden="false" customHeight="false" outlineLevel="0" collapsed="false">
      <c r="A53" s="8" t="s">
        <v>829</v>
      </c>
      <c r="B53" s="45" t="n">
        <f aca="false">03_Capacity_Model!$D$103</f>
        <v>176</v>
      </c>
      <c r="C53" s="8" t="s">
        <v>31</v>
      </c>
      <c r="D53" s="8" t="s">
        <v>780</v>
      </c>
    </row>
    <row r="54" customFormat="false" ht="15" hidden="false" customHeight="false" outlineLevel="0" collapsed="false">
      <c r="A54" s="8" t="s">
        <v>830</v>
      </c>
      <c r="B54" s="45" t="n">
        <f aca="false">03_Capacity_Model!$D$104</f>
        <v>352</v>
      </c>
      <c r="C54" s="8" t="s">
        <v>31</v>
      </c>
      <c r="D54" s="8" t="s">
        <v>780</v>
      </c>
    </row>
    <row r="55" customFormat="false" ht="15" hidden="false" customHeight="false" outlineLevel="0" collapsed="false">
      <c r="A55" s="8" t="s">
        <v>831</v>
      </c>
      <c r="B55" s="54" t="n">
        <f aca="false">03_Capacity_Model!$F$103</f>
        <v>1.40909090909091</v>
      </c>
      <c r="C55" s="8" t="s">
        <v>214</v>
      </c>
      <c r="D55" s="8" t="s">
        <v>780</v>
      </c>
    </row>
    <row r="56" customFormat="false" ht="15" hidden="false" customHeight="false" outlineLevel="0" collapsed="false">
      <c r="A56" s="8" t="s">
        <v>832</v>
      </c>
      <c r="B56" s="54" t="n">
        <f aca="false">03_Capacity_Model!$F$104</f>
        <v>0.704545454545455</v>
      </c>
      <c r="C56" s="8" t="s">
        <v>214</v>
      </c>
      <c r="D56" s="8" t="s">
        <v>780</v>
      </c>
    </row>
    <row r="57" customFormat="false" ht="15" hidden="false" customHeight="false" outlineLevel="0" collapsed="false">
      <c r="A57" s="8" t="s">
        <v>833</v>
      </c>
      <c r="B57" s="54" t="n">
        <f aca="false">03_Capacity_Model!$E$103</f>
        <v>0.909090909090909</v>
      </c>
      <c r="C57" s="8" t="s">
        <v>214</v>
      </c>
      <c r="D57" s="8" t="s">
        <v>780</v>
      </c>
    </row>
    <row r="58" customFormat="false" ht="15" hidden="false" customHeight="false" outlineLevel="0" collapsed="false">
      <c r="A58" s="8" t="s">
        <v>834</v>
      </c>
      <c r="B58" s="55" t="n">
        <f aca="false">01_Inputs!$O$99</f>
        <v>19220</v>
      </c>
      <c r="C58" s="8" t="s">
        <v>175</v>
      </c>
      <c r="D58" s="8" t="s">
        <v>778</v>
      </c>
    </row>
    <row r="59" customFormat="false" ht="15" hidden="false" customHeight="false" outlineLevel="0" collapsed="false">
      <c r="A59" s="8" t="s">
        <v>835</v>
      </c>
      <c r="B59" s="55" t="n">
        <f aca="false">01_Inputs!$O$100</f>
        <v>38020</v>
      </c>
      <c r="C59" s="8" t="s">
        <v>175</v>
      </c>
      <c r="D59" s="8" t="s">
        <v>778</v>
      </c>
    </row>
    <row r="60" customFormat="false" ht="15" hidden="false" customHeight="false" outlineLevel="0" collapsed="false">
      <c r="A60" s="8" t="s">
        <v>836</v>
      </c>
      <c r="B60" s="55" t="n">
        <f aca="false">01_Inputs!$O$96</f>
        <v>22720</v>
      </c>
      <c r="C60" s="8" t="s">
        <v>175</v>
      </c>
      <c r="D60" s="8" t="s">
        <v>778</v>
      </c>
    </row>
    <row r="61" customFormat="false" ht="15" hidden="false" customHeight="false" outlineLevel="0" collapsed="false">
      <c r="A61" s="8" t="s">
        <v>837</v>
      </c>
      <c r="B61" s="55" t="n">
        <f aca="false">01_Inputs!$O$97</f>
        <v>5220</v>
      </c>
      <c r="C61" s="8" t="s">
        <v>175</v>
      </c>
      <c r="D61" s="8" t="s">
        <v>778</v>
      </c>
    </row>
    <row r="62" customFormat="false" ht="15" hidden="false" customHeight="false" outlineLevel="0" collapsed="false">
      <c r="A62" s="8" t="s">
        <v>838</v>
      </c>
      <c r="B62" s="55" t="n">
        <f aca="false">01_Inputs!$O$98</f>
        <v>10080</v>
      </c>
      <c r="C62" s="8" t="s">
        <v>175</v>
      </c>
      <c r="D62" s="8" t="s">
        <v>778</v>
      </c>
    </row>
    <row r="63" customFormat="false" ht="15" hidden="false" customHeight="false" outlineLevel="0" collapsed="false">
      <c r="A63" s="8" t="s">
        <v>839</v>
      </c>
      <c r="B63" s="55" t="n">
        <f aca="false">04_Monthly_2026_2027!$S$30</f>
        <v>24510</v>
      </c>
      <c r="C63" s="8" t="s">
        <v>175</v>
      </c>
      <c r="D63" s="8" t="s">
        <v>826</v>
      </c>
    </row>
    <row r="64" customFormat="false" ht="15" hidden="false" customHeight="false" outlineLevel="0" collapsed="false">
      <c r="A64" s="8" t="s">
        <v>840</v>
      </c>
      <c r="B64" s="50" t="n">
        <f aca="false">04_Monthly_2026_2027!$O$30</f>
        <v>129</v>
      </c>
      <c r="C64" s="8" t="s">
        <v>431</v>
      </c>
      <c r="D64" s="8" t="s">
        <v>826</v>
      </c>
    </row>
    <row r="65" customFormat="false" ht="26.85" hidden="false" customHeight="false" outlineLevel="0" collapsed="false">
      <c r="A65" s="8" t="s">
        <v>841</v>
      </c>
      <c r="B65" s="51" t="str">
        <f aca="false">04_Monthly_2026_2027!$S$31</f>
        <v>부분합계 2,090 (1/12개월)</v>
      </c>
      <c r="C65" s="8" t="s">
        <v>175</v>
      </c>
      <c r="D65" s="8" t="s">
        <v>826</v>
      </c>
    </row>
    <row r="66" customFormat="false" ht="15" hidden="false" customHeight="false" outlineLevel="0" collapsed="false">
      <c r="A66" s="13" t="s">
        <v>842</v>
      </c>
      <c r="B66" s="74" t="n">
        <f aca="false">01_Inputs!$B$40</f>
        <v>47.2</v>
      </c>
      <c r="C66" s="8" t="s">
        <v>112</v>
      </c>
      <c r="D66" s="8" t="s">
        <v>778</v>
      </c>
    </row>
    <row r="67" customFormat="false" ht="15" hidden="false" customHeight="false" outlineLevel="0" collapsed="false">
      <c r="A67" s="8" t="s">
        <v>843</v>
      </c>
      <c r="B67" s="74" t="n">
        <f aca="false">01_Inputs!$B$42</f>
        <v>50.2</v>
      </c>
      <c r="C67" s="8" t="s">
        <v>112</v>
      </c>
      <c r="D67" s="8" t="s">
        <v>778</v>
      </c>
    </row>
    <row r="68" customFormat="false" ht="15" hidden="false" customHeight="false" outlineLevel="0" collapsed="false">
      <c r="A68" s="8" t="s">
        <v>844</v>
      </c>
      <c r="B68" s="74" t="n">
        <f aca="false">01_Inputs!$B$40/12</f>
        <v>3.93333333333333</v>
      </c>
      <c r="C68" s="8" t="s">
        <v>845</v>
      </c>
      <c r="D68" s="8" t="s">
        <v>846</v>
      </c>
    </row>
    <row r="69" customFormat="false" ht="15" hidden="false" customHeight="false" outlineLevel="0" collapsed="false">
      <c r="A69" s="8" t="s">
        <v>847</v>
      </c>
      <c r="B69" s="74" t="n">
        <f aca="false">01_Inputs!$B$40*1000/12/01_Inputs!$B$32</f>
        <v>20.7017543859649</v>
      </c>
      <c r="C69" s="8" t="s">
        <v>130</v>
      </c>
      <c r="D69" s="8" t="s">
        <v>846</v>
      </c>
    </row>
    <row r="70" customFormat="false" ht="15" hidden="false" customHeight="false" outlineLevel="0" collapsed="false">
      <c r="A70" s="8" t="s">
        <v>848</v>
      </c>
      <c r="B70" s="55" t="n">
        <f aca="false">05_Reflux_Scenarios!B49</f>
        <v>25695.1006711409</v>
      </c>
      <c r="C70" s="8" t="s">
        <v>175</v>
      </c>
      <c r="D70" s="8" t="s">
        <v>846</v>
      </c>
    </row>
    <row r="71" customFormat="false" ht="15" hidden="false" customHeight="false" outlineLevel="0" collapsed="false">
      <c r="A71" s="8" t="s">
        <v>849</v>
      </c>
      <c r="B71" s="55" t="n">
        <f aca="false">05_Reflux_Scenarios!C49</f>
        <v>33805.1677852349</v>
      </c>
      <c r="C71" s="8" t="s">
        <v>175</v>
      </c>
      <c r="D71" s="8" t="s">
        <v>846</v>
      </c>
    </row>
    <row r="72" customFormat="false" ht="15" hidden="false" customHeight="false" outlineLevel="0" collapsed="false">
      <c r="A72" s="8" t="s">
        <v>850</v>
      </c>
      <c r="B72" s="55" t="n">
        <f aca="false">05_Reflux_Scenarios!D49</f>
        <v>24167.8523489933</v>
      </c>
      <c r="C72" s="8" t="s">
        <v>175</v>
      </c>
      <c r="D72" s="8" t="s">
        <v>846</v>
      </c>
    </row>
    <row r="73" customFormat="false" ht="15" hidden="false" customHeight="false" outlineLevel="0" collapsed="false">
      <c r="A73" s="8" t="s">
        <v>851</v>
      </c>
      <c r="B73" s="55" t="n">
        <f aca="false">05_Reflux_Scenarios!B51</f>
        <v>-12324.8993288591</v>
      </c>
      <c r="C73" s="8" t="s">
        <v>175</v>
      </c>
      <c r="D73" s="8" t="s">
        <v>846</v>
      </c>
    </row>
    <row r="74" customFormat="false" ht="15" hidden="false" customHeight="false" outlineLevel="0" collapsed="false">
      <c r="A74" s="8" t="s">
        <v>852</v>
      </c>
      <c r="B74" s="55" t="n">
        <f aca="false">05_Reflux_Scenarios!C51</f>
        <v>-4214.8322147651</v>
      </c>
      <c r="C74" s="8" t="s">
        <v>175</v>
      </c>
      <c r="D74" s="8" t="s">
        <v>846</v>
      </c>
    </row>
    <row r="75" customFormat="false" ht="15" hidden="false" customHeight="false" outlineLevel="0" collapsed="false">
      <c r="A75" s="8" t="s">
        <v>853</v>
      </c>
      <c r="B75" s="55" t="n">
        <f aca="false">05_Reflux_Scenarios!D51</f>
        <v>-13852.1476510067</v>
      </c>
      <c r="C75" s="8" t="s">
        <v>175</v>
      </c>
      <c r="D75" s="8" t="s">
        <v>846</v>
      </c>
    </row>
    <row r="76" customFormat="false" ht="15" hidden="false" customHeight="false" outlineLevel="0" collapsed="false">
      <c r="A76" s="8" t="s">
        <v>854</v>
      </c>
      <c r="B76" s="55" t="n">
        <f aca="false">05_Reflux_Scenarios!B52</f>
        <v>16044.8993288591</v>
      </c>
      <c r="C76" s="8" t="s">
        <v>175</v>
      </c>
      <c r="D76" s="8" t="s">
        <v>846</v>
      </c>
    </row>
    <row r="77" customFormat="false" ht="15" hidden="false" customHeight="false" outlineLevel="0" collapsed="false">
      <c r="A77" s="8" t="s">
        <v>855</v>
      </c>
      <c r="B77" s="55" t="n">
        <f aca="false">05_Reflux_Scenarios!C52</f>
        <v>7934.8322147651</v>
      </c>
      <c r="C77" s="8" t="s">
        <v>175</v>
      </c>
      <c r="D77" s="8" t="s">
        <v>846</v>
      </c>
    </row>
    <row r="78" customFormat="false" ht="15" hidden="false" customHeight="false" outlineLevel="0" collapsed="false">
      <c r="A78" s="8" t="s">
        <v>856</v>
      </c>
      <c r="B78" s="55" t="n">
        <f aca="false">05_Reflux_Scenarios!D52</f>
        <v>15712.1476510067</v>
      </c>
      <c r="C78" s="8" t="s">
        <v>175</v>
      </c>
      <c r="D78" s="8" t="s">
        <v>846</v>
      </c>
    </row>
    <row r="79" customFormat="false" ht="15" hidden="false" customHeight="false" outlineLevel="0" collapsed="false">
      <c r="A79" s="8" t="s">
        <v>857</v>
      </c>
      <c r="B79" s="51" t="str">
        <f aca="false">05_Reflux_Scenarios!B54</f>
        <v>6월</v>
      </c>
      <c r="C79" s="8"/>
      <c r="D79" s="8" t="s">
        <v>846</v>
      </c>
    </row>
    <row r="80" customFormat="false" ht="15" hidden="false" customHeight="false" outlineLevel="0" collapsed="false">
      <c r="A80" s="8" t="s">
        <v>858</v>
      </c>
      <c r="B80" s="51" t="str">
        <f aca="false">05_Reflux_Scenarios!C54</f>
        <v>6월</v>
      </c>
      <c r="C80" s="8"/>
      <c r="D80" s="8" t="s">
        <v>846</v>
      </c>
    </row>
    <row r="81" customFormat="false" ht="15" hidden="false" customHeight="false" outlineLevel="0" collapsed="false">
      <c r="A81" s="8" t="s">
        <v>859</v>
      </c>
      <c r="B81" s="51" t="str">
        <f aca="false">05_Reflux_Scenarios!D54</f>
        <v>9월</v>
      </c>
      <c r="C81" s="8"/>
      <c r="D81" s="8" t="s">
        <v>846</v>
      </c>
    </row>
    <row r="82" customFormat="false" ht="15" hidden="false" customHeight="false" outlineLevel="0" collapsed="false">
      <c r="A82" s="8" t="s">
        <v>860</v>
      </c>
      <c r="B82" s="50" t="n">
        <f aca="false">04_Monthly_2026_2027!$O$18</f>
        <v>11</v>
      </c>
      <c r="C82" s="8" t="s">
        <v>431</v>
      </c>
      <c r="D82" s="8" t="s">
        <v>826</v>
      </c>
    </row>
    <row r="83" customFormat="false" ht="15" hidden="false" customHeight="false" outlineLevel="0" collapsed="false">
      <c r="A83" s="8" t="s">
        <v>861</v>
      </c>
      <c r="B83" s="55" t="n">
        <f aca="false">04_Monthly_2026_2027!$S$18</f>
        <v>2090</v>
      </c>
      <c r="C83" s="8" t="s">
        <v>175</v>
      </c>
      <c r="D83" s="8" t="s">
        <v>826</v>
      </c>
    </row>
    <row r="84" customFormat="false" ht="15" hidden="false" customHeight="false" outlineLevel="0" collapsed="false">
      <c r="A84" s="13" t="s">
        <v>862</v>
      </c>
      <c r="B84" s="74" t="n">
        <f aca="false">03_Capacity_Model!$B$91</f>
        <v>67.4716981132076</v>
      </c>
      <c r="C84" s="8" t="s">
        <v>53</v>
      </c>
      <c r="D84" s="8" t="s">
        <v>780</v>
      </c>
    </row>
    <row r="85" customFormat="false" ht="15" hidden="false" customHeight="false" outlineLevel="0" collapsed="false">
      <c r="A85" s="8" t="s">
        <v>863</v>
      </c>
      <c r="B85" s="55" t="n">
        <f aca="false">SUM(01_Inputs!C100:H100)</f>
        <v>18140</v>
      </c>
      <c r="C85" s="8" t="s">
        <v>175</v>
      </c>
      <c r="D85" s="8" t="s">
        <v>778</v>
      </c>
    </row>
    <row r="86" customFormat="false" ht="15" hidden="false" customHeight="false" outlineLevel="0" collapsed="false">
      <c r="A86" s="8" t="s">
        <v>864</v>
      </c>
      <c r="B86" s="55" t="n">
        <f aca="false">SUM(01_Inputs!I100:N100)</f>
        <v>19880</v>
      </c>
      <c r="C86" s="8" t="s">
        <v>175</v>
      </c>
      <c r="D86" s="8" t="s">
        <v>778</v>
      </c>
    </row>
    <row r="87" customFormat="false" ht="15" hidden="false" customHeight="false" outlineLevel="0" collapsed="false">
      <c r="A87" s="8" t="s">
        <v>865</v>
      </c>
      <c r="B87" s="74" t="n">
        <f aca="false">05_Reflux_Scenarios!B58</f>
        <v>17.4385964912281</v>
      </c>
      <c r="C87" s="8" t="s">
        <v>130</v>
      </c>
      <c r="D87" s="8" t="s">
        <v>846</v>
      </c>
    </row>
    <row r="88" customFormat="false" ht="15" hidden="false" customHeight="false" outlineLevel="0" collapsed="false">
      <c r="A88" s="8" t="s">
        <v>866</v>
      </c>
      <c r="B88" s="74" t="n">
        <f aca="false">05_Reflux_Scenarios!B59</f>
        <v>42.20523138833</v>
      </c>
      <c r="C88" s="8" t="s">
        <v>53</v>
      </c>
      <c r="D88" s="8" t="s">
        <v>846</v>
      </c>
    </row>
    <row r="89" customFormat="false" ht="15" hidden="false" customHeight="false" outlineLevel="0" collapsed="false">
      <c r="A89" s="8" t="s">
        <v>867</v>
      </c>
      <c r="B89" s="74" t="n">
        <f aca="false">05_Reflux_Scenarios!B57</f>
        <v>104.631578947368</v>
      </c>
      <c r="C89" s="8" t="s">
        <v>431</v>
      </c>
      <c r="D89" s="8" t="s">
        <v>846</v>
      </c>
    </row>
    <row r="90" customFormat="false" ht="15" hidden="false" customHeight="false" outlineLevel="0" collapsed="false">
      <c r="A90" s="8" t="s">
        <v>868</v>
      </c>
      <c r="B90" s="50" t="n">
        <f aca="false">04_Monthly_2026_2027!$Y$21</f>
        <v>124</v>
      </c>
      <c r="C90" s="13" t="s">
        <v>869</v>
      </c>
      <c r="D90" s="8" t="s">
        <v>826</v>
      </c>
    </row>
    <row r="91" customFormat="false" ht="15" hidden="false" customHeight="false" outlineLevel="0" collapsed="false">
      <c r="A91" s="8" t="s">
        <v>870</v>
      </c>
      <c r="B91" s="50" t="n">
        <f aca="false">04_Monthly_2026_2027!$AA$18</f>
        <v>6</v>
      </c>
      <c r="C91" s="13" t="s">
        <v>871</v>
      </c>
      <c r="D91" s="8" t="s">
        <v>826</v>
      </c>
    </row>
    <row r="92" customFormat="false" ht="15" hidden="false" customHeight="false" outlineLevel="0" collapsed="false">
      <c r="A92" s="8" t="s">
        <v>872</v>
      </c>
      <c r="B92" s="50" t="n">
        <f aca="false">04_Monthly_2026_2027!$Y$32</f>
        <v>80</v>
      </c>
      <c r="C92" s="13" t="s">
        <v>869</v>
      </c>
      <c r="D92" s="8" t="s">
        <v>826</v>
      </c>
    </row>
    <row r="94" customFormat="false" ht="15" hidden="false" customHeight="false" outlineLevel="0" collapsed="false">
      <c r="A94" s="67" t="s">
        <v>873</v>
      </c>
    </row>
    <row r="95" customFormat="false" ht="30" hidden="false" customHeight="true" outlineLevel="0" collapsed="false">
      <c r="A95" s="10" t="s">
        <v>13</v>
      </c>
      <c r="B95" s="25" t="s">
        <v>874</v>
      </c>
      <c r="C95" s="10" t="s">
        <v>875</v>
      </c>
      <c r="D95" s="10" t="s">
        <v>876</v>
      </c>
      <c r="E95" s="25" t="s">
        <v>877</v>
      </c>
    </row>
    <row r="96" customFormat="false" ht="15" hidden="false" customHeight="false" outlineLevel="0" collapsed="false">
      <c r="A96" s="51" t="str">
        <f aca="false">03_Capacity_Model!A86</f>
        <v>① 이론 (정제 57 h만)</v>
      </c>
      <c r="B96" s="74" t="n">
        <f aca="false">03_Capacity_Model!B86</f>
        <v>57</v>
      </c>
      <c r="C96" s="74" t="n">
        <f aca="false">03_Capacity_Model!C86</f>
        <v>12.6315789473684</v>
      </c>
      <c r="D96" s="74" t="n">
        <f aca="false">03_Capacity_Model!F86</f>
        <v>29.07</v>
      </c>
      <c r="E96" s="74" t="n">
        <f aca="false">03_Capacity_Model!G86</f>
        <v>2.87</v>
      </c>
    </row>
    <row r="97" customFormat="false" ht="15" hidden="false" customHeight="false" outlineLevel="0" collapsed="false">
      <c r="A97" s="51" t="str">
        <f aca="false">03_Capacity_Model!A87</f>
        <v>현재 Capa. 26.2톤 역산</v>
      </c>
      <c r="B97" s="74" t="n">
        <f aca="false">03_Capacity_Model!B87</f>
        <v>63.5267175572519</v>
      </c>
      <c r="C97" s="74" t="n">
        <f aca="false">03_Capacity_Model!C87</f>
        <v>11.3338139870224</v>
      </c>
      <c r="D97" s="74" t="n">
        <f aca="false">03_Capacity_Model!F87</f>
        <v>26.03</v>
      </c>
      <c r="E97" s="74" t="n">
        <f aca="false">03_Capacity_Model!G87</f>
        <v>-0.169999999999998</v>
      </c>
    </row>
    <row r="98" customFormat="false" ht="15" hidden="false" customHeight="false" outlineLevel="0" collapsed="false">
      <c r="A98" s="51" t="str">
        <f aca="false">03_Capacity_Model!A88</f>
        <v>② 과거 월 최대 11 Batch</v>
      </c>
      <c r="B98" s="74" t="n">
        <f aca="false">03_Capacity_Model!B88</f>
        <v>65.4545454545455</v>
      </c>
      <c r="C98" s="74" t="n">
        <f aca="false">03_Capacity_Model!C88</f>
        <v>11</v>
      </c>
      <c r="D98" s="74" t="n">
        <f aca="false">03_Capacity_Model!F88</f>
        <v>25.27</v>
      </c>
      <c r="E98" s="74" t="n">
        <f aca="false">03_Capacity_Model!G88</f>
        <v>-0.93</v>
      </c>
    </row>
    <row r="99" customFormat="false" ht="15" hidden="false" customHeight="false" outlineLevel="0" collapsed="false">
      <c r="A99" s="51" t="str">
        <f aca="false">03_Capacity_Model!A89</f>
        <v>③ 과거 일정 관측 추정</v>
      </c>
      <c r="B99" s="74" t="n">
        <f aca="false">03_Capacity_Model!B89</f>
        <v>67.4716981132076</v>
      </c>
      <c r="C99" s="74" t="n">
        <f aca="false">03_Capacity_Model!C89</f>
        <v>10.6711409395973</v>
      </c>
      <c r="D99" s="74" t="n">
        <f aca="false">03_Capacity_Model!F89</f>
        <v>24.51</v>
      </c>
      <c r="E99" s="74" t="n">
        <f aca="false">03_Capacity_Model!G89</f>
        <v>-1.69</v>
      </c>
    </row>
    <row r="100" customFormat="false" ht="15" hidden="false" customHeight="false" outlineLevel="0" collapsed="false">
      <c r="A100" s="51" t="str">
        <f aca="false">03_Capacity_Model!A90</f>
        <v>참고: 원자료 Total 기준</v>
      </c>
      <c r="B100" s="74" t="n">
        <f aca="false">03_Capacity_Model!B90</f>
        <v>79.8260869565217</v>
      </c>
      <c r="C100" s="74" t="n">
        <f aca="false">03_Capacity_Model!C90</f>
        <v>9.01960784313726</v>
      </c>
      <c r="D100" s="74" t="n">
        <f aca="false">03_Capacity_Model!F90</f>
        <v>20.71</v>
      </c>
      <c r="E100" s="74" t="n">
        <f aca="false">03_Capacity_Model!G90</f>
        <v>-5.49</v>
      </c>
    </row>
    <row r="109" customFormat="false" ht="15" hidden="false" customHeight="false" outlineLevel="0" collapsed="false">
      <c r="A109" s="67" t="s">
        <v>878</v>
      </c>
    </row>
    <row r="110" customFormat="false" ht="30" hidden="false" customHeight="true" outlineLevel="0" collapsed="false">
      <c r="A110" s="10" t="s">
        <v>614</v>
      </c>
      <c r="B110" s="10" t="s">
        <v>616</v>
      </c>
      <c r="C110" s="10" t="s">
        <v>879</v>
      </c>
      <c r="D110" s="10" t="s">
        <v>880</v>
      </c>
      <c r="E110" s="10" t="s">
        <v>252</v>
      </c>
      <c r="F110" s="25" t="s">
        <v>254</v>
      </c>
      <c r="G110" s="10" t="s">
        <v>106</v>
      </c>
      <c r="H110" s="10" t="s">
        <v>881</v>
      </c>
      <c r="I110" s="10" t="s">
        <v>882</v>
      </c>
      <c r="J110" s="10" t="s">
        <v>883</v>
      </c>
      <c r="K110" s="10" t="s">
        <v>624</v>
      </c>
      <c r="L110" s="10" t="s">
        <v>884</v>
      </c>
      <c r="M110" s="10" t="s">
        <v>885</v>
      </c>
      <c r="N110" s="10" t="s">
        <v>659</v>
      </c>
    </row>
    <row r="111" customFormat="false" ht="15" hidden="false" customHeight="false" outlineLevel="0" collapsed="false">
      <c r="A111" s="76" t="n">
        <f aca="false">04_Monthly_2026_2027!A6</f>
        <v>46023</v>
      </c>
      <c r="B111" s="51" t="str">
        <f aca="false">04_Monthly_2026_2027!D6</f>
        <v>현재(103℃)</v>
      </c>
      <c r="C111" s="50" t="n">
        <f aca="false">04_Monthly_2026_2027!O6</f>
        <v>11</v>
      </c>
      <c r="D111" s="55" t="n">
        <f aca="false">04_Monthly_2026_2027!S6</f>
        <v>2090</v>
      </c>
      <c r="E111" s="66" t="n">
        <f aca="false">04_Monthly_2026_2027!T6</f>
        <v>1600</v>
      </c>
      <c r="F111" s="66" t="str">
        <f aca="false">04_Monthly_2026_2027!U6</f>
        <v>미제시</v>
      </c>
      <c r="G111" s="66" t="n">
        <f aca="false">04_Monthly_2026_2027!V6</f>
        <v>0</v>
      </c>
      <c r="H111" s="66" t="n">
        <f aca="false">04_Monthly_2026_2027!W6</f>
        <v>1600</v>
      </c>
      <c r="I111" s="55" t="n">
        <f aca="false">04_Monthly_2026_2027!AH6</f>
        <v>490</v>
      </c>
      <c r="J111" s="55" t="n">
        <f aca="false">04_Monthly_2026_2027!AI6</f>
        <v>490</v>
      </c>
      <c r="K111" s="50" t="str">
        <f aca="false">04_Monthly_2026_2027!L6</f>
        <v/>
      </c>
      <c r="L111" s="50" t="str">
        <f aca="false">04_Monthly_2026_2027!M6</f>
        <v/>
      </c>
      <c r="M111" s="55" t="str">
        <f aca="false">04_Monthly_2026_2027!AQ6</f>
        <v>보류</v>
      </c>
      <c r="N111" s="51" t="str">
        <f aca="false">04_Monthly_2026_2027!AU6</f>
        <v>부분 (재고 입력 필요)</v>
      </c>
    </row>
    <row r="112" customFormat="false" ht="15" hidden="false" customHeight="false" outlineLevel="0" collapsed="false">
      <c r="A112" s="76" t="n">
        <f aca="false">04_Monthly_2026_2027!A7</f>
        <v>46054</v>
      </c>
      <c r="B112" s="51" t="str">
        <f aca="false">04_Monthly_2026_2027!D7</f>
        <v>현재(103℃)</v>
      </c>
      <c r="C112" s="50" t="n">
        <f aca="false">04_Monthly_2026_2027!O7</f>
        <v>9</v>
      </c>
      <c r="D112" s="55" t="n">
        <f aca="false">04_Monthly_2026_2027!S7</f>
        <v>1710</v>
      </c>
      <c r="E112" s="66" t="n">
        <f aca="false">04_Monthly_2026_2027!T7</f>
        <v>1420</v>
      </c>
      <c r="F112" s="66" t="str">
        <f aca="false">04_Monthly_2026_2027!U7</f>
        <v>미제시</v>
      </c>
      <c r="G112" s="66" t="n">
        <f aca="false">04_Monthly_2026_2027!V7</f>
        <v>0</v>
      </c>
      <c r="H112" s="66" t="n">
        <f aca="false">04_Monthly_2026_2027!W7</f>
        <v>1420</v>
      </c>
      <c r="I112" s="55" t="n">
        <f aca="false">04_Monthly_2026_2027!AH7</f>
        <v>290</v>
      </c>
      <c r="J112" s="55" t="n">
        <f aca="false">04_Monthly_2026_2027!AI7</f>
        <v>780</v>
      </c>
      <c r="K112" s="50" t="str">
        <f aca="false">04_Monthly_2026_2027!L7</f>
        <v/>
      </c>
      <c r="L112" s="50" t="str">
        <f aca="false">04_Monthly_2026_2027!M7</f>
        <v/>
      </c>
      <c r="M112" s="55" t="str">
        <f aca="false">04_Monthly_2026_2027!AQ7</f>
        <v>보류</v>
      </c>
      <c r="N112" s="51" t="str">
        <f aca="false">04_Monthly_2026_2027!AU7</f>
        <v>부분 (재고 입력 필요)</v>
      </c>
    </row>
    <row r="113" customFormat="false" ht="15" hidden="false" customHeight="false" outlineLevel="0" collapsed="false">
      <c r="A113" s="76" t="n">
        <f aca="false">04_Monthly_2026_2027!A8</f>
        <v>46082</v>
      </c>
      <c r="B113" s="51" t="str">
        <f aca="false">04_Monthly_2026_2027!D8</f>
        <v>현재(103℃)</v>
      </c>
      <c r="C113" s="50" t="n">
        <f aca="false">04_Monthly_2026_2027!O8</f>
        <v>12</v>
      </c>
      <c r="D113" s="55" t="n">
        <f aca="false">04_Monthly_2026_2027!S8</f>
        <v>2280</v>
      </c>
      <c r="E113" s="66" t="n">
        <f aca="false">04_Monthly_2026_2027!T8</f>
        <v>1440</v>
      </c>
      <c r="F113" s="66" t="str">
        <f aca="false">04_Monthly_2026_2027!U8</f>
        <v>미제시</v>
      </c>
      <c r="G113" s="66" t="n">
        <f aca="false">04_Monthly_2026_2027!V8</f>
        <v>0</v>
      </c>
      <c r="H113" s="66" t="n">
        <f aca="false">04_Monthly_2026_2027!W8</f>
        <v>1440</v>
      </c>
      <c r="I113" s="55" t="n">
        <f aca="false">04_Monthly_2026_2027!AH8</f>
        <v>840</v>
      </c>
      <c r="J113" s="55" t="n">
        <f aca="false">04_Monthly_2026_2027!AI8</f>
        <v>1620</v>
      </c>
      <c r="K113" s="50" t="str">
        <f aca="false">04_Monthly_2026_2027!L8</f>
        <v/>
      </c>
      <c r="L113" s="50" t="str">
        <f aca="false">04_Monthly_2026_2027!M8</f>
        <v/>
      </c>
      <c r="M113" s="55" t="str">
        <f aca="false">04_Monthly_2026_2027!AQ8</f>
        <v>보류</v>
      </c>
      <c r="N113" s="51" t="str">
        <f aca="false">04_Monthly_2026_2027!AU8</f>
        <v>부분 (재고 입력 필요)</v>
      </c>
    </row>
    <row r="114" customFormat="false" ht="15" hidden="false" customHeight="false" outlineLevel="0" collapsed="false">
      <c r="A114" s="76" t="n">
        <f aca="false">04_Monthly_2026_2027!A9</f>
        <v>46113</v>
      </c>
      <c r="B114" s="51" t="str">
        <f aca="false">04_Monthly_2026_2027!D9</f>
        <v>현재(103℃)</v>
      </c>
      <c r="C114" s="50" t="n">
        <f aca="false">04_Monthly_2026_2027!O9</f>
        <v>10</v>
      </c>
      <c r="D114" s="55" t="n">
        <f aca="false">04_Monthly_2026_2027!S9</f>
        <v>1900</v>
      </c>
      <c r="E114" s="66" t="n">
        <f aca="false">04_Monthly_2026_2027!T9</f>
        <v>1580</v>
      </c>
      <c r="F114" s="66" t="str">
        <f aca="false">04_Monthly_2026_2027!U9</f>
        <v>미제시</v>
      </c>
      <c r="G114" s="66" t="n">
        <f aca="false">04_Monthly_2026_2027!V9</f>
        <v>0</v>
      </c>
      <c r="H114" s="66" t="n">
        <f aca="false">04_Monthly_2026_2027!W9</f>
        <v>1580</v>
      </c>
      <c r="I114" s="55" t="n">
        <f aca="false">04_Monthly_2026_2027!AH9</f>
        <v>320</v>
      </c>
      <c r="J114" s="55" t="n">
        <f aca="false">04_Monthly_2026_2027!AI9</f>
        <v>1940</v>
      </c>
      <c r="K114" s="50" t="str">
        <f aca="false">04_Monthly_2026_2027!L9</f>
        <v/>
      </c>
      <c r="L114" s="50" t="str">
        <f aca="false">04_Monthly_2026_2027!M9</f>
        <v/>
      </c>
      <c r="M114" s="55" t="str">
        <f aca="false">04_Monthly_2026_2027!AQ9</f>
        <v>보류</v>
      </c>
      <c r="N114" s="51" t="str">
        <f aca="false">04_Monthly_2026_2027!AU9</f>
        <v>부분 (재고 입력 필요)</v>
      </c>
    </row>
    <row r="115" customFormat="false" ht="15" hidden="false" customHeight="false" outlineLevel="0" collapsed="false">
      <c r="A115" s="76" t="n">
        <f aca="false">04_Monthly_2026_2027!A10</f>
        <v>46143</v>
      </c>
      <c r="B115" s="51" t="str">
        <f aca="false">04_Monthly_2026_2027!D10</f>
        <v>현재(103℃)</v>
      </c>
      <c r="C115" s="50" t="n">
        <f aca="false">04_Monthly_2026_2027!O10</f>
        <v>11</v>
      </c>
      <c r="D115" s="55" t="n">
        <f aca="false">04_Monthly_2026_2027!S10</f>
        <v>2090</v>
      </c>
      <c r="E115" s="66" t="n">
        <f aca="false">04_Monthly_2026_2027!T10</f>
        <v>1200</v>
      </c>
      <c r="F115" s="66" t="str">
        <f aca="false">04_Monthly_2026_2027!U10</f>
        <v>미제시</v>
      </c>
      <c r="G115" s="66" t="n">
        <f aca="false">04_Monthly_2026_2027!V10</f>
        <v>0</v>
      </c>
      <c r="H115" s="66" t="n">
        <f aca="false">04_Monthly_2026_2027!W10</f>
        <v>1200</v>
      </c>
      <c r="I115" s="55" t="n">
        <f aca="false">04_Monthly_2026_2027!AH10</f>
        <v>890</v>
      </c>
      <c r="J115" s="55" t="n">
        <f aca="false">04_Monthly_2026_2027!AI10</f>
        <v>2830</v>
      </c>
      <c r="K115" s="50" t="n">
        <f aca="false">04_Monthly_2026_2027!L10</f>
        <v>2</v>
      </c>
      <c r="L115" s="50" t="str">
        <f aca="false">04_Monthly_2026_2027!M10</f>
        <v/>
      </c>
      <c r="M115" s="55" t="str">
        <f aca="false">04_Monthly_2026_2027!AQ10</f>
        <v>보류</v>
      </c>
      <c r="N115" s="51" t="str">
        <f aca="false">04_Monthly_2026_2027!AU10</f>
        <v>부분 (재고 입력 필요)</v>
      </c>
    </row>
    <row r="116" customFormat="false" ht="15" hidden="false" customHeight="false" outlineLevel="0" collapsed="false">
      <c r="A116" s="76" t="n">
        <f aca="false">04_Monthly_2026_2027!A11</f>
        <v>46174</v>
      </c>
      <c r="B116" s="51" t="str">
        <f aca="false">04_Monthly_2026_2027!D11</f>
        <v>현재(103℃)</v>
      </c>
      <c r="C116" s="50" t="n">
        <f aca="false">04_Monthly_2026_2027!O11</f>
        <v>11</v>
      </c>
      <c r="D116" s="55" t="n">
        <f aca="false">04_Monthly_2026_2027!S11</f>
        <v>2090</v>
      </c>
      <c r="E116" s="66" t="n">
        <f aca="false">04_Monthly_2026_2027!T11</f>
        <v>1200</v>
      </c>
      <c r="F116" s="66" t="str">
        <f aca="false">04_Monthly_2026_2027!U11</f>
        <v>미제시</v>
      </c>
      <c r="G116" s="66" t="n">
        <f aca="false">04_Monthly_2026_2027!V11</f>
        <v>0</v>
      </c>
      <c r="H116" s="66" t="n">
        <f aca="false">04_Monthly_2026_2027!W11</f>
        <v>1200</v>
      </c>
      <c r="I116" s="55" t="n">
        <f aca="false">04_Monthly_2026_2027!AH11</f>
        <v>890</v>
      </c>
      <c r="J116" s="55" t="n">
        <f aca="false">04_Monthly_2026_2027!AI11</f>
        <v>3720</v>
      </c>
      <c r="K116" s="50" t="n">
        <f aca="false">04_Monthly_2026_2027!L11</f>
        <v>11</v>
      </c>
      <c r="L116" s="50" t="n">
        <f aca="false">04_Monthly_2026_2027!M11</f>
        <v>8</v>
      </c>
      <c r="M116" s="55" t="str">
        <f aca="false">04_Monthly_2026_2027!AQ11</f>
        <v>보류</v>
      </c>
      <c r="N116" s="51" t="str">
        <f aca="false">04_Monthly_2026_2027!AU11</f>
        <v>부분 (재고 입력 필요)</v>
      </c>
    </row>
    <row r="117" customFormat="false" ht="15" hidden="false" customHeight="false" outlineLevel="0" collapsed="false">
      <c r="A117" s="76" t="n">
        <f aca="false">04_Monthly_2026_2027!A12</f>
        <v>46204</v>
      </c>
      <c r="B117" s="51" t="str">
        <f aca="false">04_Monthly_2026_2027!D12</f>
        <v>현재(103℃)</v>
      </c>
      <c r="C117" s="50" t="n">
        <f aca="false">04_Monthly_2026_2027!O12</f>
        <v>11</v>
      </c>
      <c r="D117" s="55" t="n">
        <f aca="false">04_Monthly_2026_2027!S12</f>
        <v>2090</v>
      </c>
      <c r="E117" s="66" t="n">
        <f aca="false">04_Monthly_2026_2027!T12</f>
        <v>1360</v>
      </c>
      <c r="F117" s="66" t="str">
        <f aca="false">04_Monthly_2026_2027!U12</f>
        <v>미제시</v>
      </c>
      <c r="G117" s="66" t="n">
        <f aca="false">04_Monthly_2026_2027!V12</f>
        <v>0</v>
      </c>
      <c r="H117" s="66" t="n">
        <f aca="false">04_Monthly_2026_2027!W12</f>
        <v>1360</v>
      </c>
      <c r="I117" s="55" t="n">
        <f aca="false">04_Monthly_2026_2027!AH12</f>
        <v>730</v>
      </c>
      <c r="J117" s="55" t="n">
        <f aca="false">04_Monthly_2026_2027!AI12</f>
        <v>4450</v>
      </c>
      <c r="K117" s="50" t="n">
        <f aca="false">04_Monthly_2026_2027!L12</f>
        <v>11</v>
      </c>
      <c r="L117" s="50" t="n">
        <f aca="false">04_Monthly_2026_2027!M12</f>
        <v>11</v>
      </c>
      <c r="M117" s="55" t="str">
        <f aca="false">04_Monthly_2026_2027!AQ12</f>
        <v>보류</v>
      </c>
      <c r="N117" s="51" t="str">
        <f aca="false">04_Monthly_2026_2027!AU12</f>
        <v>부분 (재고 입력 필요)</v>
      </c>
    </row>
    <row r="118" customFormat="false" ht="15" hidden="false" customHeight="false" outlineLevel="0" collapsed="false">
      <c r="A118" s="76" t="n">
        <f aca="false">04_Monthly_2026_2027!A13</f>
        <v>46235</v>
      </c>
      <c r="B118" s="51" t="str">
        <f aca="false">04_Monthly_2026_2027!D13</f>
        <v>현재(103℃)</v>
      </c>
      <c r="C118" s="50" t="n">
        <f aca="false">04_Monthly_2026_2027!O13</f>
        <v>11</v>
      </c>
      <c r="D118" s="55" t="n">
        <f aca="false">04_Monthly_2026_2027!S13</f>
        <v>2090</v>
      </c>
      <c r="E118" s="66" t="n">
        <f aca="false">04_Monthly_2026_2027!T13</f>
        <v>1420</v>
      </c>
      <c r="F118" s="66" t="str">
        <f aca="false">04_Monthly_2026_2027!U13</f>
        <v>미제시</v>
      </c>
      <c r="G118" s="66" t="n">
        <f aca="false">04_Monthly_2026_2027!V13</f>
        <v>0</v>
      </c>
      <c r="H118" s="66" t="n">
        <f aca="false">04_Monthly_2026_2027!W13</f>
        <v>1420</v>
      </c>
      <c r="I118" s="55" t="n">
        <f aca="false">04_Monthly_2026_2027!AH13</f>
        <v>670</v>
      </c>
      <c r="J118" s="55" t="n">
        <f aca="false">04_Monthly_2026_2027!AI13</f>
        <v>5120</v>
      </c>
      <c r="K118" s="50" t="n">
        <f aca="false">04_Monthly_2026_2027!L13</f>
        <v>11</v>
      </c>
      <c r="L118" s="50" t="n">
        <f aca="false">04_Monthly_2026_2027!M13</f>
        <v>8</v>
      </c>
      <c r="M118" s="55" t="str">
        <f aca="false">04_Monthly_2026_2027!AQ13</f>
        <v>보류</v>
      </c>
      <c r="N118" s="51" t="str">
        <f aca="false">04_Monthly_2026_2027!AU13</f>
        <v>부분 (재고 입력 필요)</v>
      </c>
    </row>
    <row r="119" customFormat="false" ht="15" hidden="false" customHeight="false" outlineLevel="0" collapsed="false">
      <c r="A119" s="76" t="n">
        <f aca="false">04_Monthly_2026_2027!A14</f>
        <v>46266</v>
      </c>
      <c r="B119" s="51" t="str">
        <f aca="false">04_Monthly_2026_2027!D14</f>
        <v>현재(103℃)</v>
      </c>
      <c r="C119" s="50" t="n">
        <f aca="false">04_Monthly_2026_2027!O14</f>
        <v>11</v>
      </c>
      <c r="D119" s="55" t="n">
        <f aca="false">04_Monthly_2026_2027!S14</f>
        <v>2090</v>
      </c>
      <c r="E119" s="66" t="n">
        <f aca="false">04_Monthly_2026_2027!T14</f>
        <v>1380</v>
      </c>
      <c r="F119" s="66" t="str">
        <f aca="false">04_Monthly_2026_2027!U14</f>
        <v>미제시</v>
      </c>
      <c r="G119" s="66" t="n">
        <f aca="false">04_Monthly_2026_2027!V14</f>
        <v>560</v>
      </c>
      <c r="H119" s="66" t="n">
        <f aca="false">04_Monthly_2026_2027!W14</f>
        <v>1940</v>
      </c>
      <c r="I119" s="55" t="n">
        <f aca="false">04_Monthly_2026_2027!AH14</f>
        <v>150</v>
      </c>
      <c r="J119" s="55" t="n">
        <f aca="false">04_Monthly_2026_2027!AI14</f>
        <v>5270</v>
      </c>
      <c r="K119" s="50" t="n">
        <f aca="false">04_Monthly_2026_2027!L14</f>
        <v>10</v>
      </c>
      <c r="L119" s="50" t="n">
        <f aca="false">04_Monthly_2026_2027!M14</f>
        <v>8</v>
      </c>
      <c r="M119" s="55" t="str">
        <f aca="false">04_Monthly_2026_2027!AQ14</f>
        <v>보류</v>
      </c>
      <c r="N119" s="51" t="str">
        <f aca="false">04_Monthly_2026_2027!AU14</f>
        <v>부분 (재고 입력 필요)</v>
      </c>
    </row>
    <row r="120" customFormat="false" ht="15" hidden="false" customHeight="false" outlineLevel="0" collapsed="false">
      <c r="A120" s="76" t="n">
        <f aca="false">04_Monthly_2026_2027!A15</f>
        <v>46296</v>
      </c>
      <c r="B120" s="51" t="str">
        <f aca="false">04_Monthly_2026_2027!D15</f>
        <v>현재(103℃)</v>
      </c>
      <c r="C120" s="50" t="n">
        <f aca="false">04_Monthly_2026_2027!O15</f>
        <v>11</v>
      </c>
      <c r="D120" s="55" t="n">
        <f aca="false">04_Monthly_2026_2027!S15</f>
        <v>2090</v>
      </c>
      <c r="E120" s="66" t="n">
        <f aca="false">04_Monthly_2026_2027!T15</f>
        <v>1480</v>
      </c>
      <c r="F120" s="66" t="str">
        <f aca="false">04_Monthly_2026_2027!U15</f>
        <v>미제시</v>
      </c>
      <c r="G120" s="66" t="n">
        <f aca="false">04_Monthly_2026_2027!V15</f>
        <v>560</v>
      </c>
      <c r="H120" s="66" t="n">
        <f aca="false">04_Monthly_2026_2027!W15</f>
        <v>2040</v>
      </c>
      <c r="I120" s="55" t="n">
        <f aca="false">04_Monthly_2026_2027!AH15</f>
        <v>50</v>
      </c>
      <c r="J120" s="55" t="n">
        <f aca="false">04_Monthly_2026_2027!AI15</f>
        <v>5320</v>
      </c>
      <c r="K120" s="50" t="n">
        <f aca="false">04_Monthly_2026_2027!L15</f>
        <v>11</v>
      </c>
      <c r="L120" s="50" t="n">
        <f aca="false">04_Monthly_2026_2027!M15</f>
        <v>11</v>
      </c>
      <c r="M120" s="55" t="str">
        <f aca="false">04_Monthly_2026_2027!AQ15</f>
        <v>보류</v>
      </c>
      <c r="N120" s="51" t="str">
        <f aca="false">04_Monthly_2026_2027!AU15</f>
        <v>부분 (재고 입력 필요)</v>
      </c>
    </row>
    <row r="121" customFormat="false" ht="15" hidden="false" customHeight="false" outlineLevel="0" collapsed="false">
      <c r="A121" s="76" t="n">
        <f aca="false">04_Monthly_2026_2027!A16</f>
        <v>46327</v>
      </c>
      <c r="B121" s="51" t="str">
        <f aca="false">04_Monthly_2026_2027!D16</f>
        <v>현재(103℃)</v>
      </c>
      <c r="C121" s="50" t="n">
        <f aca="false">04_Monthly_2026_2027!O16</f>
        <v>10</v>
      </c>
      <c r="D121" s="55" t="n">
        <f aca="false">04_Monthly_2026_2027!S16</f>
        <v>1900</v>
      </c>
      <c r="E121" s="66" t="n">
        <f aca="false">04_Monthly_2026_2027!T16</f>
        <v>1480</v>
      </c>
      <c r="F121" s="66" t="str">
        <f aca="false">04_Monthly_2026_2027!U16</f>
        <v>미제시</v>
      </c>
      <c r="G121" s="66" t="n">
        <f aca="false">04_Monthly_2026_2027!V16</f>
        <v>560</v>
      </c>
      <c r="H121" s="66" t="n">
        <f aca="false">04_Monthly_2026_2027!W16</f>
        <v>2040</v>
      </c>
      <c r="I121" s="55" t="n">
        <f aca="false">04_Monthly_2026_2027!AH16</f>
        <v>-140</v>
      </c>
      <c r="J121" s="55" t="n">
        <f aca="false">04_Monthly_2026_2027!AI16</f>
        <v>5180</v>
      </c>
      <c r="K121" s="50" t="str">
        <f aca="false">04_Monthly_2026_2027!L16</f>
        <v/>
      </c>
      <c r="L121" s="50" t="str">
        <f aca="false">04_Monthly_2026_2027!M16</f>
        <v/>
      </c>
      <c r="M121" s="55" t="str">
        <f aca="false">04_Monthly_2026_2027!AQ16</f>
        <v>보류</v>
      </c>
      <c r="N121" s="51" t="str">
        <f aca="false">04_Monthly_2026_2027!AU16</f>
        <v>부분 (재고 입력 필요)</v>
      </c>
    </row>
    <row r="122" customFormat="false" ht="15" hidden="false" customHeight="false" outlineLevel="0" collapsed="false">
      <c r="A122" s="76" t="n">
        <f aca="false">04_Monthly_2026_2027!A17</f>
        <v>46357</v>
      </c>
      <c r="B122" s="51" t="str">
        <f aca="false">04_Monthly_2026_2027!D17</f>
        <v>현재(103℃)</v>
      </c>
      <c r="C122" s="50" t="n">
        <f aca="false">04_Monthly_2026_2027!O17</f>
        <v>11</v>
      </c>
      <c r="D122" s="55" t="n">
        <f aca="false">04_Monthly_2026_2027!S17</f>
        <v>2090</v>
      </c>
      <c r="E122" s="66" t="n">
        <f aca="false">04_Monthly_2026_2027!T17</f>
        <v>1420</v>
      </c>
      <c r="F122" s="66" t="str">
        <f aca="false">04_Monthly_2026_2027!U17</f>
        <v>미제시</v>
      </c>
      <c r="G122" s="66" t="n">
        <f aca="false">04_Monthly_2026_2027!V17</f>
        <v>560</v>
      </c>
      <c r="H122" s="66" t="n">
        <f aca="false">04_Monthly_2026_2027!W17</f>
        <v>1980</v>
      </c>
      <c r="I122" s="55" t="n">
        <f aca="false">04_Monthly_2026_2027!AH17</f>
        <v>110</v>
      </c>
      <c r="J122" s="55" t="n">
        <f aca="false">04_Monthly_2026_2027!AI17</f>
        <v>5290</v>
      </c>
      <c r="K122" s="50" t="str">
        <f aca="false">04_Monthly_2026_2027!L17</f>
        <v/>
      </c>
      <c r="L122" s="50" t="str">
        <f aca="false">04_Monthly_2026_2027!M17</f>
        <v/>
      </c>
      <c r="M122" s="55" t="str">
        <f aca="false">04_Monthly_2026_2027!AQ17</f>
        <v>보류</v>
      </c>
      <c r="N122" s="51" t="str">
        <f aca="false">04_Monthly_2026_2027!AU17</f>
        <v>부분 (재고 입력 필요)</v>
      </c>
    </row>
    <row r="123" customFormat="false" ht="15" hidden="false" customHeight="false" outlineLevel="0" collapsed="false">
      <c r="A123" s="76" t="n">
        <f aca="false">04_Monthly_2026_2027!A18</f>
        <v>46388</v>
      </c>
      <c r="B123" s="51" t="str">
        <f aca="false">04_Monthly_2026_2027!D18</f>
        <v>현재(103℃)</v>
      </c>
      <c r="C123" s="50" t="n">
        <f aca="false">04_Monthly_2026_2027!O18</f>
        <v>11</v>
      </c>
      <c r="D123" s="55" t="n">
        <f aca="false">04_Monthly_2026_2027!S18</f>
        <v>2090</v>
      </c>
      <c r="E123" s="66" t="n">
        <f aca="false">04_Monthly_2026_2027!T18</f>
        <v>1893.33333333333</v>
      </c>
      <c r="F123" s="66" t="n">
        <f aca="false">04_Monthly_2026_2027!U18</f>
        <v>0</v>
      </c>
      <c r="G123" s="66" t="n">
        <f aca="false">04_Monthly_2026_2027!V18</f>
        <v>840</v>
      </c>
      <c r="H123" s="66" t="n">
        <f aca="false">04_Monthly_2026_2027!W18</f>
        <v>2733.33333333333</v>
      </c>
      <c r="I123" s="55" t="n">
        <f aca="false">04_Monthly_2026_2027!AH18</f>
        <v>-643.333333333333</v>
      </c>
      <c r="J123" s="55" t="n">
        <f aca="false">04_Monthly_2026_2027!AI18</f>
        <v>4646.66666666667</v>
      </c>
      <c r="K123" s="50" t="str">
        <f aca="false">04_Monthly_2026_2027!L18</f>
        <v/>
      </c>
      <c r="L123" s="50" t="str">
        <f aca="false">04_Monthly_2026_2027!M18</f>
        <v/>
      </c>
      <c r="M123" s="55" t="str">
        <f aca="false">04_Monthly_2026_2027!AQ18</f>
        <v>보류</v>
      </c>
      <c r="N123" s="51" t="str">
        <f aca="false">04_Monthly_2026_2027!AU18</f>
        <v>부분 (재고 입력 필요)</v>
      </c>
    </row>
    <row r="124" customFormat="false" ht="15" hidden="false" customHeight="false" outlineLevel="0" collapsed="false">
      <c r="A124" s="76" t="n">
        <f aca="false">04_Monthly_2026_2027!A19</f>
        <v>46419</v>
      </c>
      <c r="B124" s="51" t="str">
        <f aca="false">04_Monthly_2026_2027!D19</f>
        <v>리플럭스 공사</v>
      </c>
      <c r="C124" s="50" t="str">
        <f aca="false">04_Monthly_2026_2027!O19</f>
        <v>미확인</v>
      </c>
      <c r="D124" s="55" t="str">
        <f aca="false">04_Monthly_2026_2027!S19</f>
        <v>미확인</v>
      </c>
      <c r="E124" s="66" t="n">
        <f aca="false">04_Monthly_2026_2027!T19</f>
        <v>1893.33333333333</v>
      </c>
      <c r="F124" s="66" t="n">
        <f aca="false">04_Monthly_2026_2027!U19</f>
        <v>0</v>
      </c>
      <c r="G124" s="66" t="n">
        <f aca="false">04_Monthly_2026_2027!V19</f>
        <v>840</v>
      </c>
      <c r="H124" s="66" t="n">
        <f aca="false">04_Monthly_2026_2027!W19</f>
        <v>2733.33333333333</v>
      </c>
      <c r="I124" s="55" t="str">
        <f aca="false">04_Monthly_2026_2027!AH19</f>
        <v>미확인</v>
      </c>
      <c r="J124" s="55" t="str">
        <f aca="false">04_Monthly_2026_2027!AI19</f>
        <v>보류</v>
      </c>
      <c r="K124" s="50" t="str">
        <f aca="false">04_Monthly_2026_2027!L19</f>
        <v/>
      </c>
      <c r="L124" s="50" t="str">
        <f aca="false">04_Monthly_2026_2027!M19</f>
        <v/>
      </c>
      <c r="M124" s="55" t="str">
        <f aca="false">04_Monthly_2026_2027!AQ19</f>
        <v>보류</v>
      </c>
      <c r="N124" s="51" t="str">
        <f aca="false">04_Monthly_2026_2027!AU19</f>
        <v>보류 (생산 조건 미확인)</v>
      </c>
    </row>
    <row r="125" customFormat="false" ht="15" hidden="false" customHeight="false" outlineLevel="0" collapsed="false">
      <c r="A125" s="76" t="n">
        <f aca="false">04_Monthly_2026_2027!A20</f>
        <v>46447</v>
      </c>
      <c r="B125" s="51" t="str">
        <f aca="false">04_Monthly_2026_2027!D20</f>
        <v>리플럭스 공사</v>
      </c>
      <c r="C125" s="50" t="str">
        <f aca="false">04_Monthly_2026_2027!O20</f>
        <v>미확인</v>
      </c>
      <c r="D125" s="55" t="str">
        <f aca="false">04_Monthly_2026_2027!S20</f>
        <v>미확인</v>
      </c>
      <c r="E125" s="66" t="n">
        <f aca="false">04_Monthly_2026_2027!T20</f>
        <v>1893.33333333333</v>
      </c>
      <c r="F125" s="66" t="n">
        <f aca="false">04_Monthly_2026_2027!U20</f>
        <v>0</v>
      </c>
      <c r="G125" s="66" t="n">
        <f aca="false">04_Monthly_2026_2027!V20</f>
        <v>840</v>
      </c>
      <c r="H125" s="66" t="n">
        <f aca="false">04_Monthly_2026_2027!W20</f>
        <v>2733.33333333333</v>
      </c>
      <c r="I125" s="55" t="str">
        <f aca="false">04_Monthly_2026_2027!AH20</f>
        <v>미확인</v>
      </c>
      <c r="J125" s="55" t="str">
        <f aca="false">04_Monthly_2026_2027!AI20</f>
        <v>보류</v>
      </c>
      <c r="K125" s="50" t="str">
        <f aca="false">04_Monthly_2026_2027!L20</f>
        <v/>
      </c>
      <c r="L125" s="50" t="str">
        <f aca="false">04_Monthly_2026_2027!M20</f>
        <v/>
      </c>
      <c r="M125" s="55" t="str">
        <f aca="false">04_Monthly_2026_2027!AQ20</f>
        <v>보류</v>
      </c>
      <c r="N125" s="51" t="str">
        <f aca="false">04_Monthly_2026_2027!AU20</f>
        <v>보류 (생산 조건 미확인)</v>
      </c>
    </row>
    <row r="126" customFormat="false" ht="15" hidden="false" customHeight="false" outlineLevel="0" collapsed="false">
      <c r="A126" s="76" t="n">
        <f aca="false">04_Monthly_2026_2027!A21</f>
        <v>46478</v>
      </c>
      <c r="B126" s="51" t="str">
        <f aca="false">04_Monthly_2026_2027!D21</f>
        <v>리플럭스 공사</v>
      </c>
      <c r="C126" s="50" t="str">
        <f aca="false">04_Monthly_2026_2027!O21</f>
        <v>미확인</v>
      </c>
      <c r="D126" s="55" t="str">
        <f aca="false">04_Monthly_2026_2027!S21</f>
        <v>미확인</v>
      </c>
      <c r="E126" s="66" t="n">
        <f aca="false">04_Monthly_2026_2027!T21</f>
        <v>1893.33333333333</v>
      </c>
      <c r="F126" s="66" t="n">
        <f aca="false">04_Monthly_2026_2027!U21</f>
        <v>580</v>
      </c>
      <c r="G126" s="66" t="n">
        <f aca="false">04_Monthly_2026_2027!V21</f>
        <v>840</v>
      </c>
      <c r="H126" s="66" t="n">
        <f aca="false">04_Monthly_2026_2027!W21</f>
        <v>3313.33333333333</v>
      </c>
      <c r="I126" s="55" t="str">
        <f aca="false">04_Monthly_2026_2027!AH21</f>
        <v>미확인</v>
      </c>
      <c r="J126" s="55" t="str">
        <f aca="false">04_Monthly_2026_2027!AI21</f>
        <v>보류</v>
      </c>
      <c r="K126" s="50" t="str">
        <f aca="false">04_Monthly_2026_2027!L21</f>
        <v/>
      </c>
      <c r="L126" s="50" t="str">
        <f aca="false">04_Monthly_2026_2027!M21</f>
        <v/>
      </c>
      <c r="M126" s="55" t="str">
        <f aca="false">04_Monthly_2026_2027!AQ21</f>
        <v>보류</v>
      </c>
      <c r="N126" s="51" t="str">
        <f aca="false">04_Monthly_2026_2027!AU21</f>
        <v>보류 (생산 조건 미확인)</v>
      </c>
    </row>
    <row r="127" customFormat="false" ht="15" hidden="false" customHeight="false" outlineLevel="0" collapsed="false">
      <c r="A127" s="76" t="n">
        <f aca="false">04_Monthly_2026_2027!A22</f>
        <v>46508</v>
      </c>
      <c r="B127" s="51" t="str">
        <f aca="false">04_Monthly_2026_2027!D22</f>
        <v>리플럭스 공사</v>
      </c>
      <c r="C127" s="50" t="str">
        <f aca="false">04_Monthly_2026_2027!O22</f>
        <v>미확인</v>
      </c>
      <c r="D127" s="55" t="str">
        <f aca="false">04_Monthly_2026_2027!S22</f>
        <v>미확인</v>
      </c>
      <c r="E127" s="66" t="n">
        <f aca="false">04_Monthly_2026_2027!T22</f>
        <v>1893.33333333333</v>
      </c>
      <c r="F127" s="66" t="n">
        <f aca="false">04_Monthly_2026_2027!U22</f>
        <v>580</v>
      </c>
      <c r="G127" s="66" t="n">
        <f aca="false">04_Monthly_2026_2027!V22</f>
        <v>840</v>
      </c>
      <c r="H127" s="66" t="n">
        <f aca="false">04_Monthly_2026_2027!W22</f>
        <v>3313.33333333333</v>
      </c>
      <c r="I127" s="55" t="str">
        <f aca="false">04_Monthly_2026_2027!AH22</f>
        <v>미확인</v>
      </c>
      <c r="J127" s="55" t="str">
        <f aca="false">04_Monthly_2026_2027!AI22</f>
        <v>보류</v>
      </c>
      <c r="K127" s="50" t="str">
        <f aca="false">04_Monthly_2026_2027!L22</f>
        <v/>
      </c>
      <c r="L127" s="50" t="str">
        <f aca="false">04_Monthly_2026_2027!M22</f>
        <v/>
      </c>
      <c r="M127" s="55" t="str">
        <f aca="false">04_Monthly_2026_2027!AQ22</f>
        <v>보류</v>
      </c>
      <c r="N127" s="51" t="str">
        <f aca="false">04_Monthly_2026_2027!AU22</f>
        <v>보류 (생산 조건 미확인)</v>
      </c>
    </row>
    <row r="128" customFormat="false" ht="15" hidden="false" customHeight="false" outlineLevel="0" collapsed="false">
      <c r="A128" s="76" t="n">
        <f aca="false">04_Monthly_2026_2027!A23</f>
        <v>46539</v>
      </c>
      <c r="B128" s="51" t="str">
        <f aca="false">04_Monthly_2026_2027!D23</f>
        <v>시운전</v>
      </c>
      <c r="C128" s="50" t="str">
        <f aca="false">04_Monthly_2026_2027!O23</f>
        <v>미확인</v>
      </c>
      <c r="D128" s="55" t="str">
        <f aca="false">04_Monthly_2026_2027!S23</f>
        <v>미확인</v>
      </c>
      <c r="E128" s="66" t="n">
        <f aca="false">04_Monthly_2026_2027!T23</f>
        <v>1893.33333333333</v>
      </c>
      <c r="F128" s="66" t="n">
        <f aca="false">04_Monthly_2026_2027!U23</f>
        <v>580</v>
      </c>
      <c r="G128" s="66" t="n">
        <f aca="false">04_Monthly_2026_2027!V23</f>
        <v>840</v>
      </c>
      <c r="H128" s="66" t="n">
        <f aca="false">04_Monthly_2026_2027!W23</f>
        <v>3313.33333333333</v>
      </c>
      <c r="I128" s="55" t="str">
        <f aca="false">04_Monthly_2026_2027!AH23</f>
        <v>미확인</v>
      </c>
      <c r="J128" s="55" t="str">
        <f aca="false">04_Monthly_2026_2027!AI23</f>
        <v>보류</v>
      </c>
      <c r="K128" s="50" t="str">
        <f aca="false">04_Monthly_2026_2027!L23</f>
        <v/>
      </c>
      <c r="L128" s="50" t="str">
        <f aca="false">04_Monthly_2026_2027!M23</f>
        <v/>
      </c>
      <c r="M128" s="55" t="str">
        <f aca="false">04_Monthly_2026_2027!AQ23</f>
        <v>보류</v>
      </c>
      <c r="N128" s="51" t="str">
        <f aca="false">04_Monthly_2026_2027!AU23</f>
        <v>보류 (생산 조건 미확인)</v>
      </c>
    </row>
    <row r="129" customFormat="false" ht="15" hidden="false" customHeight="false" outlineLevel="0" collapsed="false">
      <c r="A129" s="76" t="n">
        <f aca="false">04_Monthly_2026_2027!A24</f>
        <v>46569</v>
      </c>
      <c r="B129" s="51" t="str">
        <f aca="false">04_Monthly_2026_2027!D24</f>
        <v>리플럭스 적용</v>
      </c>
      <c r="C129" s="50" t="str">
        <f aca="false">04_Monthly_2026_2027!O24</f>
        <v>미확인</v>
      </c>
      <c r="D129" s="55" t="str">
        <f aca="false">04_Monthly_2026_2027!S24</f>
        <v>미확인</v>
      </c>
      <c r="E129" s="66" t="n">
        <f aca="false">04_Monthly_2026_2027!T24</f>
        <v>1893.33333333333</v>
      </c>
      <c r="F129" s="66" t="n">
        <f aca="false">04_Monthly_2026_2027!U24</f>
        <v>580</v>
      </c>
      <c r="G129" s="66" t="n">
        <f aca="false">04_Monthly_2026_2027!V24</f>
        <v>840</v>
      </c>
      <c r="H129" s="66" t="n">
        <f aca="false">04_Monthly_2026_2027!W24</f>
        <v>3313.33333333333</v>
      </c>
      <c r="I129" s="55" t="str">
        <f aca="false">04_Monthly_2026_2027!AH24</f>
        <v>미확인</v>
      </c>
      <c r="J129" s="55" t="str">
        <f aca="false">04_Monthly_2026_2027!AI24</f>
        <v>보류</v>
      </c>
      <c r="K129" s="50" t="str">
        <f aca="false">04_Monthly_2026_2027!L24</f>
        <v/>
      </c>
      <c r="L129" s="50" t="str">
        <f aca="false">04_Monthly_2026_2027!M24</f>
        <v/>
      </c>
      <c r="M129" s="55" t="str">
        <f aca="false">04_Monthly_2026_2027!AQ24</f>
        <v>보류</v>
      </c>
      <c r="N129" s="51" t="str">
        <f aca="false">04_Monthly_2026_2027!AU24</f>
        <v>보류 (생산 조건 미확인)</v>
      </c>
    </row>
    <row r="130" customFormat="false" ht="15" hidden="false" customHeight="false" outlineLevel="0" collapsed="false">
      <c r="A130" s="76" t="n">
        <f aca="false">04_Monthly_2026_2027!A25</f>
        <v>46600</v>
      </c>
      <c r="B130" s="51" t="str">
        <f aca="false">04_Monthly_2026_2027!D25</f>
        <v>리플럭스 적용</v>
      </c>
      <c r="C130" s="50" t="str">
        <f aca="false">04_Monthly_2026_2027!O25</f>
        <v>미확인</v>
      </c>
      <c r="D130" s="55" t="str">
        <f aca="false">04_Monthly_2026_2027!S25</f>
        <v>미확인</v>
      </c>
      <c r="E130" s="66" t="n">
        <f aca="false">04_Monthly_2026_2027!T25</f>
        <v>1893.33333333333</v>
      </c>
      <c r="F130" s="66" t="n">
        <f aca="false">04_Monthly_2026_2027!U25</f>
        <v>580</v>
      </c>
      <c r="G130" s="66" t="n">
        <f aca="false">04_Monthly_2026_2027!V25</f>
        <v>840</v>
      </c>
      <c r="H130" s="66" t="n">
        <f aca="false">04_Monthly_2026_2027!W25</f>
        <v>3313.33333333333</v>
      </c>
      <c r="I130" s="55" t="str">
        <f aca="false">04_Monthly_2026_2027!AH25</f>
        <v>미확인</v>
      </c>
      <c r="J130" s="55" t="str">
        <f aca="false">04_Monthly_2026_2027!AI25</f>
        <v>보류</v>
      </c>
      <c r="K130" s="50" t="str">
        <f aca="false">04_Monthly_2026_2027!L25</f>
        <v/>
      </c>
      <c r="L130" s="50" t="str">
        <f aca="false">04_Monthly_2026_2027!M25</f>
        <v/>
      </c>
      <c r="M130" s="55" t="str">
        <f aca="false">04_Monthly_2026_2027!AQ25</f>
        <v>보류</v>
      </c>
      <c r="N130" s="51" t="str">
        <f aca="false">04_Monthly_2026_2027!AU25</f>
        <v>보류 (생산 조건 미확인)</v>
      </c>
    </row>
    <row r="131" customFormat="false" ht="15" hidden="false" customHeight="false" outlineLevel="0" collapsed="false">
      <c r="A131" s="76" t="n">
        <f aca="false">04_Monthly_2026_2027!A26</f>
        <v>46631</v>
      </c>
      <c r="B131" s="51" t="str">
        <f aca="false">04_Monthly_2026_2027!D26</f>
        <v>리플럭스 적용</v>
      </c>
      <c r="C131" s="50" t="str">
        <f aca="false">04_Monthly_2026_2027!O26</f>
        <v>미확인</v>
      </c>
      <c r="D131" s="55" t="str">
        <f aca="false">04_Monthly_2026_2027!S26</f>
        <v>미확인</v>
      </c>
      <c r="E131" s="66" t="n">
        <f aca="false">04_Monthly_2026_2027!T26</f>
        <v>1893.33333333333</v>
      </c>
      <c r="F131" s="66" t="n">
        <f aca="false">04_Monthly_2026_2027!U26</f>
        <v>580</v>
      </c>
      <c r="G131" s="66" t="n">
        <f aca="false">04_Monthly_2026_2027!V26</f>
        <v>840</v>
      </c>
      <c r="H131" s="66" t="n">
        <f aca="false">04_Monthly_2026_2027!W26</f>
        <v>3313.33333333333</v>
      </c>
      <c r="I131" s="55" t="str">
        <f aca="false">04_Monthly_2026_2027!AH26</f>
        <v>미확인</v>
      </c>
      <c r="J131" s="55" t="str">
        <f aca="false">04_Monthly_2026_2027!AI26</f>
        <v>보류</v>
      </c>
      <c r="K131" s="50" t="str">
        <f aca="false">04_Monthly_2026_2027!L26</f>
        <v/>
      </c>
      <c r="L131" s="50" t="str">
        <f aca="false">04_Monthly_2026_2027!M26</f>
        <v/>
      </c>
      <c r="M131" s="55" t="str">
        <f aca="false">04_Monthly_2026_2027!AQ26</f>
        <v>보류</v>
      </c>
      <c r="N131" s="51" t="str">
        <f aca="false">04_Monthly_2026_2027!AU26</f>
        <v>보류 (생산 조건 미확인)</v>
      </c>
    </row>
    <row r="132" customFormat="false" ht="15" hidden="false" customHeight="false" outlineLevel="0" collapsed="false">
      <c r="A132" s="76" t="n">
        <f aca="false">04_Monthly_2026_2027!A27</f>
        <v>46661</v>
      </c>
      <c r="B132" s="51" t="str">
        <f aca="false">04_Monthly_2026_2027!D27</f>
        <v>리플럭스 적용</v>
      </c>
      <c r="C132" s="50" t="str">
        <f aca="false">04_Monthly_2026_2027!O27</f>
        <v>미확인</v>
      </c>
      <c r="D132" s="55" t="str">
        <f aca="false">04_Monthly_2026_2027!S27</f>
        <v>미확인</v>
      </c>
      <c r="E132" s="66" t="n">
        <f aca="false">04_Monthly_2026_2027!T27</f>
        <v>1893.33333333333</v>
      </c>
      <c r="F132" s="66" t="n">
        <f aca="false">04_Monthly_2026_2027!U27</f>
        <v>580</v>
      </c>
      <c r="G132" s="66" t="n">
        <f aca="false">04_Monthly_2026_2027!V27</f>
        <v>840</v>
      </c>
      <c r="H132" s="66" t="n">
        <f aca="false">04_Monthly_2026_2027!W27</f>
        <v>3313.33333333333</v>
      </c>
      <c r="I132" s="55" t="str">
        <f aca="false">04_Monthly_2026_2027!AH27</f>
        <v>미확인</v>
      </c>
      <c r="J132" s="55" t="str">
        <f aca="false">04_Monthly_2026_2027!AI27</f>
        <v>보류</v>
      </c>
      <c r="K132" s="50" t="str">
        <f aca="false">04_Monthly_2026_2027!L27</f>
        <v/>
      </c>
      <c r="L132" s="50" t="str">
        <f aca="false">04_Monthly_2026_2027!M27</f>
        <v/>
      </c>
      <c r="M132" s="55" t="str">
        <f aca="false">04_Monthly_2026_2027!AQ27</f>
        <v>보류</v>
      </c>
      <c r="N132" s="51" t="str">
        <f aca="false">04_Monthly_2026_2027!AU27</f>
        <v>보류 (생산 조건 미확인)</v>
      </c>
    </row>
    <row r="133" customFormat="false" ht="15" hidden="false" customHeight="false" outlineLevel="0" collapsed="false">
      <c r="A133" s="76" t="n">
        <f aca="false">04_Monthly_2026_2027!A28</f>
        <v>46692</v>
      </c>
      <c r="B133" s="51" t="str">
        <f aca="false">04_Monthly_2026_2027!D28</f>
        <v>리플럭스 적용</v>
      </c>
      <c r="C133" s="50" t="str">
        <f aca="false">04_Monthly_2026_2027!O28</f>
        <v>미확인</v>
      </c>
      <c r="D133" s="55" t="str">
        <f aca="false">04_Monthly_2026_2027!S28</f>
        <v>미확인</v>
      </c>
      <c r="E133" s="66" t="n">
        <f aca="false">04_Monthly_2026_2027!T28</f>
        <v>1893.33333333333</v>
      </c>
      <c r="F133" s="66" t="n">
        <f aca="false">04_Monthly_2026_2027!U28</f>
        <v>580</v>
      </c>
      <c r="G133" s="66" t="n">
        <f aca="false">04_Monthly_2026_2027!V28</f>
        <v>840</v>
      </c>
      <c r="H133" s="66" t="n">
        <f aca="false">04_Monthly_2026_2027!W28</f>
        <v>3313.33333333333</v>
      </c>
      <c r="I133" s="55" t="str">
        <f aca="false">04_Monthly_2026_2027!AH28</f>
        <v>미확인</v>
      </c>
      <c r="J133" s="55" t="str">
        <f aca="false">04_Monthly_2026_2027!AI28</f>
        <v>보류</v>
      </c>
      <c r="K133" s="50" t="str">
        <f aca="false">04_Monthly_2026_2027!L28</f>
        <v/>
      </c>
      <c r="L133" s="50" t="str">
        <f aca="false">04_Monthly_2026_2027!M28</f>
        <v/>
      </c>
      <c r="M133" s="55" t="str">
        <f aca="false">04_Monthly_2026_2027!AQ28</f>
        <v>보류</v>
      </c>
      <c r="N133" s="51" t="str">
        <f aca="false">04_Monthly_2026_2027!AU28</f>
        <v>보류 (생산 조건 미확인)</v>
      </c>
    </row>
    <row r="134" customFormat="false" ht="15" hidden="false" customHeight="false" outlineLevel="0" collapsed="false">
      <c r="A134" s="76" t="n">
        <f aca="false">04_Monthly_2026_2027!A29</f>
        <v>46722</v>
      </c>
      <c r="B134" s="51" t="str">
        <f aca="false">04_Monthly_2026_2027!D29</f>
        <v>리플럭스 적용</v>
      </c>
      <c r="C134" s="50" t="str">
        <f aca="false">04_Monthly_2026_2027!O29</f>
        <v>미확인</v>
      </c>
      <c r="D134" s="55" t="str">
        <f aca="false">04_Monthly_2026_2027!S29</f>
        <v>미확인</v>
      </c>
      <c r="E134" s="66" t="n">
        <f aca="false">04_Monthly_2026_2027!T29</f>
        <v>1893.33333333333</v>
      </c>
      <c r="F134" s="66" t="n">
        <f aca="false">04_Monthly_2026_2027!U29</f>
        <v>580</v>
      </c>
      <c r="G134" s="66" t="n">
        <f aca="false">04_Monthly_2026_2027!V29</f>
        <v>840</v>
      </c>
      <c r="H134" s="66" t="n">
        <f aca="false">04_Monthly_2026_2027!W29</f>
        <v>3313.33333333333</v>
      </c>
      <c r="I134" s="55" t="str">
        <f aca="false">04_Monthly_2026_2027!AH29</f>
        <v>미확인</v>
      </c>
      <c r="J134" s="55" t="str">
        <f aca="false">04_Monthly_2026_2027!AI29</f>
        <v>보류</v>
      </c>
      <c r="K134" s="50" t="str">
        <f aca="false">04_Monthly_2026_2027!L29</f>
        <v/>
      </c>
      <c r="L134" s="50" t="str">
        <f aca="false">04_Monthly_2026_2027!M29</f>
        <v/>
      </c>
      <c r="M134" s="55" t="str">
        <f aca="false">04_Monthly_2026_2027!AQ29</f>
        <v>보류</v>
      </c>
      <c r="N134" s="51" t="str">
        <f aca="false">04_Monthly_2026_2027!AU29</f>
        <v>보류 (생산 조건 미확인)</v>
      </c>
    </row>
    <row r="136" customFormat="false" ht="15" hidden="false" customHeight="false" outlineLevel="0" collapsed="false">
      <c r="A136" s="67" t="s">
        <v>886</v>
      </c>
    </row>
    <row r="137" customFormat="false" ht="30" hidden="false" customHeight="true" outlineLevel="0" collapsed="false">
      <c r="A137" s="10" t="s">
        <v>887</v>
      </c>
      <c r="B137" s="10" t="s">
        <v>888</v>
      </c>
      <c r="C137" s="10" t="s">
        <v>889</v>
      </c>
      <c r="D137" s="10" t="s">
        <v>890</v>
      </c>
    </row>
    <row r="138" customFormat="false" ht="15" hidden="false" customHeight="false" outlineLevel="0" collapsed="false">
      <c r="A138" s="8" t="s">
        <v>891</v>
      </c>
      <c r="B138" s="50" t="n">
        <f aca="false">02_Batch_Raw!O71</f>
        <v>1</v>
      </c>
      <c r="C138" s="15" t="n">
        <v>24</v>
      </c>
      <c r="D138" s="8" t="s">
        <v>892</v>
      </c>
    </row>
    <row r="139" customFormat="false" ht="15" hidden="false" customHeight="false" outlineLevel="0" collapsed="false">
      <c r="A139" s="8" t="s">
        <v>893</v>
      </c>
      <c r="B139" s="50" t="n">
        <f aca="false">02_Batch_Raw!P71</f>
        <v>11</v>
      </c>
      <c r="C139" s="15" t="n">
        <v>48</v>
      </c>
      <c r="D139" s="8" t="s">
        <v>894</v>
      </c>
    </row>
    <row r="140" customFormat="false" ht="15" hidden="false" customHeight="false" outlineLevel="0" collapsed="false">
      <c r="A140" s="8" t="s">
        <v>895</v>
      </c>
      <c r="B140" s="50" t="n">
        <f aca="false">02_Batch_Raw!Q71</f>
        <v>39</v>
      </c>
      <c r="C140" s="15" t="n">
        <v>72</v>
      </c>
      <c r="D140" s="8" t="s">
        <v>896</v>
      </c>
    </row>
    <row r="141" customFormat="false" ht="15" hidden="false" customHeight="false" outlineLevel="0" collapsed="false">
      <c r="A141" s="8" t="s">
        <v>897</v>
      </c>
      <c r="B141" s="50" t="n">
        <f aca="false">02_Batch_Raw!R71</f>
        <v>1</v>
      </c>
      <c r="C141" s="15" t="n">
        <v>96</v>
      </c>
      <c r="D141" s="8" t="s">
        <v>898</v>
      </c>
    </row>
    <row r="142" customFormat="false" ht="15" hidden="false" customHeight="false" outlineLevel="0" collapsed="false">
      <c r="A142" s="8" t="s">
        <v>899</v>
      </c>
      <c r="B142" s="50" t="n">
        <f aca="false">02_Batch_Raw!S71</f>
        <v>1</v>
      </c>
      <c r="C142" s="15" t="n">
        <v>120</v>
      </c>
      <c r="D142" s="8" t="s">
        <v>900</v>
      </c>
    </row>
    <row r="143" customFormat="false" ht="15" hidden="false" customHeight="false" outlineLevel="0" collapsed="false">
      <c r="A143" s="8" t="s">
        <v>901</v>
      </c>
      <c r="B143" s="50" t="n">
        <f aca="false">02_Batch_Raw!T71</f>
        <v>0</v>
      </c>
      <c r="C143" s="15" t="s">
        <v>902</v>
      </c>
      <c r="D143" s="8" t="s">
        <v>903</v>
      </c>
    </row>
    <row r="147" customFormat="false" ht="15" hidden="false" customHeight="false" outlineLevel="0" collapsed="false">
      <c r="A147" s="67" t="s">
        <v>904</v>
      </c>
    </row>
    <row r="148" customFormat="false" ht="15" hidden="false" customHeight="false" outlineLevel="0" collapsed="false">
      <c r="A148" s="13" t="s">
        <v>685</v>
      </c>
      <c r="B148" s="51" t="str">
        <f aca="false">TEXT(01_Inputs!$B$52,"yyyy.m")&amp;" ~ "&amp;TEXT(01_Inputs!$B$53,"yyyy.m")</f>
        <v>2027.2 ~ 2027.5</v>
      </c>
      <c r="C148" s="51"/>
      <c r="D148" s="51"/>
      <c r="E148" s="51"/>
    </row>
    <row r="149" customFormat="false" ht="15" hidden="false" customHeight="false" outlineLevel="0" collapsed="false">
      <c r="A149" s="13" t="s">
        <v>688</v>
      </c>
      <c r="B149" s="51" t="str">
        <f aca="false">TEXT(01_Inputs!$B$54,"yyyy.m")</f>
        <v>2027.6</v>
      </c>
      <c r="C149" s="51"/>
      <c r="D149" s="51"/>
      <c r="E149" s="51"/>
    </row>
    <row r="150" customFormat="false" ht="15" hidden="false" customHeight="false" outlineLevel="0" collapsed="false">
      <c r="A150" s="13" t="s">
        <v>152</v>
      </c>
      <c r="B150" s="51" t="str">
        <f aca="false">TEXT(01_Inputs!$B$55,"yyyy.m")</f>
        <v>2027.7</v>
      </c>
      <c r="C150" s="51"/>
      <c r="D150" s="51"/>
      <c r="E150" s="51"/>
    </row>
    <row r="151" customFormat="false" ht="15" hidden="false" customHeight="false" outlineLevel="0" collapsed="false">
      <c r="A151" s="13" t="s">
        <v>692</v>
      </c>
      <c r="B151" s="51" t="str">
        <f aca="false">TEXT(01_Inputs!$B$55,"yyyy.m")&amp;" ~ "&amp;TEXT(01_Inputs!$B$56,"yyyy.m")</f>
        <v>2027.7 ~ 2028.6</v>
      </c>
      <c r="C151" s="51"/>
      <c r="D151" s="51"/>
      <c r="E151" s="51"/>
    </row>
    <row r="152" customFormat="false" ht="15" hidden="false" customHeight="false" outlineLevel="0" collapsed="false">
      <c r="A152" s="8" t="s">
        <v>905</v>
      </c>
      <c r="B152" s="51" t="str">
        <f aca="false">TEXT(01_Inputs!$B$51,"yyyy.m")</f>
        <v>2027.1</v>
      </c>
      <c r="C152" s="51"/>
      <c r="D152" s="51"/>
      <c r="E152" s="51"/>
    </row>
    <row r="153" customFormat="false" ht="15" hidden="false" customHeight="false" outlineLevel="0" collapsed="false">
      <c r="A153" s="8" t="s">
        <v>906</v>
      </c>
      <c r="B153" s="51" t="str">
        <f aca="false">01_Inputs!$B$38&amp;" → "&amp;01_Inputs!$B$40&amp;" → ("&amp;01_Inputs!$B$42&amp;")"</f>
        <v>26.2 → 47.2 → (50.2)</v>
      </c>
      <c r="C153" s="51"/>
      <c r="D153" s="51"/>
      <c r="E153" s="51"/>
    </row>
    <row r="155" customFormat="false" ht="15" hidden="false" customHeight="false" outlineLevel="0" collapsed="false">
      <c r="A155" s="67" t="s">
        <v>907</v>
      </c>
    </row>
    <row r="156" customFormat="false" ht="30" hidden="false" customHeight="true" outlineLevel="0" collapsed="false">
      <c r="A156" s="10" t="s">
        <v>908</v>
      </c>
      <c r="B156" s="10" t="s">
        <v>909</v>
      </c>
      <c r="C156" s="10" t="s">
        <v>910</v>
      </c>
    </row>
    <row r="157" customFormat="false" ht="26.85" hidden="false" customHeight="false" outlineLevel="0" collapsed="false">
      <c r="A157" s="8" t="s">
        <v>911</v>
      </c>
      <c r="B157" s="13" t="s">
        <v>912</v>
      </c>
      <c r="C157" s="13" t="s">
        <v>913</v>
      </c>
    </row>
    <row r="158" customFormat="false" ht="26.85" hidden="false" customHeight="false" outlineLevel="0" collapsed="false">
      <c r="A158" s="13" t="s">
        <v>914</v>
      </c>
      <c r="B158" s="13" t="s">
        <v>912</v>
      </c>
      <c r="C158" s="13" t="s">
        <v>915</v>
      </c>
    </row>
    <row r="159" customFormat="false" ht="26.85" hidden="false" customHeight="false" outlineLevel="0" collapsed="false">
      <c r="A159" s="13" t="s">
        <v>916</v>
      </c>
      <c r="B159" s="13" t="s">
        <v>912</v>
      </c>
      <c r="C159" s="13" t="s">
        <v>917</v>
      </c>
    </row>
    <row r="160" customFormat="false" ht="15" hidden="false" customHeight="false" outlineLevel="0" collapsed="false">
      <c r="A160" s="8" t="s">
        <v>918</v>
      </c>
      <c r="B160" s="13" t="s">
        <v>919</v>
      </c>
      <c r="C160" s="13" t="s">
        <v>920</v>
      </c>
    </row>
    <row r="161" customFormat="false" ht="15" hidden="false" customHeight="false" outlineLevel="0" collapsed="false">
      <c r="A161" s="8" t="s">
        <v>921</v>
      </c>
      <c r="B161" s="13" t="s">
        <v>922</v>
      </c>
      <c r="C161" s="13" t="s">
        <v>923</v>
      </c>
    </row>
    <row r="162" customFormat="false" ht="26.85" hidden="false" customHeight="false" outlineLevel="0" collapsed="false">
      <c r="A162" s="13" t="s">
        <v>924</v>
      </c>
      <c r="B162" s="13" t="s">
        <v>912</v>
      </c>
      <c r="C162" s="13" t="s">
        <v>925</v>
      </c>
    </row>
    <row r="163" customFormat="false" ht="26.85" hidden="false" customHeight="false" outlineLevel="0" collapsed="false">
      <c r="A163" s="13" t="s">
        <v>926</v>
      </c>
      <c r="B163" s="13" t="s">
        <v>927</v>
      </c>
      <c r="C163" s="8" t="s">
        <v>928</v>
      </c>
    </row>
    <row r="164" customFormat="false" ht="26.85" hidden="false" customHeight="false" outlineLevel="0" collapsed="false">
      <c r="A164" s="13" t="s">
        <v>929</v>
      </c>
      <c r="B164" s="13" t="s">
        <v>930</v>
      </c>
      <c r="C164" s="8" t="s">
        <v>931</v>
      </c>
    </row>
    <row r="165" customFormat="false" ht="15" hidden="false" customHeight="false" outlineLevel="0" collapsed="false">
      <c r="A165" s="13" t="s">
        <v>932</v>
      </c>
      <c r="B165" s="13" t="s">
        <v>933</v>
      </c>
      <c r="C165" s="13" t="s">
        <v>934</v>
      </c>
    </row>
    <row r="166" customFormat="false" ht="15" hidden="false" customHeight="false" outlineLevel="0" collapsed="false">
      <c r="A166" s="8" t="s">
        <v>935</v>
      </c>
      <c r="B166" s="13" t="s">
        <v>936</v>
      </c>
      <c r="C166" s="8" t="s">
        <v>937</v>
      </c>
    </row>
    <row r="167" customFormat="false" ht="15" hidden="false" customHeight="false" outlineLevel="0" collapsed="false">
      <c r="A167" s="8" t="s">
        <v>938</v>
      </c>
      <c r="B167" s="13" t="s">
        <v>939</v>
      </c>
      <c r="C167" s="8" t="s">
        <v>940</v>
      </c>
    </row>
    <row r="168" customFormat="false" ht="15" hidden="false" customHeight="false" outlineLevel="0" collapsed="false">
      <c r="A168" s="8" t="s">
        <v>941</v>
      </c>
      <c r="B168" s="13" t="s">
        <v>942</v>
      </c>
      <c r="C168" s="8" t="s">
        <v>943</v>
      </c>
    </row>
  </sheetData>
  <mergeCells count="6">
    <mergeCell ref="B148:E148"/>
    <mergeCell ref="B149:E149"/>
    <mergeCell ref="B150:E150"/>
    <mergeCell ref="B151:E151"/>
    <mergeCell ref="B152:E152"/>
    <mergeCell ref="B153:E153"/>
  </mergeCells>
  <conditionalFormatting sqref="I111:J134">
    <cfRule type="cellIs" priority="2" operator="lessThan" aboveAverage="0" equalAverage="0" bottom="0" percent="0" rank="0" text="" dxfId="2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2026-09-30T11:25:03Z</dcterms:created>
  <dc:creator>openpyxl</dc:creator>
  <dc:description/>
  <dc:language>en-US</dc:language>
  <cp:lastModifiedBy/>
  <dcterms:modified xsi:type="dcterms:W3CDTF">2026-09-30T11:25:06Z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