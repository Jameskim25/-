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입력" sheetId="1" state="visible" r:id="rId1"/>
    <sheet xmlns:r="http://schemas.openxmlformats.org/officeDocument/2006/relationships" name="02_공정시간" sheetId="2" state="visible" r:id="rId2"/>
    <sheet xmlns:r="http://schemas.openxmlformats.org/officeDocument/2006/relationships" name="03_Batch주기" sheetId="3" state="visible" r:id="rId3"/>
    <sheet xmlns:r="http://schemas.openxmlformats.org/officeDocument/2006/relationships" name="04_Capa기준" sheetId="4" state="visible" r:id="rId4"/>
    <sheet xmlns:r="http://schemas.openxmlformats.org/officeDocument/2006/relationships" name="05_Case1" sheetId="5" state="visible" r:id="rId5"/>
    <sheet xmlns:r="http://schemas.openxmlformats.org/officeDocument/2006/relationships" name="06_Case2" sheetId="6" state="visible" r:id="rId6"/>
    <sheet xmlns:r="http://schemas.openxmlformats.org/officeDocument/2006/relationships" name="07_Case3" sheetId="7" state="visible" r:id="rId7"/>
    <sheet xmlns:r="http://schemas.openxmlformats.org/officeDocument/2006/relationships" name="08_Case비교" sheetId="8" state="visible" r:id="rId8"/>
    <sheet xmlns:r="http://schemas.openxmlformats.org/officeDocument/2006/relationships" name="09_후공정부하" sheetId="9" state="visible" r:id="rId9"/>
    <sheet xmlns:r="http://schemas.openxmlformats.org/officeDocument/2006/relationships" name="10_확인사항" sheetId="10" state="visible" r:id="rId10"/>
    <sheet xmlns:r="http://schemas.openxmlformats.org/officeDocument/2006/relationships" name="11_과거Batch_참고" sheetId="11" state="visible" r:id="rId11"/>
  </sheets>
  <definedNames>
    <definedName name="T_57">'01_입력'!$C$8</definedName>
    <definedName name="T_IQC">'01_입력'!$C$9</definedName>
    <definedName name="T_PREP">'01_입력'!$C$10</definedName>
    <definedName name="T_PQC">'01_입력'!$C$11</definedName>
    <definedName name="T_FQC">'01_입력'!$C$12</definedName>
    <definedName name="T_REF">'01_입력'!$C$13</definedName>
    <definedName name="N_NOW">'01_입력'!$C$17</definedName>
    <definedName name="N_NEW">'01_입력'!$C$18</definedName>
    <definedName name="MH">'01_입력'!$C$19</definedName>
    <definedName name="MAX_B">'01_입력'!$C$20</definedName>
    <definedName name="OFFSET_H">'01_입력'!$C$21</definedName>
    <definedName name="TOBE_M">'01_입력'!$C$22</definedName>
    <definedName name="OCC_ADD">'01_입력'!$C$23</definedName>
    <definedName name="INT_NEXT">'01_입력'!$C$24</definedName>
    <definedName name="T_WAIT">'01_입력'!$C$25</definedName>
    <definedName name="T_MIX">'01_입력'!$C$26</definedName>
    <definedName name="FILL_5G">'01_입력'!$C$30</definedName>
    <definedName name="BOT_B">'01_입력'!$C$31</definedName>
    <definedName name="KG_BOT">'01_입력'!$C$32</definedName>
    <definedName name="OQC_5G">'01_입력'!$C$33</definedName>
    <definedName name="KG_EZ">'01_입력'!$C$34</definedName>
    <definedName name="FILL_EZ">'01_입력'!$C$35</definedName>
    <definedName name="KG_HS">'01_입력'!$C$36</definedName>
    <definedName name="FILL_HS">'01_입력'!$C$37</definedName>
    <definedName name="OQC_200">'01_입력'!$C$38</definedName>
    <definedName name="ARS_EZ_S">'01_입력'!$C$39</definedName>
    <definedName name="ARS_HS_S">'01_입력'!$C$40</definedName>
    <definedName name="ARS_EZ_T">'01_입력'!$C$41</definedName>
    <definedName name="ARS_HS_T">'01_입력'!$C$42</definedName>
    <definedName name="SH_START">'01_입력'!$C$43</definedName>
    <definedName name="SH_END">'01_입력'!$C$44</definedName>
    <definedName name="SH_LUNCH">'01_입력'!$C$45</definedName>
    <definedName name="WH_DAY">'01_입력'!$C$46</definedName>
    <definedName name="WD_MON">'01_입력'!$C$47</definedName>
    <definedName name="FILL_5G_EL">'01_입력'!$C$48</definedName>
    <definedName name="B_SIZE">'01_입력'!$C$62</definedName>
    <definedName name="B_YIELD">'01_입력'!$C$63</definedName>
    <definedName name="KG_B">'01_입력'!$C$64</definedName>
    <definedName name="B_TIME">'01_입력'!$C$65</definedName>
    <definedName name="UNIT_RM">'01_입력'!$C$66</definedName>
    <definedName name="MB_ONE">'01_입력'!$C$67</definedName>
    <definedName name="MB_TWO">'01_입력'!$C$68</definedName>
    <definedName name="MB_MAINT">'01_입력'!$C$69</definedName>
    <definedName name="CAPA_NOW">'01_입력'!$C$73</definedName>
    <definedName name="CAPA_ADD">'01_입력'!$C$74</definedName>
    <definedName name="CAPA_RF">'01_입력'!$C$75</definedName>
    <definedName name="CAPA_TWO">'01_입력'!$C$76</definedName>
    <definedName name="PL_B">'03_Batch주기'!$C$19</definedName>
    <definedName name="PL_KG">'03_Batch주기'!$C$20</definedName>
    <definedName name="CYC_ASIS">'03_Batch주기'!$C$21</definedName>
    <definedName name="PL_D3">'03_Batch주기'!$C$23</definedName>
    <definedName name="PL_D2">'03_Batch주기'!$C$24</definedName>
    <definedName name="WAIT_ASIS">'03_Batch주기'!$D$29</definedName>
    <definedName name="LT_5G">'03_Batch주기'!$E$30</definedName>
    <definedName name="LT_2L">'03_Batch주기'!$E$31</definedName>
    <definedName name="INT_RF">'03_Batch주기'!$C$56</definedName>
    <definedName name="WAIT_RF">'03_Batch주기'!$C$57</definedName>
    <definedName name="TOBE_H">'03_Batch주기'!$D$59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yyyy-mm-dd"/>
    <numFmt numFmtId="166" formatCode="0.0%"/>
    <numFmt numFmtId="167" formatCode="#,##0.0;[Red]-#,##0.0;&quot;-&quot;"/>
    <numFmt numFmtId="168" formatCode="0.000"/>
    <numFmt numFmtId="169" formatCode="#,##0;[Red]-#,##0;&quot;-&quot;"/>
    <numFmt numFmtId="170" formatCode="0.0"/>
    <numFmt numFmtId="171" formatCode="m&quot;월&quot;"/>
    <numFmt numFmtId="172" formatCode="+#,##0;[Red]-#,##0;0"/>
    <numFmt numFmtId="173" formatCode="0.0&quot;개월&quot;"/>
    <numFmt numFmtId="174" formatCode="yy&quot;.&quot;m"/>
  </numFmts>
  <fonts count="9">
    <font>
      <name val="Calibri"/>
      <family val="2"/>
      <color theme="1"/>
      <sz val="11"/>
      <scheme val="minor"/>
    </font>
    <font>
      <name val="맑은 고딕"/>
      <b val="1"/>
      <color rgb="00EB002C"/>
      <sz val="14"/>
    </font>
    <font>
      <name val="맑은 고딕"/>
      <color rgb="00808080"/>
      <sz val="9"/>
    </font>
    <font>
      <name val="맑은 고딕"/>
      <b val="1"/>
      <color rgb="000000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EB002C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DE9E7"/>
      </patternFill>
    </fill>
    <fill>
      <patternFill patternType="solid">
        <fgColor rgb="00404040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166" fontId="3" fillId="2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8" fontId="3" fillId="2" borderId="1" applyAlignment="1" pivotButton="0" quotePrefix="0" xfId="0">
      <alignment horizontal="center" vertical="center"/>
    </xf>
    <xf numFmtId="2" fontId="3" fillId="2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7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5" fillId="0" borderId="0" pivotButton="0" quotePrefix="0" xfId="0"/>
    <xf numFmtId="0" fontId="8" fillId="0" borderId="0" pivotButton="0" quotePrefix="0" xfId="0"/>
    <xf numFmtId="171" fontId="7" fillId="5" borderId="1" applyAlignment="1" pivotButton="0" quotePrefix="0" xfId="0">
      <alignment horizontal="center" vertical="center"/>
    </xf>
    <xf numFmtId="169" fontId="3" fillId="2" borderId="1" applyAlignment="1" pivotButton="0" quotePrefix="0" xfId="0">
      <alignment horizontal="center" vertical="center"/>
    </xf>
    <xf numFmtId="172" fontId="4" fillId="0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3" fontId="3" fillId="2" borderId="1" applyAlignment="1" pivotButton="0" quotePrefix="0" xfId="0">
      <alignment horizontal="center" vertical="center"/>
    </xf>
    <xf numFmtId="173" fontId="4" fillId="0" borderId="1" applyAlignment="1" pivotButton="0" quotePrefix="0" xfId="0">
      <alignment horizontal="center" vertical="center"/>
    </xf>
    <xf numFmtId="174" fontId="4" fillId="0" borderId="1" applyAlignment="1" pivotButton="0" quotePrefix="0" xfId="0">
      <alignment horizontal="center" vertical="center"/>
    </xf>
    <xf numFmtId="174" fontId="7" fillId="5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9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C00000"/>
      </font>
      <fill>
        <patternFill patternType="solid">
          <fgColor rgb="00FFC7CE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B1:M9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0" customWidth="1" min="4" max="4"/>
    <col width="58" customWidth="1" min="5" max="5"/>
  </cols>
  <sheetData>
    <row r="1">
      <c r="B1" s="1" t="inlineStr">
        <is>
          <t>01_입력 | 모든 기준값 (이 시트만 수정)</t>
        </is>
      </c>
    </row>
    <row r="2">
      <c r="B2" s="2" t="inlineStr">
        <is>
          <t>파란 글자 = 입력 · 노란 칸 = 확인 후 입력 · 검정 = 자동 계산. 다른 시트는 모두 이 시트를 참조합니다.</t>
        </is>
      </c>
    </row>
    <row r="3">
      <c r="F3" s="3" t="inlineStr"/>
      <c r="G3" s="2" t="inlineStr">
        <is>
          <t>입력</t>
        </is>
      </c>
      <c r="H3" s="4" t="inlineStr"/>
      <c r="I3" s="2" t="inlineStr">
        <is>
          <t>확인 후 입력</t>
        </is>
      </c>
      <c r="J3" s="5" t="inlineStr"/>
      <c r="K3" s="2" t="inlineStr">
        <is>
          <t>자동 계산</t>
        </is>
      </c>
      <c r="L3" s="6" t="inlineStr"/>
      <c r="M3" s="2" t="inlineStr">
        <is>
          <t>주요 결과</t>
        </is>
      </c>
    </row>
    <row r="6" ht="20" customHeight="1">
      <c r="B6" s="7" t="inlineStr">
        <is>
          <t>A. 공정시간 (IQC~FQC 57 h 구성)</t>
        </is>
      </c>
    </row>
    <row r="7">
      <c r="B7" s="8" t="inlineStr">
        <is>
          <t>항목</t>
        </is>
      </c>
      <c r="C7" s="9" t="inlineStr">
        <is>
          <t>값</t>
        </is>
      </c>
      <c r="D7" s="9" t="inlineStr">
        <is>
          <t>단위</t>
        </is>
      </c>
      <c r="E7" s="8" t="inlineStr">
        <is>
          <t>설명</t>
        </is>
      </c>
    </row>
    <row r="8">
      <c r="B8" s="10" t="inlineStr">
        <is>
          <t>IQC~FQC 합계 (현재 보고 기준)</t>
        </is>
      </c>
      <c r="C8" s="11" t="n">
        <v>57</v>
      </c>
      <c r="D8" s="5" t="inlineStr">
        <is>
          <t>h/Batch</t>
        </is>
      </c>
      <c r="E8" s="12" t="inlineStr">
        <is>
          <t>충진·OQC 미포함</t>
        </is>
      </c>
    </row>
    <row r="9">
      <c r="B9" s="10" t="inlineStr">
        <is>
          <t>수입검사 IQC</t>
        </is>
      </c>
      <c r="C9" s="11" t="n">
        <v>2</v>
      </c>
      <c r="D9" s="5" t="inlineStr">
        <is>
          <t>h</t>
        </is>
      </c>
      <c r="E9" s="12" t="inlineStr">
        <is>
          <t>원료 Lot 단위 — 여러 Batch 공통이면 Batch마다 중복 배정 안 함</t>
        </is>
      </c>
    </row>
    <row r="10">
      <c r="B10" s="10" t="inlineStr">
        <is>
          <t>준비·투입</t>
        </is>
      </c>
      <c r="C10" s="11" t="n">
        <v>2</v>
      </c>
      <c r="D10" s="5" t="inlineStr">
        <is>
          <t>h</t>
        </is>
      </c>
      <c r="E10" s="12" t="inlineStr"/>
    </row>
    <row r="11">
      <c r="B11" s="10" t="inlineStr">
        <is>
          <t>공정검사 PQC ~ 제품 이송 (합계)</t>
        </is>
      </c>
      <c r="C11" s="11" t="n">
        <v>6</v>
      </c>
      <c r="D11" s="5" t="inlineStr">
        <is>
          <t>h</t>
        </is>
      </c>
      <c r="E11" s="12" t="inlineStr">
        <is>
          <t>두 공정 합계 6 h (각각 6 h 아님)</t>
        </is>
      </c>
    </row>
    <row r="12">
      <c r="B12" s="10" t="inlineStr">
        <is>
          <t>제품검사 FQC</t>
        </is>
      </c>
      <c r="C12" s="11" t="n">
        <v>2</v>
      </c>
      <c r="D12" s="5" t="inlineStr">
        <is>
          <t>h</t>
        </is>
      </c>
      <c r="E12" s="12" t="inlineStr"/>
    </row>
    <row r="13">
      <c r="B13" s="10" t="inlineStr">
        <is>
          <t>순수 정제 운전 (차감 계산)</t>
        </is>
      </c>
      <c r="C13" s="13">
        <f>T_57-T_IQC-T_PREP-T_PQC-T_FQC</f>
        <v>45</v>
      </c>
      <c r="D13" s="5" t="inlineStr">
        <is>
          <t>h</t>
        </is>
      </c>
      <c r="E13" s="12" t="inlineStr">
        <is>
          <t>57 − 2 − 2 − 6 − 2 = 45 h · 실측값 아님</t>
        </is>
      </c>
    </row>
    <row r="15" ht="20" customHeight="1">
      <c r="B15" s="7" t="inlineStr">
        <is>
          <t>B. 정제기 운전 · 점유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설명</t>
        </is>
      </c>
    </row>
    <row r="17">
      <c r="B17" s="10" t="inlineStr">
        <is>
          <t>현재 정제기 수</t>
        </is>
      </c>
      <c r="C17" s="14" t="n">
        <v>1</v>
      </c>
      <c r="D17" s="5" t="inlineStr">
        <is>
          <t>대</t>
        </is>
      </c>
      <c r="E17" s="12" t="inlineStr"/>
    </row>
    <row r="18">
      <c r="B18" s="10" t="inlineStr">
        <is>
          <t>리플럭스 이후 정제기 수</t>
        </is>
      </c>
      <c r="C18" s="14" t="n">
        <v>2</v>
      </c>
      <c r="D18" s="5" t="inlineStr">
        <is>
          <t>대</t>
        </is>
      </c>
      <c r="E18" s="12" t="inlineStr">
        <is>
          <t>투입 시점을 엇갈리게 병행 운전</t>
        </is>
      </c>
    </row>
    <row r="19">
      <c r="B19" s="10" t="inlineStr">
        <is>
          <t>월 비교 기준 시간</t>
        </is>
      </c>
      <c r="C19" s="14" t="n">
        <v>720</v>
      </c>
      <c r="D19" s="5" t="inlineStr">
        <is>
          <t>h</t>
        </is>
      </c>
      <c r="E19" s="12" t="inlineStr">
        <is>
          <t>30일 × 24 h</t>
        </is>
      </c>
    </row>
    <row r="20">
      <c r="B20" s="10" t="inlineStr">
        <is>
          <t>과거 월 최대 Batch (정제기 1대)</t>
        </is>
      </c>
      <c r="C20" s="14" t="n">
        <v>11</v>
      </c>
      <c r="D20" s="5" t="inlineStr">
        <is>
          <t>Batch/월</t>
        </is>
      </c>
      <c r="E20" s="12" t="inlineStr"/>
    </row>
    <row r="21">
      <c r="B21" s="10" t="inlineStr">
        <is>
          <t>정제기 2 투입 시차 (운전 예시용)</t>
        </is>
      </c>
      <c r="C21" s="11" t="n">
        <v>30</v>
      </c>
      <c r="D21" s="5" t="inlineStr">
        <is>
          <t>h</t>
        </is>
      </c>
      <c r="E21" s="12" t="inlineStr">
        <is>
          <t>투입 간격 미확정 — 초류 진행에 연계 (현장 설명)</t>
        </is>
      </c>
    </row>
    <row r="22">
      <c r="B22" s="10" t="inlineStr">
        <is>
          <t>정제기 2대 운영 예시 월</t>
        </is>
      </c>
      <c r="C22" s="15" t="n">
        <v>46569</v>
      </c>
      <c r="D22" s="5" t="inlineStr"/>
      <c r="E22" s="12" t="inlineStr">
        <is>
          <t>운영 마일스톤 달력</t>
        </is>
      </c>
    </row>
    <row r="23">
      <c r="B23" s="10" t="inlineStr">
        <is>
          <t>정제기 추가 점유 (배출·세척·전환)</t>
        </is>
      </c>
      <c r="C23" s="16" t="n"/>
      <c r="D23" s="5" t="inlineStr">
        <is>
          <t>h/Batch</t>
        </is>
      </c>
      <c r="E23" s="12" t="inlineStr">
        <is>
          <t>정제기 해제 시점 확인</t>
        </is>
      </c>
    </row>
    <row r="24">
      <c r="B24" s="10" t="inlineStr">
        <is>
          <t>다음 Batch 투입 간격 (실측)</t>
        </is>
      </c>
      <c r="C24" s="16" t="n"/>
      <c r="D24" s="5" t="inlineStr">
        <is>
          <t>h</t>
        </is>
      </c>
      <c r="E24" s="12" t="inlineStr">
        <is>
          <t>공란이면 운전 예시는 Capa. 역산값 사용</t>
        </is>
      </c>
    </row>
    <row r="25">
      <c r="B25" s="10" t="inlineStr">
        <is>
          <t>검사·승인 대기</t>
        </is>
      </c>
      <c r="C25" s="16" t="n"/>
      <c r="D25" s="5" t="inlineStr">
        <is>
          <t>h/Batch</t>
        </is>
      </c>
      <c r="E25" s="12" t="inlineStr"/>
    </row>
    <row r="26">
      <c r="B26" s="10" t="inlineStr">
        <is>
          <t>Mix·Premix 준비 (설비 사용)</t>
        </is>
      </c>
      <c r="C26" s="16" t="n"/>
      <c r="D26" s="5" t="inlineStr">
        <is>
          <t>h/Batch</t>
        </is>
      </c>
      <c r="E26" s="12" t="inlineStr">
        <is>
          <t>47.2톤이 현재의 2배가 아닌 이유 중 하나</t>
        </is>
      </c>
    </row>
    <row r="28" ht="20" customHeight="1">
      <c r="B28" s="7" t="inlineStr">
        <is>
          <t>C. 충진 · OQC</t>
        </is>
      </c>
    </row>
    <row r="29">
      <c r="B29" s="8" t="inlineStr">
        <is>
          <t>항목</t>
        </is>
      </c>
      <c r="C29" s="9" t="inlineStr">
        <is>
          <t>값</t>
        </is>
      </c>
      <c r="D29" s="9" t="inlineStr">
        <is>
          <t>단위</t>
        </is>
      </c>
      <c r="E29" s="8" t="inlineStr">
        <is>
          <t>설명</t>
        </is>
      </c>
    </row>
    <row r="30">
      <c r="B30" s="10" t="inlineStr">
        <is>
          <t>5 Gal 충진 (글로브 박스)</t>
        </is>
      </c>
      <c r="C30" s="11" t="n">
        <v>2</v>
      </c>
      <c r="D30" s="5" t="inlineStr">
        <is>
          <t>h/병</t>
        </is>
      </c>
      <c r="E30" s="12" t="inlineStr">
        <is>
          <t>하이닉스·CXMT</t>
        </is>
      </c>
    </row>
    <row r="31">
      <c r="B31" s="10" t="inlineStr">
        <is>
          <t>5 Gal 병 수 / Batch</t>
        </is>
      </c>
      <c r="C31" s="14" t="n">
        <v>9</v>
      </c>
      <c r="D31" s="5" t="inlineStr">
        <is>
          <t>병</t>
        </is>
      </c>
      <c r="E31" s="12" t="inlineStr">
        <is>
          <t>9병 × 20 kg = 180 kg</t>
        </is>
      </c>
    </row>
    <row r="32">
      <c r="B32" s="10" t="inlineStr">
        <is>
          <t>5 Gal 충진량</t>
        </is>
      </c>
      <c r="C32" s="14" t="n">
        <v>20</v>
      </c>
      <c r="D32" s="5" t="inlineStr">
        <is>
          <t>kg/병</t>
        </is>
      </c>
      <c r="E32" s="12" t="inlineStr"/>
    </row>
    <row r="33">
      <c r="B33" s="10" t="inlineStr">
        <is>
          <t>5 Gal OQC·출하 작업</t>
        </is>
      </c>
      <c r="C33" s="11" t="n">
        <v>2</v>
      </c>
      <c r="D33" s="5" t="inlineStr">
        <is>
          <t>h/9병</t>
        </is>
      </c>
      <c r="E33" s="12" t="inlineStr"/>
    </row>
    <row r="34">
      <c r="B34" s="10" t="inlineStr">
        <is>
          <t>이지켐 200 L 충진량</t>
        </is>
      </c>
      <c r="C34" s="14" t="n">
        <v>140</v>
      </c>
      <c r="D34" s="5" t="inlineStr">
        <is>
          <t>kg/용기</t>
        </is>
      </c>
      <c r="E34" s="12" t="inlineStr"/>
    </row>
    <row r="35">
      <c r="B35" s="10" t="inlineStr">
        <is>
          <t>이지켐 200 L 수동 충진</t>
        </is>
      </c>
      <c r="C35" s="11" t="n">
        <v>8</v>
      </c>
      <c r="D35" s="5" t="inlineStr">
        <is>
          <t>h/용기</t>
        </is>
      </c>
      <c r="E35" s="12" t="inlineStr"/>
    </row>
    <row r="36">
      <c r="B36" s="10" t="inlineStr">
        <is>
          <t>한솔 200 L 충진량</t>
        </is>
      </c>
      <c r="C36" s="14" t="n">
        <v>150</v>
      </c>
      <c r="D36" s="5" t="inlineStr">
        <is>
          <t>kg/용기</t>
        </is>
      </c>
      <c r="E36" s="12" t="inlineStr"/>
    </row>
    <row r="37">
      <c r="B37" s="10" t="inlineStr">
        <is>
          <t>한솔 200 L 수동 충진</t>
        </is>
      </c>
      <c r="C37" s="11" t="n">
        <v>8</v>
      </c>
      <c r="D37" s="5" t="inlineStr">
        <is>
          <t>h/용기</t>
        </is>
      </c>
      <c r="E37" s="12" t="inlineStr"/>
    </row>
    <row r="38">
      <c r="B38" s="10" t="inlineStr">
        <is>
          <t>200 L OQC·출하 작업</t>
        </is>
      </c>
      <c r="C38" s="11" t="n">
        <v>2</v>
      </c>
      <c r="D38" s="5" t="inlineStr">
        <is>
          <t>h/용기</t>
        </is>
      </c>
      <c r="E38" s="12" t="inlineStr"/>
    </row>
    <row r="39">
      <c r="B39" s="10" t="inlineStr">
        <is>
          <t>이지켐 ARS 시작</t>
        </is>
      </c>
      <c r="C39" s="15" t="n">
        <v>46569</v>
      </c>
      <c r="D39" s="5" t="inlineStr"/>
      <c r="E39" s="12" t="inlineStr"/>
    </row>
    <row r="40">
      <c r="B40" s="10" t="inlineStr">
        <is>
          <t>한솔 ARS 시작</t>
        </is>
      </c>
      <c r="C40" s="15" t="n">
        <v>46569</v>
      </c>
      <c r="D40" s="5" t="inlineStr"/>
      <c r="E40" s="12" t="inlineStr">
        <is>
          <t>'27.1~6 수동</t>
        </is>
      </c>
    </row>
    <row r="41">
      <c r="B41" s="10" t="inlineStr">
        <is>
          <t>이지켐 ARS 충진 (아래 단계 합계)</t>
        </is>
      </c>
      <c r="C41" s="17">
        <f>IF(COUNT(C51:C56)=0,"",SUM(C51:C56))</f>
      </c>
      <c r="D41" s="5" t="inlineStr">
        <is>
          <t>h/용기</t>
        </is>
      </c>
      <c r="E41" s="12" t="inlineStr">
        <is>
          <t>공란이면 수동 8 h로 계산</t>
        </is>
      </c>
    </row>
    <row r="42">
      <c r="B42" s="10" t="inlineStr">
        <is>
          <t>한솔 ARS 충진 (아래 단계 합계)</t>
        </is>
      </c>
      <c r="C42" s="17">
        <f>IF(COUNT(D51:D56)=0,"",SUM(D51:D56))</f>
      </c>
      <c r="D42" s="5" t="inlineStr">
        <is>
          <t>h/용기</t>
        </is>
      </c>
      <c r="E42" s="12" t="inlineStr">
        <is>
          <t>공란이면 수동 8 h로 계산</t>
        </is>
      </c>
    </row>
    <row r="43">
      <c r="B43" s="10" t="inlineStr">
        <is>
          <t>충진 근무 시작 (상근조)</t>
        </is>
      </c>
      <c r="C43" s="14" t="n">
        <v>8</v>
      </c>
      <c r="D43" s="5" t="inlineStr">
        <is>
          <t>시</t>
        </is>
      </c>
      <c r="E43" s="12" t="inlineStr">
        <is>
          <t>충진은 보통 상근조만 진행</t>
        </is>
      </c>
    </row>
    <row r="44">
      <c r="B44" s="10" t="inlineStr">
        <is>
          <t>충진 근무 종료 (상근조)</t>
        </is>
      </c>
      <c r="C44" s="14" t="n">
        <v>17</v>
      </c>
      <c r="D44" s="5" t="inlineStr">
        <is>
          <t>시</t>
        </is>
      </c>
      <c r="E44" s="12" t="inlineStr"/>
    </row>
    <row r="45">
      <c r="B45" s="10" t="inlineStr">
        <is>
          <t>점심시간 (12:00~13:00)</t>
        </is>
      </c>
      <c r="C45" s="11" t="n">
        <v>1</v>
      </c>
      <c r="D45" s="5" t="inlineStr">
        <is>
          <t>h</t>
        </is>
      </c>
      <c r="E45" s="12" t="inlineStr">
        <is>
          <t>근무시간에서 제외</t>
        </is>
      </c>
    </row>
    <row r="46">
      <c r="B46" s="10" t="inlineStr">
        <is>
          <t>충진 근무시간 (상근조)</t>
        </is>
      </c>
      <c r="C46" s="17">
        <f>SH_END-SH_START-SH_LUNCH</f>
        <v>8</v>
      </c>
      <c r="D46" s="5" t="inlineStr">
        <is>
          <t>h/일</t>
        </is>
      </c>
      <c r="E46" s="12" t="inlineStr">
        <is>
          <t>08:00~17:00 − 점심 1 h = 8 h/일</t>
        </is>
      </c>
    </row>
    <row r="47">
      <c r="B47" s="10" t="inlineStr">
        <is>
          <t>월 근무일</t>
        </is>
      </c>
      <c r="C47" s="14" t="n">
        <v>22</v>
      </c>
      <c r="D47" s="5" t="inlineStr">
        <is>
          <t>일/월</t>
        </is>
      </c>
      <c r="E47" s="12" t="inlineStr"/>
    </row>
    <row r="48">
      <c r="B48" s="10" t="inlineStr">
        <is>
          <t>5 Gal 9병 충진 경과 (상근조 기준)</t>
        </is>
      </c>
      <c r="C48" s="11" t="n">
        <v>48</v>
      </c>
      <c r="D48" s="5" t="inlineStr">
        <is>
          <t>h</t>
        </is>
      </c>
      <c r="E48" s="12" t="inlineStr">
        <is>
          <t>18 h ÷ 상근조 8 h/일 = 2.25 근무일 → 현장 설명 약 2일 (48 h)</t>
        </is>
      </c>
    </row>
    <row r="50">
      <c r="B50" s="8" t="inlineStr">
        <is>
          <t>ARS 작업 단계 (h/용기)</t>
        </is>
      </c>
      <c r="C50" s="9" t="inlineStr">
        <is>
          <t>이지켐</t>
        </is>
      </c>
      <c r="D50" s="9" t="inlineStr">
        <is>
          <t>한솔</t>
        </is>
      </c>
      <c r="E50" s="8" t="inlineStr">
        <is>
          <t>수동과 ARS의 전체 시간 차이 확인용</t>
        </is>
      </c>
    </row>
    <row r="51">
      <c r="B51" s="10" t="inlineStr">
        <is>
          <t>용기 준비</t>
        </is>
      </c>
      <c r="C51" s="16" t="n"/>
      <c r="D51" s="16" t="n"/>
      <c r="E51" s="18" t="inlineStr"/>
    </row>
    <row r="52">
      <c r="B52" s="10" t="inlineStr">
        <is>
          <t>투입·반출</t>
        </is>
      </c>
      <c r="C52" s="16" t="n"/>
      <c r="D52" s="16" t="n"/>
      <c r="E52" s="18" t="inlineStr"/>
    </row>
    <row r="53">
      <c r="B53" s="10" t="inlineStr">
        <is>
          <t>퍼지</t>
        </is>
      </c>
      <c r="C53" s="16" t="n"/>
      <c r="D53" s="16" t="n"/>
      <c r="E53" s="18" t="inlineStr"/>
    </row>
    <row r="54">
      <c r="B54" s="10" t="inlineStr">
        <is>
          <t>실제 충진</t>
        </is>
      </c>
      <c r="C54" s="16" t="n"/>
      <c r="D54" s="16" t="n"/>
      <c r="E54" s="18" t="inlineStr"/>
    </row>
    <row r="55">
      <c r="B55" s="10" t="inlineStr">
        <is>
          <t>설비 전환</t>
        </is>
      </c>
      <c r="C55" s="16" t="n"/>
      <c r="D55" s="16" t="n"/>
      <c r="E55" s="18" t="inlineStr"/>
    </row>
    <row r="56">
      <c r="B56" s="10" t="inlineStr">
        <is>
          <t>검사·OQC</t>
        </is>
      </c>
      <c r="C56" s="16" t="n"/>
      <c r="D56" s="16" t="n"/>
      <c r="E56" s="18" t="inlineStr"/>
    </row>
    <row r="57">
      <c r="B57" s="10" t="inlineStr">
        <is>
          <t>작업자 투입시간</t>
        </is>
      </c>
      <c r="C57" s="16" t="n"/>
      <c r="D57" s="16" t="n"/>
      <c r="E57" s="18" t="inlineStr"/>
    </row>
    <row r="58">
      <c r="B58" s="10" t="inlineStr">
        <is>
          <t>설비 점유시간</t>
        </is>
      </c>
      <c r="C58" s="16" t="n"/>
      <c r="D58" s="16" t="n"/>
      <c r="E58" s="18" t="inlineStr"/>
    </row>
    <row r="60" ht="20" customHeight="1">
      <c r="B60" s="7" t="inlineStr">
        <is>
          <t>D. Batch 생산량 (생산팀 협의)</t>
        </is>
      </c>
    </row>
    <row r="61">
      <c r="B61" s="8" t="inlineStr">
        <is>
          <t>항목</t>
        </is>
      </c>
      <c r="C61" s="9" t="inlineStr">
        <is>
          <t>값</t>
        </is>
      </c>
      <c r="D61" s="9" t="inlineStr">
        <is>
          <t>단위</t>
        </is>
      </c>
      <c r="E61" s="8" t="inlineStr">
        <is>
          <t>설명</t>
        </is>
      </c>
    </row>
    <row r="62">
      <c r="B62" s="10" t="inlineStr">
        <is>
          <t>Batch size</t>
        </is>
      </c>
      <c r="C62" s="14" t="n">
        <v>200</v>
      </c>
      <c r="D62" s="5" t="inlineStr">
        <is>
          <t>kg</t>
        </is>
      </c>
      <c r="E62" s="12" t="inlineStr">
        <is>
          <t>생산팀 협의</t>
        </is>
      </c>
    </row>
    <row r="63">
      <c r="B63" s="10" t="inlineStr">
        <is>
          <t>Yield</t>
        </is>
      </c>
      <c r="C63" s="19" t="n">
        <v>0.99</v>
      </c>
      <c r="D63" s="5" t="inlineStr">
        <is>
          <t>%</t>
        </is>
      </c>
      <c r="E63" s="12" t="inlineStr"/>
    </row>
    <row r="64">
      <c r="B64" s="10" t="inlineStr">
        <is>
          <t>kg/Batch (Batch size × Yield)</t>
        </is>
      </c>
      <c r="C64" s="20">
        <f>B_SIZE*B_YIELD</f>
        <v>198</v>
      </c>
      <c r="D64" s="5" t="inlineStr">
        <is>
          <t>kg/Batch</t>
        </is>
      </c>
      <c r="E64" s="12" t="inlineStr">
        <is>
          <t>200 × 99% = 198 kg</t>
        </is>
      </c>
    </row>
    <row r="65">
      <c r="B65" s="10" t="inlineStr">
        <is>
          <t>Batch time (협의)</t>
        </is>
      </c>
      <c r="C65" s="11" t="n">
        <v>55</v>
      </c>
      <c r="D65" s="5" t="inlineStr">
        <is>
          <t>h</t>
        </is>
      </c>
      <c r="E65" s="12" t="inlineStr">
        <is>
          <t>준비·투입 ~ FQC (IQC~FQC 57 h − IQC 2 h)</t>
        </is>
      </c>
    </row>
    <row r="66">
      <c r="B66" s="10" t="inlineStr">
        <is>
          <t>원단위</t>
        </is>
      </c>
      <c r="C66" s="21" t="n">
        <v>1.01</v>
      </c>
      <c r="D66" s="5" t="inlineStr"/>
      <c r="E66" s="12" t="inlineStr"/>
    </row>
    <row r="67">
      <c r="B67" s="10" t="inlineStr">
        <is>
          <t>정제기 1대 월 Batch (계획)</t>
        </is>
      </c>
      <c r="C67" s="14" t="n">
        <v>12</v>
      </c>
      <c r="D67" s="5" t="inlineStr">
        <is>
          <t>Batch/월</t>
        </is>
      </c>
      <c r="E67" s="12" t="inlineStr">
        <is>
          <t>12 × 198 = 2,376 kg</t>
        </is>
      </c>
    </row>
    <row r="68">
      <c r="B68" s="10" t="inlineStr">
        <is>
          <t>정제기 2대 월 Batch (계획)</t>
        </is>
      </c>
      <c r="C68" s="14" t="n">
        <v>20</v>
      </c>
      <c r="D68" s="5" t="inlineStr">
        <is>
          <t>Batch/월</t>
        </is>
      </c>
      <c r="E68" s="12" t="inlineStr">
        <is>
          <t>20 × 198 = 3,960 kg</t>
        </is>
      </c>
    </row>
    <row r="69">
      <c r="B69" s="10" t="inlineStr">
        <is>
          <t>대정비 월 Batch ('27.4)</t>
        </is>
      </c>
      <c r="C69" s="14" t="n">
        <v>6</v>
      </c>
      <c r="D69" s="5" t="inlineStr">
        <is>
          <t>Batch/월</t>
        </is>
      </c>
      <c r="E69" s="12" t="inlineStr">
        <is>
          <t>6 × 198 = 1,188 kg</t>
        </is>
      </c>
    </row>
    <row r="71" ht="20" customHeight="1">
      <c r="B71" s="7" t="inlineStr">
        <is>
          <t>E. Capa. 기준</t>
        </is>
      </c>
    </row>
    <row r="72">
      <c r="B72" s="8" t="inlineStr">
        <is>
          <t>항목</t>
        </is>
      </c>
      <c r="C72" s="9" t="inlineStr">
        <is>
          <t>값</t>
        </is>
      </c>
      <c r="D72" s="9" t="inlineStr">
        <is>
          <t>단위</t>
        </is>
      </c>
      <c r="E72" s="8" t="inlineStr">
        <is>
          <t>설명</t>
        </is>
      </c>
    </row>
    <row r="73">
      <c r="B73" s="10" t="inlineStr">
        <is>
          <t>현재 연간 Capa.</t>
        </is>
      </c>
      <c r="C73" s="22" t="n">
        <v>26.2</v>
      </c>
      <c r="D73" s="5" t="inlineStr">
        <is>
          <t>t/년</t>
        </is>
      </c>
      <c r="E73" s="12" t="inlineStr"/>
    </row>
    <row r="74">
      <c r="B74" s="10" t="inlineStr">
        <is>
          <t>리플럭스 증가분</t>
        </is>
      </c>
      <c r="C74" s="22" t="n">
        <v>21</v>
      </c>
      <c r="D74" s="5" t="inlineStr">
        <is>
          <t>t/년</t>
        </is>
      </c>
      <c r="E74" s="12" t="inlineStr"/>
    </row>
    <row r="75">
      <c r="B75" s="10" t="inlineStr">
        <is>
          <t>개선 후 연간 Capa.</t>
        </is>
      </c>
      <c r="C75" s="23">
        <f>CAPA_NOW+CAPA_ADD</f>
        <v>47.2</v>
      </c>
      <c r="D75" s="5" t="inlineStr">
        <is>
          <t>t/년</t>
        </is>
      </c>
      <c r="E75" s="12" t="inlineStr">
        <is>
          <t>현재의 2배(52.4) 아님 — Mix·Premix 준비 등</t>
        </is>
      </c>
    </row>
    <row r="76">
      <c r="B76" s="10" t="inlineStr">
        <is>
          <t>정제기 2대 계획 연간 (20 Batch × 12)</t>
        </is>
      </c>
      <c r="C76" s="23">
        <f>MB_TWO*KG_B*12/1000</f>
        <v>47.52</v>
      </c>
      <c r="D76" s="5" t="inlineStr">
        <is>
          <t>t/년</t>
        </is>
      </c>
      <c r="E76" s="12" t="inlineStr">
        <is>
          <t>47.2톤 계획 수준</t>
        </is>
      </c>
    </row>
    <row r="78" ht="20" customHeight="1">
      <c r="B78" s="7" t="inlineStr">
        <is>
          <t>I. 생산계획 Batch 완료일 — 완료일 = 해당 Batch의 생산 및 충진 완료 예정일 (Batch마다 독립)</t>
        </is>
      </c>
    </row>
    <row r="79">
      <c r="B79" s="8" t="inlineStr">
        <is>
          <t>Batch No.</t>
        </is>
      </c>
      <c r="C79" s="9" t="inlineStr">
        <is>
          <t>완료일</t>
        </is>
      </c>
      <c r="D79" s="8" t="inlineStr">
        <is>
          <t>비고</t>
        </is>
      </c>
    </row>
    <row r="80">
      <c r="B80" s="24" t="inlineStr">
        <is>
          <t>#81</t>
        </is>
      </c>
      <c r="C80" s="15" t="n">
        <v>46293</v>
      </c>
      <c r="D80" s="18" t="inlineStr">
        <is>
          <t>9월 마지막 Batch (간격 기준점)</t>
        </is>
      </c>
    </row>
    <row r="81">
      <c r="B81" s="24" t="inlineStr">
        <is>
          <t>#82</t>
        </is>
      </c>
      <c r="C81" s="15" t="n">
        <v>46296</v>
      </c>
      <c r="D81" s="18" t="inlineStr"/>
    </row>
    <row r="82">
      <c r="B82" s="24" t="inlineStr">
        <is>
          <t>#83</t>
        </is>
      </c>
      <c r="C82" s="15" t="n">
        <v>46299</v>
      </c>
      <c r="D82" s="18" t="inlineStr"/>
    </row>
    <row r="83">
      <c r="B83" s="24" t="inlineStr">
        <is>
          <t>#84</t>
        </is>
      </c>
      <c r="C83" s="15" t="n">
        <v>46302</v>
      </c>
      <c r="D83" s="18" t="inlineStr"/>
    </row>
    <row r="84">
      <c r="B84" s="24" t="inlineStr">
        <is>
          <t>#85</t>
        </is>
      </c>
      <c r="C84" s="15" t="n">
        <v>46305</v>
      </c>
      <c r="D84" s="18" t="inlineStr"/>
    </row>
    <row r="85">
      <c r="B85" s="24" t="inlineStr">
        <is>
          <t>#86</t>
        </is>
      </c>
      <c r="C85" s="15" t="n">
        <v>46307</v>
      </c>
      <c r="D85" s="18" t="inlineStr"/>
    </row>
    <row r="86">
      <c r="B86" s="24" t="inlineStr">
        <is>
          <t>#87</t>
        </is>
      </c>
      <c r="C86" s="15" t="n">
        <v>46310</v>
      </c>
      <c r="D86" s="18" t="inlineStr"/>
    </row>
    <row r="87">
      <c r="B87" s="24" t="inlineStr">
        <is>
          <t>#88</t>
        </is>
      </c>
      <c r="C87" s="15" t="n">
        <v>46313</v>
      </c>
      <c r="D87" s="18" t="inlineStr"/>
    </row>
    <row r="88">
      <c r="B88" s="24" t="inlineStr">
        <is>
          <t>#89</t>
        </is>
      </c>
      <c r="C88" s="15" t="n">
        <v>46315</v>
      </c>
      <c r="D88" s="18" t="inlineStr"/>
    </row>
    <row r="89">
      <c r="B89" s="24" t="inlineStr">
        <is>
          <t>#90</t>
        </is>
      </c>
      <c r="C89" s="15" t="n">
        <v>46318</v>
      </c>
      <c r="D89" s="18" t="inlineStr"/>
    </row>
    <row r="90">
      <c r="B90" s="24" t="inlineStr">
        <is>
          <t>#91</t>
        </is>
      </c>
      <c r="C90" s="15" t="n">
        <v>46321</v>
      </c>
      <c r="D90" s="18" t="inlineStr"/>
    </row>
    <row r="91">
      <c r="B91" s="24" t="inlineStr">
        <is>
          <t>#92</t>
        </is>
      </c>
      <c r="C91" s="15" t="n">
        <v>46324</v>
      </c>
      <c r="D91" s="18" t="inlineStr"/>
    </row>
    <row r="92">
      <c r="B92" s="18" t="inlineStr">
        <is>
          <t>10월 완료 #82~#92 = 11 Batch · 행을 추가하면 03_Batch주기 계산 범위도 같이 조정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B002C"/>
    <outlinePr summaryBelow="1" summaryRight="1"/>
    <pageSetUpPr/>
  </sheetPr>
  <dimension ref="B1:I2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0" customWidth="1" min="12" max="12"/>
  </cols>
  <sheetData>
    <row r="1">
      <c r="B1" s="1" t="inlineStr">
        <is>
          <t>02_공정시간 | 57 h 구성 · 경로별 단순 합계 · 시간 구분</t>
        </is>
      </c>
    </row>
    <row r="2">
      <c r="B2" s="2" t="inlineStr">
        <is>
          <t>PPT 1장 표. 단순 합계는 실제 달력 Lead Time이나 다음 Batch 투입 간격이 아닙니다.</t>
        </is>
      </c>
    </row>
    <row r="4" ht="20" customHeight="1">
      <c r="B4" s="7" t="inlineStr">
        <is>
          <t>① 57 h 구성 (IQC~FQC)</t>
        </is>
      </c>
    </row>
    <row r="5">
      <c r="B5" s="8" t="inlineStr">
        <is>
          <t>구분</t>
        </is>
      </c>
      <c r="C5" s="9" t="inlineStr">
        <is>
          <t>IQC</t>
        </is>
      </c>
      <c r="D5" s="9" t="inlineStr">
        <is>
          <t>준비·투입</t>
        </is>
      </c>
      <c r="E5" s="9" t="inlineStr">
        <is>
          <t>순수 정제</t>
        </is>
      </c>
      <c r="F5" s="9" t="inlineStr">
        <is>
          <t>PQC~이송</t>
        </is>
      </c>
      <c r="G5" s="9" t="inlineStr">
        <is>
          <t>FQC</t>
        </is>
      </c>
      <c r="H5" s="9" t="inlineStr">
        <is>
          <t>합계</t>
        </is>
      </c>
    </row>
    <row r="6">
      <c r="B6" s="10" t="inlineStr">
        <is>
          <t>시간 (h)</t>
        </is>
      </c>
      <c r="C6" s="17">
        <f>T_IQC</f>
        <v>2</v>
      </c>
      <c r="D6" s="17">
        <f>T_PREP</f>
        <v>2</v>
      </c>
      <c r="E6" s="13">
        <f>T_REF</f>
        <v>45</v>
      </c>
      <c r="F6" s="17">
        <f>T_PQC</f>
        <v>6</v>
      </c>
      <c r="G6" s="17">
        <f>T_FQC</f>
        <v>2</v>
      </c>
      <c r="H6" s="13">
        <f>SUM(C6:G6)</f>
        <v>57</v>
      </c>
    </row>
    <row r="7">
      <c r="B7" s="10" t="inlineStr">
        <is>
          <t>근거</t>
        </is>
      </c>
      <c r="C7" s="5" t="inlineStr">
        <is>
          <t>제공</t>
        </is>
      </c>
      <c r="D7" s="5" t="inlineStr">
        <is>
          <t>제공</t>
        </is>
      </c>
      <c r="E7" s="5" t="inlineStr">
        <is>
          <t>57 − 12 차감</t>
        </is>
      </c>
      <c r="F7" s="5" t="inlineStr">
        <is>
          <t>합계 6 h</t>
        </is>
      </c>
      <c r="G7" s="5" t="inlineStr">
        <is>
          <t>제공</t>
        </is>
      </c>
      <c r="H7" s="5" t="inlineStr">
        <is>
          <t>보고 기준</t>
        </is>
      </c>
    </row>
    <row r="9" ht="20" customHeight="1">
      <c r="B9" s="7" t="inlineStr">
        <is>
          <t>② 경로별 공정시간 단순 합계 (h)</t>
        </is>
      </c>
    </row>
    <row r="10">
      <c r="B10" s="8" t="inlineStr">
        <is>
          <t>경로</t>
        </is>
      </c>
      <c r="C10" s="9" t="inlineStr">
        <is>
          <t>IQC~FQC</t>
        </is>
      </c>
      <c r="D10" s="9" t="inlineStr">
        <is>
          <t>충진</t>
        </is>
      </c>
      <c r="E10" s="9" t="inlineStr">
        <is>
          <t>OQC·출하</t>
        </is>
      </c>
      <c r="F10" s="9" t="inlineStr">
        <is>
          <t>합계</t>
        </is>
      </c>
      <c r="G10" s="9" t="inlineStr">
        <is>
          <t>충진량 (kg)</t>
        </is>
      </c>
      <c r="H10" s="9" t="inlineStr">
        <is>
          <t>충진 기준</t>
        </is>
      </c>
    </row>
    <row r="11">
      <c r="B11" s="10" t="inlineStr">
        <is>
          <t>5 Gal 9병 (하이닉스·CXMT)</t>
        </is>
      </c>
      <c r="C11" s="17">
        <f>T_57</f>
        <v>57</v>
      </c>
      <c r="D11" s="17">
        <f>FILL_5G*BOT_B</f>
        <v>18</v>
      </c>
      <c r="E11" s="17">
        <f>OQC_5G</f>
        <v>2</v>
      </c>
      <c r="F11" s="13">
        <f>C11+D11+E11</f>
        <v>77</v>
      </c>
      <c r="G11" s="25">
        <f>BOT_B*KG_BOT</f>
        <v>180</v>
      </c>
      <c r="H11" s="5" t="inlineStr">
        <is>
          <t>2 h/병 × 9병</t>
        </is>
      </c>
    </row>
    <row r="12">
      <c r="B12" s="10" t="inlineStr">
        <is>
          <t>이지켐 200 L 1용기 (수동)</t>
        </is>
      </c>
      <c r="C12" s="17">
        <f>T_57</f>
        <v>57</v>
      </c>
      <c r="D12" s="17">
        <f>FILL_EZ</f>
        <v>8</v>
      </c>
      <c r="E12" s="17">
        <f>OQC_200</f>
        <v>2</v>
      </c>
      <c r="F12" s="13">
        <f>C12+D12+E12</f>
        <v>67</v>
      </c>
      <c r="G12" s="25">
        <f>KG_EZ</f>
        <v>140</v>
      </c>
      <c r="H12" s="5" t="inlineStr">
        <is>
          <t>8 h/용기</t>
        </is>
      </c>
    </row>
    <row r="13">
      <c r="B13" s="10" t="inlineStr">
        <is>
          <t>한솔 200 L 1용기 (수동)</t>
        </is>
      </c>
      <c r="C13" s="17">
        <f>T_57</f>
        <v>57</v>
      </c>
      <c r="D13" s="17">
        <f>FILL_HS</f>
        <v>8</v>
      </c>
      <c r="E13" s="17">
        <f>OQC_200</f>
        <v>2</v>
      </c>
      <c r="F13" s="13">
        <f>C13+D13+E13</f>
        <v>67</v>
      </c>
      <c r="G13" s="25">
        <f>KG_HS</f>
        <v>150</v>
      </c>
      <c r="H13" s="5" t="inlineStr">
        <is>
          <t>8 h/용기</t>
        </is>
      </c>
    </row>
    <row r="15" ht="20" customHeight="1">
      <c r="B15" s="7" t="inlineStr">
        <is>
          <t>③ 시간 구분 — Lead Time · 정제기 점유 · 충진 작업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비고</t>
        </is>
      </c>
      <c r="F16" s="26" t="n"/>
      <c r="G16" s="26" t="n"/>
      <c r="H16" s="26" t="n"/>
      <c r="I16" s="27" t="n"/>
    </row>
    <row r="17">
      <c r="B17" s="10" t="inlineStr">
        <is>
          <t>정제기 점유 확인분 (준비·투입 + 순수 정제)</t>
        </is>
      </c>
      <c r="C17" s="28">
        <f>T_PREP+T_REF</f>
        <v>47</v>
      </c>
      <c r="D17" s="5" t="inlineStr">
        <is>
          <t>h</t>
        </is>
      </c>
      <c r="E17" s="18" t="inlineStr">
        <is>
          <t>추가 점유 (배출·세척·전환) 별도 확인</t>
        </is>
      </c>
    </row>
    <row r="18">
      <c r="B18" s="10" t="inlineStr">
        <is>
          <t>정제기 추가 점유</t>
        </is>
      </c>
      <c r="C18" s="28" t="str">
        <f>IF(ISNUMBER(OCC_ADD),OCC_ADD,"확인 필요")</f>
        <v>확인 필요</v>
      </c>
      <c r="D18" s="5" t="inlineStr">
        <is>
          <t>h</t>
        </is>
      </c>
      <c r="E18" s="18" t="inlineStr">
        <is>
          <t>01_입력 B</t>
        </is>
      </c>
    </row>
    <row r="19">
      <c r="B19" s="10" t="inlineStr">
        <is>
          <t>다음 Batch 투입 간격 (실측)</t>
        </is>
      </c>
      <c r="C19" s="28" t="str">
        <f>IF(ISNUMBER(INT_NEXT),INT_NEXT,"확인 필요")</f>
        <v>확인 필요</v>
      </c>
      <c r="D19" s="5" t="inlineStr">
        <is>
          <t>h</t>
        </is>
      </c>
      <c r="E19" s="18" t="inlineStr">
        <is>
          <t>과거 최대 11 Batch 기준 720 ÷ 11 = 65.5 h</t>
        </is>
      </c>
    </row>
    <row r="20">
      <c r="B20" s="10" t="inlineStr">
        <is>
          <t>검사·승인 대기</t>
        </is>
      </c>
      <c r="C20" s="28" t="str">
        <f>IF(ISNUMBER(T_WAIT),T_WAIT,"확인 필요")</f>
        <v>확인 필요</v>
      </c>
      <c r="D20" s="5" t="inlineStr">
        <is>
          <t>h</t>
        </is>
      </c>
      <c r="E20" s="18" t="inlineStr"/>
    </row>
    <row r="21">
      <c r="B21" s="10" t="inlineStr">
        <is>
          <t>5 Gal 9병 충진 작업</t>
        </is>
      </c>
      <c r="C21" s="28">
        <f>FILL_5G*BOT_B</f>
        <v>18</v>
      </c>
      <c r="D21" s="5" t="inlineStr">
        <is>
          <t>h</t>
        </is>
      </c>
      <c r="E21" s="18" t="inlineStr">
        <is>
          <t>실제 작업시간</t>
        </is>
      </c>
    </row>
    <row r="22">
      <c r="B22" s="10" t="inlineStr">
        <is>
          <t>5 Gal 9병 충진 경과 (상근조 8 h/일)</t>
        </is>
      </c>
      <c r="C22" s="28">
        <f>FILL_5G*BOT_B/WH_DAY</f>
        <v>2.25</v>
      </c>
      <c r="D22" s="5" t="inlineStr">
        <is>
          <t>근무일</t>
        </is>
      </c>
      <c r="E22" s="18" t="inlineStr">
        <is>
          <t>상근조 08~17시 · 점심 1 h 제외 → 현장 설명 약 2일</t>
        </is>
      </c>
    </row>
    <row r="23">
      <c r="B23" s="10" t="inlineStr">
        <is>
          <t>kg/Batch − 5 Gal 9병 180 kg</t>
        </is>
      </c>
      <c r="C23" s="28">
        <f>KG_B-BOT_B*KG_BOT</f>
        <v>18</v>
      </c>
      <c r="D23" s="5" t="inlineStr">
        <is>
          <t>kg</t>
        </is>
      </c>
      <c r="E23" s="18" t="inlineStr">
        <is>
          <t>잔량·추가 충진·다른 고객 배분 확인 (손실 처리 안 함)</t>
        </is>
      </c>
    </row>
  </sheetData>
  <mergeCells count="8">
    <mergeCell ref="E21:I21"/>
    <mergeCell ref="E20:I20"/>
    <mergeCell ref="E16:I16"/>
    <mergeCell ref="E19:I19"/>
    <mergeCell ref="E23:I23"/>
    <mergeCell ref="E22:I22"/>
    <mergeCell ref="E17:I17"/>
    <mergeCell ref="E18:I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B002C"/>
    <outlinePr summaryBelow="1" summaryRight="1"/>
    <pageSetUpPr/>
  </sheetPr>
  <dimension ref="B1:J7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B1" s="1" t="inlineStr">
        <is>
          <t>03_Batch주기 | 생산계획 완료 주기 · 순수 작업 vs 대기 · 운영 마일스톤</t>
        </is>
      </c>
    </row>
    <row r="2">
      <c r="B2" s="2" t="inlineStr">
        <is>
          <t>완료일 = 생산 및 충진 완료. 정제기 주기 = 순수 점유(준비·투입 + 순수 정제) + 대기.</t>
        </is>
      </c>
    </row>
    <row r="4" ht="20" customHeight="1">
      <c r="B4" s="7" t="inlineStr">
        <is>
          <t>① 생산계획 Batch 완료 주기</t>
        </is>
      </c>
    </row>
    <row r="5">
      <c r="B5" s="9" t="inlineStr">
        <is>
          <t>Batch</t>
        </is>
      </c>
      <c r="C5" s="9" t="inlineStr">
        <is>
          <t>완료일</t>
        </is>
      </c>
      <c r="D5" s="9" t="inlineStr">
        <is>
          <t>요일</t>
        </is>
      </c>
      <c r="E5" s="9" t="inlineStr">
        <is>
          <t>간격 (일)</t>
        </is>
      </c>
      <c r="F5" s="9" t="inlineStr">
        <is>
          <t>간격 (h)</t>
        </is>
      </c>
      <c r="G5" s="9" t="inlineStr">
        <is>
          <t>10월 완료</t>
        </is>
      </c>
      <c r="H5" s="9" t="inlineStr">
        <is>
          <t>10월 누적 kg</t>
        </is>
      </c>
    </row>
    <row r="6">
      <c r="B6" s="5" t="str">
        <f>'01_입력'!B80</f>
        <v>#81</v>
      </c>
      <c r="C6" s="29">
        <f>'01_입력'!C80</f>
        <v>46293.0</v>
      </c>
      <c r="D6" s="5" t="str">
        <f>CHOOSE(WEEKDAY(C6,2),"월","화","수","목","금","토","일")</f>
        <v>월</v>
      </c>
      <c r="E6" s="30" t="inlineStr"/>
      <c r="F6" s="30" t="inlineStr"/>
      <c r="G6" s="30">
        <f>IF(MONTH(C6)=10,1,0)</f>
        <v>0</v>
      </c>
      <c r="H6" s="25">
        <f>SUM($G$6:G6)*KG_B</f>
        <v>0</v>
      </c>
    </row>
    <row r="7">
      <c r="B7" s="5" t="str">
        <f>'01_입력'!B81</f>
        <v>#82</v>
      </c>
      <c r="C7" s="29">
        <f>'01_입력'!C81</f>
        <v>46296.0</v>
      </c>
      <c r="D7" s="5" t="str">
        <f>CHOOSE(WEEKDAY(C7,2),"월","화","수","목","금","토","일")</f>
        <v>목</v>
      </c>
      <c r="E7" s="30">
        <f>C7-C6</f>
        <v>3</v>
      </c>
      <c r="F7" s="30">
        <f>E7*24</f>
        <v>72</v>
      </c>
      <c r="G7" s="30">
        <f>IF(MONTH(C7)=10,1,0)</f>
        <v>1</v>
      </c>
      <c r="H7" s="25">
        <f>SUM($G$6:G7)*KG_B</f>
        <v>198</v>
      </c>
    </row>
    <row r="8">
      <c r="B8" s="5" t="str">
        <f>'01_입력'!B82</f>
        <v>#83</v>
      </c>
      <c r="C8" s="29">
        <f>'01_입력'!C82</f>
        <v>46299.0</v>
      </c>
      <c r="D8" s="5" t="str">
        <f>CHOOSE(WEEKDAY(C8,2),"월","화","수","목","금","토","일")</f>
        <v>일</v>
      </c>
      <c r="E8" s="30">
        <f>C8-C7</f>
        <v>3</v>
      </c>
      <c r="F8" s="30">
        <f>E8*24</f>
        <v>72</v>
      </c>
      <c r="G8" s="30">
        <f>IF(MONTH(C8)=10,1,0)</f>
        <v>1</v>
      </c>
      <c r="H8" s="25">
        <f>SUM($G$6:G8)*KG_B</f>
        <v>396</v>
      </c>
    </row>
    <row r="9">
      <c r="B9" s="5" t="str">
        <f>'01_입력'!B83</f>
        <v>#84</v>
      </c>
      <c r="C9" s="29">
        <f>'01_입력'!C83</f>
        <v>46302.0</v>
      </c>
      <c r="D9" s="5" t="str">
        <f>CHOOSE(WEEKDAY(C9,2),"월","화","수","목","금","토","일")</f>
        <v>수</v>
      </c>
      <c r="E9" s="30">
        <f>C9-C8</f>
        <v>3</v>
      </c>
      <c r="F9" s="30">
        <f>E9*24</f>
        <v>72</v>
      </c>
      <c r="G9" s="30">
        <f>IF(MONTH(C9)=10,1,0)</f>
        <v>1</v>
      </c>
      <c r="H9" s="25">
        <f>SUM($G$6:G9)*KG_B</f>
        <v>594</v>
      </c>
    </row>
    <row r="10">
      <c r="B10" s="5" t="str">
        <f>'01_입력'!B84</f>
        <v>#85</v>
      </c>
      <c r="C10" s="29">
        <f>'01_입력'!C84</f>
        <v>46305.0</v>
      </c>
      <c r="D10" s="5" t="str">
        <f>CHOOSE(WEEKDAY(C10,2),"월","화","수","목","금","토","일")</f>
        <v>토</v>
      </c>
      <c r="E10" s="30">
        <f>C10-C9</f>
        <v>3</v>
      </c>
      <c r="F10" s="30">
        <f>E10*24</f>
        <v>72</v>
      </c>
      <c r="G10" s="30">
        <f>IF(MONTH(C10)=10,1,0)</f>
        <v>1</v>
      </c>
      <c r="H10" s="25">
        <f>SUM($G$6:G10)*KG_B</f>
        <v>792</v>
      </c>
    </row>
    <row r="11">
      <c r="B11" s="5" t="str">
        <f>'01_입력'!B85</f>
        <v>#86</v>
      </c>
      <c r="C11" s="29">
        <f>'01_입력'!C85</f>
        <v>46307.0</v>
      </c>
      <c r="D11" s="5" t="str">
        <f>CHOOSE(WEEKDAY(C11,2),"월","화","수","목","금","토","일")</f>
        <v>월</v>
      </c>
      <c r="E11" s="30">
        <f>C11-C10</f>
        <v>2</v>
      </c>
      <c r="F11" s="30">
        <f>E11*24</f>
        <v>48</v>
      </c>
      <c r="G11" s="30">
        <f>IF(MONTH(C11)=10,1,0)</f>
        <v>1</v>
      </c>
      <c r="H11" s="25">
        <f>SUM($G$6:G11)*KG_B</f>
        <v>990</v>
      </c>
    </row>
    <row r="12">
      <c r="B12" s="5" t="str">
        <f>'01_입력'!B86</f>
        <v>#87</v>
      </c>
      <c r="C12" s="29">
        <f>'01_입력'!C86</f>
        <v>46310.0</v>
      </c>
      <c r="D12" s="5" t="str">
        <f>CHOOSE(WEEKDAY(C12,2),"월","화","수","목","금","토","일")</f>
        <v>목</v>
      </c>
      <c r="E12" s="30">
        <f>C12-C11</f>
        <v>3</v>
      </c>
      <c r="F12" s="30">
        <f>E12*24</f>
        <v>72</v>
      </c>
      <c r="G12" s="30">
        <f>IF(MONTH(C12)=10,1,0)</f>
        <v>1</v>
      </c>
      <c r="H12" s="25">
        <f>SUM($G$6:G12)*KG_B</f>
        <v>1188</v>
      </c>
    </row>
    <row r="13">
      <c r="B13" s="5" t="str">
        <f>'01_입력'!B87</f>
        <v>#88</v>
      </c>
      <c r="C13" s="29">
        <f>'01_입력'!C87</f>
        <v>46313.0</v>
      </c>
      <c r="D13" s="5" t="str">
        <f>CHOOSE(WEEKDAY(C13,2),"월","화","수","목","금","토","일")</f>
        <v>일</v>
      </c>
      <c r="E13" s="30">
        <f>C13-C12</f>
        <v>3</v>
      </c>
      <c r="F13" s="30">
        <f>E13*24</f>
        <v>72</v>
      </c>
      <c r="G13" s="30">
        <f>IF(MONTH(C13)=10,1,0)</f>
        <v>1</v>
      </c>
      <c r="H13" s="25">
        <f>SUM($G$6:G13)*KG_B</f>
        <v>1386</v>
      </c>
    </row>
    <row r="14">
      <c r="B14" s="5" t="str">
        <f>'01_입력'!B88</f>
        <v>#89</v>
      </c>
      <c r="C14" s="29">
        <f>'01_입력'!C88</f>
        <v>46315.0</v>
      </c>
      <c r="D14" s="5" t="str">
        <f>CHOOSE(WEEKDAY(C14,2),"월","화","수","목","금","토","일")</f>
        <v>화</v>
      </c>
      <c r="E14" s="30">
        <f>C14-C13</f>
        <v>2</v>
      </c>
      <c r="F14" s="30">
        <f>E14*24</f>
        <v>48</v>
      </c>
      <c r="G14" s="30">
        <f>IF(MONTH(C14)=10,1,0)</f>
        <v>1</v>
      </c>
      <c r="H14" s="25">
        <f>SUM($G$6:G14)*KG_B</f>
        <v>1584</v>
      </c>
    </row>
    <row r="15">
      <c r="B15" s="5" t="str">
        <f>'01_입력'!B89</f>
        <v>#90</v>
      </c>
      <c r="C15" s="29">
        <f>'01_입력'!C89</f>
        <v>46318.0</v>
      </c>
      <c r="D15" s="5" t="str">
        <f>CHOOSE(WEEKDAY(C15,2),"월","화","수","목","금","토","일")</f>
        <v>금</v>
      </c>
      <c r="E15" s="30">
        <f>C15-C14</f>
        <v>3</v>
      </c>
      <c r="F15" s="30">
        <f>E15*24</f>
        <v>72</v>
      </c>
      <c r="G15" s="30">
        <f>IF(MONTH(C15)=10,1,0)</f>
        <v>1</v>
      </c>
      <c r="H15" s="25">
        <f>SUM($G$6:G15)*KG_B</f>
        <v>1782</v>
      </c>
    </row>
    <row r="16">
      <c r="B16" s="5" t="str">
        <f>'01_입력'!B90</f>
        <v>#91</v>
      </c>
      <c r="C16" s="29">
        <f>'01_입력'!C90</f>
        <v>46321.0</v>
      </c>
      <c r="D16" s="5" t="str">
        <f>CHOOSE(WEEKDAY(C16,2),"월","화","수","목","금","토","일")</f>
        <v>월</v>
      </c>
      <c r="E16" s="30">
        <f>C16-C15</f>
        <v>3</v>
      </c>
      <c r="F16" s="30">
        <f>E16*24</f>
        <v>72</v>
      </c>
      <c r="G16" s="30">
        <f>IF(MONTH(C16)=10,1,0)</f>
        <v>1</v>
      </c>
      <c r="H16" s="25">
        <f>SUM($G$6:G16)*KG_B</f>
        <v>1980</v>
      </c>
    </row>
    <row r="17">
      <c r="B17" s="5" t="str">
        <f>'01_입력'!B91</f>
        <v>#92</v>
      </c>
      <c r="C17" s="29">
        <f>'01_입력'!C91</f>
        <v>46324.0</v>
      </c>
      <c r="D17" s="5" t="str">
        <f>CHOOSE(WEEKDAY(C17,2),"월","화","수","목","금","토","일")</f>
        <v>목</v>
      </c>
      <c r="E17" s="30">
        <f>C17-C16</f>
        <v>3</v>
      </c>
      <c r="F17" s="30">
        <f>E17*24</f>
        <v>72</v>
      </c>
      <c r="G17" s="30">
        <f>IF(MONTH(C17)=10,1,0)</f>
        <v>1</v>
      </c>
      <c r="H17" s="25">
        <f>SUM($G$6:G17)*KG_B</f>
        <v>2178</v>
      </c>
    </row>
    <row r="19">
      <c r="B19" s="10" t="inlineStr">
        <is>
          <t>10월 완료 Batch</t>
        </is>
      </c>
      <c r="C19" s="31">
        <f>SUM(G6:G17)</f>
        <v>11</v>
      </c>
    </row>
    <row r="20">
      <c r="B20" s="10" t="inlineStr">
        <is>
          <t>10월 생산량 (kg)</t>
        </is>
      </c>
      <c r="C20" s="32">
        <f>C19*KG_B</f>
        <v>2178</v>
      </c>
    </row>
    <row r="21">
      <c r="B21" s="10" t="inlineStr">
        <is>
          <t>평균 완료 간격 (h)</t>
        </is>
      </c>
      <c r="C21" s="13">
        <f>(C17-C6)*24/11</f>
        <v>67.6363636363636</v>
      </c>
    </row>
    <row r="22">
      <c r="B22" s="10" t="inlineStr">
        <is>
          <t>평균 완료 간격 (일)</t>
        </is>
      </c>
      <c r="C22" s="33">
        <f>C21/24</f>
        <v>2.81818181818182</v>
      </c>
    </row>
    <row r="23">
      <c r="B23" s="10" t="inlineStr">
        <is>
          <t>3일 간격 (회)</t>
        </is>
      </c>
      <c r="C23" s="31">
        <f>COUNTIF(E7:E17,3)</f>
        <v>9</v>
      </c>
    </row>
    <row r="24">
      <c r="B24" s="10" t="inlineStr">
        <is>
          <t>2일 간격 (회)</t>
        </is>
      </c>
      <c r="C24" s="31">
        <f>COUNTIF(E7:E17,2)</f>
        <v>2</v>
      </c>
    </row>
    <row r="27" ht="20" customHeight="1">
      <c r="B27" s="7" t="inlineStr">
        <is>
          <t>② 순수 작업 vs 대기 (평균)</t>
        </is>
      </c>
    </row>
    <row r="28">
      <c r="B28" s="8" t="inlineStr">
        <is>
          <t>구분</t>
        </is>
      </c>
      <c r="C28" s="9" t="inlineStr">
        <is>
          <t>순수 작업 (h)</t>
        </is>
      </c>
      <c r="D28" s="9" t="inlineStr">
        <is>
          <t>대기 (h)</t>
        </is>
      </c>
      <c r="E28" s="9" t="inlineStr">
        <is>
          <t>실제 소요 (h)</t>
        </is>
      </c>
      <c r="F28" s="9" t="inlineStr">
        <is>
          <t>일 환산</t>
        </is>
      </c>
      <c r="G28" s="9" t="inlineStr">
        <is>
          <t>순수 비율</t>
        </is>
      </c>
      <c r="H28" s="8" t="inlineStr">
        <is>
          <t>산출</t>
        </is>
      </c>
    </row>
    <row r="29">
      <c r="B29" s="10" t="inlineStr">
        <is>
          <t>정제기 Batch 주기</t>
        </is>
      </c>
      <c r="C29" s="17">
        <f>T_PREP+T_REF</f>
        <v>47</v>
      </c>
      <c r="D29" s="13">
        <f>CYC_ASIS-C29</f>
        <v>20.6363636363636</v>
      </c>
      <c r="E29" s="13">
        <f>C29+D29</f>
        <v>67.6363636363636</v>
      </c>
      <c r="F29" s="28">
        <f>E29/24</f>
        <v>2.81818181818182</v>
      </c>
      <c r="G29" s="34">
        <f>C29/E29</f>
        <v>0.69489247311828</v>
      </c>
      <c r="H29" s="12" t="inlineStr">
        <is>
          <t>완료 간격 − (준비·투입 + 순수 정제)</t>
        </is>
      </c>
    </row>
    <row r="30">
      <c r="B30" s="10" t="inlineStr">
        <is>
          <t>5 Gal 1 Batch (IQC~OQC)</t>
        </is>
      </c>
      <c r="C30" s="17">
        <f>T_57+FILL_5G*BOT_B+OQC_5G</f>
        <v>77</v>
      </c>
      <c r="D30" s="13">
        <f>WAIT_ASIS</f>
        <v>20.6363636363636</v>
      </c>
      <c r="E30" s="13">
        <f>C30+D30</f>
        <v>97.6363636363636</v>
      </c>
      <c r="F30" s="28">
        <f>E30/24</f>
        <v>4.06818181818182</v>
      </c>
      <c r="G30" s="34">
        <f>C30/E30</f>
        <v>0.788640595903166</v>
      </c>
      <c r="H30" s="12" t="inlineStr">
        <is>
          <t>순수 77 h + 평균 대기</t>
        </is>
      </c>
    </row>
    <row r="31">
      <c r="B31" s="10" t="inlineStr">
        <is>
          <t>200 L 1 Batch (IQC~OQC)</t>
        </is>
      </c>
      <c r="C31" s="17">
        <f>T_57+FILL_EZ+OQC_200</f>
        <v>67</v>
      </c>
      <c r="D31" s="13">
        <f>WAIT_ASIS</f>
        <v>20.6363636363636</v>
      </c>
      <c r="E31" s="13">
        <f>C31+D31</f>
        <v>87.6363636363636</v>
      </c>
      <c r="F31" s="28">
        <f>E31/24</f>
        <v>3.65151515151515</v>
      </c>
      <c r="G31" s="34">
        <f>C31/E31</f>
        <v>0.764522821576763</v>
      </c>
      <c r="H31" s="12" t="inlineStr">
        <is>
          <t>순수 67 h + 평균 대기</t>
        </is>
      </c>
    </row>
    <row r="32">
      <c r="B32" s="10" t="inlineStr">
        <is>
          <t>5 Gal 9병 충진 (상근조)</t>
        </is>
      </c>
      <c r="C32" s="17">
        <f>FILL_5G*BOT_B</f>
        <v>18</v>
      </c>
      <c r="D32" s="13">
        <f>FILL_5G_EL-C32</f>
        <v>30</v>
      </c>
      <c r="E32" s="13">
        <f>FILL_5G_EL</f>
        <v>48</v>
      </c>
      <c r="F32" s="28">
        <f>E32/24</f>
        <v>2</v>
      </c>
      <c r="G32" s="34">
        <f>C32/E32</f>
        <v>0.375</v>
      </c>
      <c r="H32" s="12" t="inlineStr">
        <is>
          <t>상근조 8 h/일 · 현장 설명 약 2일</t>
        </is>
      </c>
    </row>
    <row r="35" ht="20" customHeight="1">
      <c r="B35" s="7" t="inlineStr">
        <is>
          <t>③ 평균 Batch 마일스톤 (대기 포함, h)</t>
        </is>
      </c>
    </row>
    <row r="36">
      <c r="B36" s="8" t="inlineStr">
        <is>
          <t>단계</t>
        </is>
      </c>
      <c r="C36" s="9" t="inlineStr">
        <is>
          <t>5 Gal 시간</t>
        </is>
      </c>
      <c r="D36" s="9" t="inlineStr">
        <is>
          <t>시작</t>
        </is>
      </c>
      <c r="E36" s="9" t="inlineStr">
        <is>
          <t>종료</t>
        </is>
      </c>
      <c r="F36" s="9" t="inlineStr">
        <is>
          <t>200 L 시간</t>
        </is>
      </c>
      <c r="G36" s="9" t="inlineStr">
        <is>
          <t>시작</t>
        </is>
      </c>
      <c r="H36" s="9" t="inlineStr">
        <is>
          <t>종료</t>
        </is>
      </c>
    </row>
    <row r="37">
      <c r="B37" s="10" t="inlineStr">
        <is>
          <t>IQC</t>
        </is>
      </c>
      <c r="C37" s="17">
        <f>T_IQC</f>
        <v>2</v>
      </c>
      <c r="D37" s="17">
        <f>0</f>
        <v>0</v>
      </c>
      <c r="E37" s="17">
        <f>D37+C37</f>
        <v>2</v>
      </c>
      <c r="F37" s="17">
        <f>T_IQC</f>
        <v>2</v>
      </c>
      <c r="G37" s="17">
        <f>0</f>
        <v>0</v>
      </c>
      <c r="H37" s="17">
        <f>G37+F37</f>
        <v>2</v>
      </c>
    </row>
    <row r="38">
      <c r="B38" s="10" t="inlineStr">
        <is>
          <t>준비·투입</t>
        </is>
      </c>
      <c r="C38" s="17">
        <f>T_PREP</f>
        <v>2</v>
      </c>
      <c r="D38" s="17">
        <f>E37</f>
        <v>2</v>
      </c>
      <c r="E38" s="17">
        <f>D38+C38</f>
        <v>4</v>
      </c>
      <c r="F38" s="17">
        <f>T_PREP</f>
        <v>2</v>
      </c>
      <c r="G38" s="17">
        <f>H37</f>
        <v>2</v>
      </c>
      <c r="H38" s="17">
        <f>G38+F38</f>
        <v>4</v>
      </c>
    </row>
    <row r="39">
      <c r="B39" s="10" t="inlineStr">
        <is>
          <t>순수 정제</t>
        </is>
      </c>
      <c r="C39" s="17">
        <f>T_REF</f>
        <v>45</v>
      </c>
      <c r="D39" s="17">
        <f>E38</f>
        <v>4</v>
      </c>
      <c r="E39" s="17">
        <f>D39+C39</f>
        <v>49</v>
      </c>
      <c r="F39" s="17">
        <f>T_REF</f>
        <v>45</v>
      </c>
      <c r="G39" s="17">
        <f>H38</f>
        <v>4</v>
      </c>
      <c r="H39" s="17">
        <f>G39+F39</f>
        <v>49</v>
      </c>
    </row>
    <row r="40">
      <c r="B40" s="10" t="inlineStr">
        <is>
          <t>PQC~이송</t>
        </is>
      </c>
      <c r="C40" s="17">
        <f>T_PQC</f>
        <v>6</v>
      </c>
      <c r="D40" s="17">
        <f>E39</f>
        <v>49</v>
      </c>
      <c r="E40" s="17">
        <f>D40+C40</f>
        <v>55</v>
      </c>
      <c r="F40" s="17">
        <f>T_PQC</f>
        <v>6</v>
      </c>
      <c r="G40" s="17">
        <f>H39</f>
        <v>49</v>
      </c>
      <c r="H40" s="17">
        <f>G40+F40</f>
        <v>55</v>
      </c>
    </row>
    <row r="41">
      <c r="B41" s="10" t="inlineStr">
        <is>
          <t>FQC</t>
        </is>
      </c>
      <c r="C41" s="17">
        <f>T_FQC</f>
        <v>2</v>
      </c>
      <c r="D41" s="17">
        <f>E40</f>
        <v>55</v>
      </c>
      <c r="E41" s="17">
        <f>D41+C41</f>
        <v>57</v>
      </c>
      <c r="F41" s="17">
        <f>T_FQC</f>
        <v>2</v>
      </c>
      <c r="G41" s="17">
        <f>H40</f>
        <v>55</v>
      </c>
      <c r="H41" s="17">
        <f>G41+F41</f>
        <v>57</v>
      </c>
    </row>
    <row r="42">
      <c r="B42" s="10" t="inlineStr">
        <is>
          <t>대기 (평균)</t>
        </is>
      </c>
      <c r="C42" s="17">
        <f>WAIT_ASIS</f>
        <v>20.6363636363636</v>
      </c>
      <c r="D42" s="17">
        <f>E41</f>
        <v>57</v>
      </c>
      <c r="E42" s="17">
        <f>D42+C42</f>
        <v>77.6363636363636</v>
      </c>
      <c r="F42" s="17">
        <f>WAIT_ASIS</f>
        <v>20.6363636363636</v>
      </c>
      <c r="G42" s="17">
        <f>H41</f>
        <v>57</v>
      </c>
      <c r="H42" s="17">
        <f>G42+F42</f>
        <v>77.6363636363636</v>
      </c>
    </row>
    <row r="43">
      <c r="B43" s="10" t="inlineStr">
        <is>
          <t>충진</t>
        </is>
      </c>
      <c r="C43" s="17">
        <f>FILL_5G*BOT_B</f>
        <v>18</v>
      </c>
      <c r="D43" s="17">
        <f>E42</f>
        <v>77.6363636363636</v>
      </c>
      <c r="E43" s="17">
        <f>D43+C43</f>
        <v>95.6363636363636</v>
      </c>
      <c r="F43" s="17">
        <f>FILL_EZ</f>
        <v>8</v>
      </c>
      <c r="G43" s="17">
        <f>H42</f>
        <v>77.6363636363636</v>
      </c>
      <c r="H43" s="17">
        <f>G43+F43</f>
        <v>85.6363636363636</v>
      </c>
    </row>
    <row r="44">
      <c r="B44" s="10" t="inlineStr">
        <is>
          <t>OQC·출하</t>
        </is>
      </c>
      <c r="C44" s="17">
        <f>OQC_5G</f>
        <v>2</v>
      </c>
      <c r="D44" s="17">
        <f>E43</f>
        <v>95.6363636363636</v>
      </c>
      <c r="E44" s="17">
        <f>D44+C44</f>
        <v>97.6363636363636</v>
      </c>
      <c r="F44" s="17">
        <f>OQC_200</f>
        <v>2</v>
      </c>
      <c r="G44" s="17">
        <f>H43</f>
        <v>85.6363636363636</v>
      </c>
      <c r="H44" s="17">
        <f>G44+F44</f>
        <v>87.6363636363636</v>
      </c>
    </row>
    <row r="46" ht="20" customHeight="1">
      <c r="B46" s="7" t="inlineStr">
        <is>
          <t>④ 월 생산량 비교 — 설비별 주기 = 순수 점유 + 대기</t>
        </is>
      </c>
    </row>
    <row r="47">
      <c r="B47" s="8" t="inlineStr">
        <is>
          <t>기준</t>
        </is>
      </c>
      <c r="C47" s="9" t="inlineStr">
        <is>
          <t>정제기</t>
        </is>
      </c>
      <c r="D47" s="9" t="inlineStr">
        <is>
          <t>Batch/월</t>
        </is>
      </c>
      <c r="E47" s="9" t="inlineStr">
        <is>
          <t>kg/월</t>
        </is>
      </c>
      <c r="F47" s="9" t="inlineStr">
        <is>
          <t>연간 (t)</t>
        </is>
      </c>
      <c r="G47" s="9" t="inlineStr">
        <is>
          <t>설비별 주기 (h)</t>
        </is>
      </c>
      <c r="H47" s="9" t="inlineStr">
        <is>
          <t>순수 (h)</t>
        </is>
      </c>
      <c r="I47" s="9" t="inlineStr">
        <is>
          <t>대기 (h)</t>
        </is>
      </c>
    </row>
    <row r="48">
      <c r="B48" s="10" t="inlineStr">
        <is>
          <t>이론 (순수 정제만)</t>
        </is>
      </c>
      <c r="C48" s="30">
        <f>N_NOW</f>
        <v>1</v>
      </c>
      <c r="D48" s="28">
        <f>INT(MH/T_REF)</f>
        <v>16</v>
      </c>
      <c r="E48" s="32">
        <f>D48*KG_B</f>
        <v>3168</v>
      </c>
      <c r="F48" s="35">
        <f>E48*12/1000</f>
        <v>38.016</v>
      </c>
      <c r="G48" s="13">
        <f>T_REF</f>
        <v>45</v>
      </c>
      <c r="H48" s="17">
        <f>T_REF</f>
        <v>45</v>
      </c>
      <c r="I48" s="13">
        <f>G48-H48</f>
        <v>0</v>
      </c>
    </row>
    <row r="49">
      <c r="B49" s="10" t="inlineStr">
        <is>
          <t>10월 생산계획 (#82~#92)</t>
        </is>
      </c>
      <c r="C49" s="30">
        <f>N_NOW</f>
        <v>1</v>
      </c>
      <c r="D49" s="28">
        <f>PL_B</f>
        <v>11</v>
      </c>
      <c r="E49" s="32">
        <f>PL_KG</f>
        <v>2178</v>
      </c>
      <c r="F49" s="35">
        <f>E49*12/1000</f>
        <v>26.136</v>
      </c>
      <c r="G49" s="13">
        <f>CYC_ASIS</f>
        <v>67.6363636363636</v>
      </c>
      <c r="H49" s="17">
        <f>T_PREP+T_REF</f>
        <v>47</v>
      </c>
      <c r="I49" s="13">
        <f>G49-H49</f>
        <v>20.6363636363636</v>
      </c>
    </row>
    <row r="50">
      <c r="B50" s="10" t="inlineStr">
        <is>
          <t>정제기 1대 계획 (월 12 Batch)</t>
        </is>
      </c>
      <c r="C50" s="30">
        <f>N_NOW</f>
        <v>1</v>
      </c>
      <c r="D50" s="28">
        <f>MB_ONE</f>
        <v>12</v>
      </c>
      <c r="E50" s="32">
        <f>D50*KG_B</f>
        <v>2376</v>
      </c>
      <c r="F50" s="35">
        <f>E50*12/1000</f>
        <v>28.512</v>
      </c>
      <c r="G50" s="13">
        <f>730/D50</f>
        <v>60.8333333333333</v>
      </c>
      <c r="H50" s="17">
        <f>T_PREP+T_REF</f>
        <v>47</v>
      </c>
      <c r="I50" s="13">
        <f>G50-H50</f>
        <v>13.8333333333333</v>
      </c>
    </row>
    <row r="51">
      <c r="B51" s="10" t="inlineStr">
        <is>
          <t>정제기 2대 계획 (월 20 Batch)</t>
        </is>
      </c>
      <c r="C51" s="30">
        <f>N_NEW</f>
        <v>2</v>
      </c>
      <c r="D51" s="28">
        <f>MB_TWO</f>
        <v>20</v>
      </c>
      <c r="E51" s="32">
        <f>D51*KG_B</f>
        <v>3960</v>
      </c>
      <c r="F51" s="35">
        <f>E51*12/1000</f>
        <v>47.52</v>
      </c>
      <c r="G51" s="13">
        <f>N_NEW*730/D51</f>
        <v>73</v>
      </c>
      <c r="H51" s="17">
        <f>T_PREP+T_REF</f>
        <v>47</v>
      </c>
      <c r="I51" s="13">
        <f>G51-H51</f>
        <v>26</v>
      </c>
    </row>
    <row r="52">
      <c r="B52" s="10" t="inlineStr">
        <is>
          <t>현재 Capa. 26.2톤</t>
        </is>
      </c>
      <c r="C52" s="30">
        <f>N_NOW</f>
        <v>1</v>
      </c>
      <c r="D52" s="28">
        <f>E52/KG_B</f>
        <v>11.026936026936</v>
      </c>
      <c r="E52" s="32">
        <f>CAPA_NOW*1000/12</f>
        <v>2183.33333333333</v>
      </c>
      <c r="F52" s="35">
        <f>CAPA_NOW</f>
        <v>26.2</v>
      </c>
      <c r="G52" s="13">
        <f>730/D52</f>
        <v>66.2015267175572</v>
      </c>
      <c r="H52" s="17">
        <f>T_PREP+T_REF</f>
        <v>47</v>
      </c>
      <c r="I52" s="13">
        <f>G52-H52</f>
        <v>19.2015267175572</v>
      </c>
    </row>
    <row r="53">
      <c r="B53" s="10" t="inlineStr">
        <is>
          <t>리플럭스 47.2톤</t>
        </is>
      </c>
      <c r="C53" s="30">
        <f>N_NEW</f>
        <v>2</v>
      </c>
      <c r="D53" s="28">
        <f>E53/KG_B</f>
        <v>19.8653198653199</v>
      </c>
      <c r="E53" s="32">
        <f>CAPA_RF*1000/12</f>
        <v>3933.33333333333</v>
      </c>
      <c r="F53" s="35">
        <f>CAPA_RF</f>
        <v>47.2</v>
      </c>
      <c r="G53" s="13">
        <f>N_NEW*730/D53</f>
        <v>73.4949152542373</v>
      </c>
      <c r="H53" s="17">
        <f>T_PREP+T_REF</f>
        <v>47</v>
      </c>
      <c r="I53" s="13">
        <f>G53-H53</f>
        <v>26.4949152542373</v>
      </c>
    </row>
    <row r="55" ht="20" customHeight="1">
      <c r="B55" s="7" t="inlineStr">
        <is>
          <t>⑤ 정제기 2대 운영 예시 — 완료 = 투입 + 5 Gal 실제 소요 (대기 포함)</t>
        </is>
      </c>
    </row>
    <row r="56">
      <c r="B56" s="10" t="inlineStr">
        <is>
          <t>설비별 투입 간격 (월 20 Batch 역산)</t>
        </is>
      </c>
      <c r="C56" s="13">
        <f>IF(ISNUMBER(INT_NEXT),INT_NEXT,N_NEW*(8760/12)/MB_TWO)</f>
        <v>73</v>
      </c>
      <c r="D56" s="18" t="inlineStr">
        <is>
          <t>2대 × 평균 월 730 h ÷ 20 Batch</t>
        </is>
      </c>
    </row>
    <row r="57">
      <c r="B57" s="10" t="inlineStr">
        <is>
          <t>설비별 대기 (주기 − 순수 47 h)</t>
        </is>
      </c>
      <c r="C57" s="13">
        <f>INT_RF-T_PREP-T_REF</f>
        <v>26</v>
      </c>
    </row>
    <row r="58">
      <c r="B58" s="10" t="inlineStr">
        <is>
          <t>정제기 2 투입 시차 (가정)</t>
        </is>
      </c>
      <c r="C58" s="17">
        <f>OFFSET_H</f>
        <v>30</v>
      </c>
    </row>
    <row r="59">
      <c r="B59" s="10" t="inlineStr">
        <is>
          <t>예시 월 · 시간</t>
        </is>
      </c>
      <c r="C59" s="29">
        <f>TOBE_M</f>
        <v>46569.0</v>
      </c>
      <c r="D59" s="30">
        <f>DAY(EOMONTH(TOBE_M,0))*24</f>
        <v>744</v>
      </c>
    </row>
    <row r="60">
      <c r="B60" s="9" t="inlineStr">
        <is>
          <t>순번</t>
        </is>
      </c>
      <c r="C60" s="9" t="inlineStr">
        <is>
          <t>정제기 1 투입 (h)</t>
        </is>
      </c>
      <c r="D60" s="9" t="inlineStr">
        <is>
          <t>완료 (h)</t>
        </is>
      </c>
      <c r="E60" s="9" t="inlineStr">
        <is>
          <t>완료일</t>
        </is>
      </c>
      <c r="F60" s="9" t="inlineStr">
        <is>
          <t>이 달 완료</t>
        </is>
      </c>
      <c r="G60" s="9" t="inlineStr">
        <is>
          <t>정제기 2 투입 (h)</t>
        </is>
      </c>
      <c r="H60" s="9" t="inlineStr">
        <is>
          <t>완료 (h)</t>
        </is>
      </c>
      <c r="I60" s="9" t="inlineStr">
        <is>
          <t>완료일</t>
        </is>
      </c>
      <c r="J60" s="9" t="inlineStr">
        <is>
          <t>이 달 완료</t>
        </is>
      </c>
    </row>
    <row r="61">
      <c r="B61" s="30" t="n">
        <v>-3</v>
      </c>
      <c r="C61" s="17">
        <f>0+B61*INT_RF</f>
        <v>-219</v>
      </c>
      <c r="D61" s="17">
        <f>C61+LT_5G</f>
        <v>-121.363636363636</v>
      </c>
      <c r="E61" s="29">
        <f>TOBE_M+INT(D61/24)</f>
        <v>46563.0</v>
      </c>
      <c r="F61" s="30">
        <f>IF(AND(D61&gt;=0,D61&lt;TOBE_H),1,0)</f>
        <v>0</v>
      </c>
      <c r="G61" s="17">
        <f>OFFSET_H+B61*INT_RF</f>
        <v>-189</v>
      </c>
      <c r="H61" s="17">
        <f>G61+LT_5G</f>
        <v>-91.3636363636364</v>
      </c>
      <c r="I61" s="29">
        <f>TOBE_M+INT(H61/24)</f>
        <v>46565.0</v>
      </c>
      <c r="J61" s="30">
        <f>IF(AND(H61&gt;=0,H61&lt;TOBE_H),1,0)</f>
        <v>0</v>
      </c>
    </row>
    <row r="62">
      <c r="B62" s="30" t="n">
        <v>-2</v>
      </c>
      <c r="C62" s="17">
        <f>0+B62*INT_RF</f>
        <v>-146</v>
      </c>
      <c r="D62" s="17">
        <f>C62+LT_5G</f>
        <v>-48.3636363636364</v>
      </c>
      <c r="E62" s="29">
        <f>TOBE_M+INT(D62/24)</f>
        <v>46566.0</v>
      </c>
      <c r="F62" s="30">
        <f>IF(AND(D62&gt;=0,D62&lt;TOBE_H),1,0)</f>
        <v>0</v>
      </c>
      <c r="G62" s="17">
        <f>OFFSET_H+B62*INT_RF</f>
        <v>-116</v>
      </c>
      <c r="H62" s="17">
        <f>G62+LT_5G</f>
        <v>-18.3636363636364</v>
      </c>
      <c r="I62" s="29">
        <f>TOBE_M+INT(H62/24)</f>
        <v>46568.0</v>
      </c>
      <c r="J62" s="30">
        <f>IF(AND(H62&gt;=0,H62&lt;TOBE_H),1,0)</f>
        <v>0</v>
      </c>
    </row>
    <row r="63">
      <c r="B63" s="30" t="n">
        <v>-1</v>
      </c>
      <c r="C63" s="17">
        <f>0+B63*INT_RF</f>
        <v>-73</v>
      </c>
      <c r="D63" s="17">
        <f>C63+LT_5G</f>
        <v>24.6363636363636</v>
      </c>
      <c r="E63" s="29">
        <f>TOBE_M+INT(D63/24)</f>
        <v>46570.0</v>
      </c>
      <c r="F63" s="30">
        <f>IF(AND(D63&gt;=0,D63&lt;TOBE_H),1,0)</f>
        <v>1</v>
      </c>
      <c r="G63" s="17">
        <f>OFFSET_H+B63*INT_RF</f>
        <v>-43</v>
      </c>
      <c r="H63" s="17">
        <f>G63+LT_5G</f>
        <v>54.6363636363636</v>
      </c>
      <c r="I63" s="29">
        <f>TOBE_M+INT(H63/24)</f>
        <v>46571.0</v>
      </c>
      <c r="J63" s="30">
        <f>IF(AND(H63&gt;=0,H63&lt;TOBE_H),1,0)</f>
        <v>1</v>
      </c>
    </row>
    <row r="64">
      <c r="B64" s="30" t="n">
        <v>0</v>
      </c>
      <c r="C64" s="17">
        <f>0+B64*INT_RF</f>
        <v>0</v>
      </c>
      <c r="D64" s="17">
        <f>C64+LT_5G</f>
        <v>97.6363636363636</v>
      </c>
      <c r="E64" s="29">
        <f>TOBE_M+INT(D64/24)</f>
        <v>46573.0</v>
      </c>
      <c r="F64" s="30">
        <f>IF(AND(D64&gt;=0,D64&lt;TOBE_H),1,0)</f>
        <v>1</v>
      </c>
      <c r="G64" s="17">
        <f>OFFSET_H+B64*INT_RF</f>
        <v>30</v>
      </c>
      <c r="H64" s="17">
        <f>G64+LT_5G</f>
        <v>127.636363636364</v>
      </c>
      <c r="I64" s="29">
        <f>TOBE_M+INT(H64/24)</f>
        <v>46574.0</v>
      </c>
      <c r="J64" s="30">
        <f>IF(AND(H64&gt;=0,H64&lt;TOBE_H),1,0)</f>
        <v>1</v>
      </c>
    </row>
    <row r="65">
      <c r="B65" s="30" t="n">
        <v>1</v>
      </c>
      <c r="C65" s="17">
        <f>0+B65*INT_RF</f>
        <v>73</v>
      </c>
      <c r="D65" s="17">
        <f>C65+LT_5G</f>
        <v>170.636363636364</v>
      </c>
      <c r="E65" s="29">
        <f>TOBE_M+INT(D65/24)</f>
        <v>46576.0</v>
      </c>
      <c r="F65" s="30">
        <f>IF(AND(D65&gt;=0,D65&lt;TOBE_H),1,0)</f>
        <v>1</v>
      </c>
      <c r="G65" s="17">
        <f>OFFSET_H+B65*INT_RF</f>
        <v>103</v>
      </c>
      <c r="H65" s="17">
        <f>G65+LT_5G</f>
        <v>200.636363636364</v>
      </c>
      <c r="I65" s="29">
        <f>TOBE_M+INT(H65/24)</f>
        <v>46577.0</v>
      </c>
      <c r="J65" s="30">
        <f>IF(AND(H65&gt;=0,H65&lt;TOBE_H),1,0)</f>
        <v>1</v>
      </c>
    </row>
    <row r="66">
      <c r="B66" s="30" t="n">
        <v>2</v>
      </c>
      <c r="C66" s="17">
        <f>0+B66*INT_RF</f>
        <v>146</v>
      </c>
      <c r="D66" s="17">
        <f>C66+LT_5G</f>
        <v>243.636363636364</v>
      </c>
      <c r="E66" s="29">
        <f>TOBE_M+INT(D66/24)</f>
        <v>46579.0</v>
      </c>
      <c r="F66" s="30">
        <f>IF(AND(D66&gt;=0,D66&lt;TOBE_H),1,0)</f>
        <v>1</v>
      </c>
      <c r="G66" s="17">
        <f>OFFSET_H+B66*INT_RF</f>
        <v>176</v>
      </c>
      <c r="H66" s="17">
        <f>G66+LT_5G</f>
        <v>273.636363636364</v>
      </c>
      <c r="I66" s="29">
        <f>TOBE_M+INT(H66/24)</f>
        <v>46580.0</v>
      </c>
      <c r="J66" s="30">
        <f>IF(AND(H66&gt;=0,H66&lt;TOBE_H),1,0)</f>
        <v>1</v>
      </c>
    </row>
    <row r="67">
      <c r="B67" s="30" t="n">
        <v>3</v>
      </c>
      <c r="C67" s="17">
        <f>0+B67*INT_RF</f>
        <v>219</v>
      </c>
      <c r="D67" s="17">
        <f>C67+LT_5G</f>
        <v>316.636363636364</v>
      </c>
      <c r="E67" s="29">
        <f>TOBE_M+INT(D67/24)</f>
        <v>46582.0</v>
      </c>
      <c r="F67" s="30">
        <f>IF(AND(D67&gt;=0,D67&lt;TOBE_H),1,0)</f>
        <v>1</v>
      </c>
      <c r="G67" s="17">
        <f>OFFSET_H+B67*INT_RF</f>
        <v>249</v>
      </c>
      <c r="H67" s="17">
        <f>G67+LT_5G</f>
        <v>346.636363636364</v>
      </c>
      <c r="I67" s="29">
        <f>TOBE_M+INT(H67/24)</f>
        <v>46583.0</v>
      </c>
      <c r="J67" s="30">
        <f>IF(AND(H67&gt;=0,H67&lt;TOBE_H),1,0)</f>
        <v>1</v>
      </c>
    </row>
    <row r="68">
      <c r="B68" s="30" t="n">
        <v>4</v>
      </c>
      <c r="C68" s="17">
        <f>0+B68*INT_RF</f>
        <v>292</v>
      </c>
      <c r="D68" s="17">
        <f>C68+LT_5G</f>
        <v>389.636363636364</v>
      </c>
      <c r="E68" s="29">
        <f>TOBE_M+INT(D68/24)</f>
        <v>46585.0</v>
      </c>
      <c r="F68" s="30">
        <f>IF(AND(D68&gt;=0,D68&lt;TOBE_H),1,0)</f>
        <v>1</v>
      </c>
      <c r="G68" s="17">
        <f>OFFSET_H+B68*INT_RF</f>
        <v>322</v>
      </c>
      <c r="H68" s="17">
        <f>G68+LT_5G</f>
        <v>419.636363636364</v>
      </c>
      <c r="I68" s="29">
        <f>TOBE_M+INT(H68/24)</f>
        <v>46586.0</v>
      </c>
      <c r="J68" s="30">
        <f>IF(AND(H68&gt;=0,H68&lt;TOBE_H),1,0)</f>
        <v>1</v>
      </c>
    </row>
    <row r="69">
      <c r="B69" s="30" t="n">
        <v>5</v>
      </c>
      <c r="C69" s="17">
        <f>0+B69*INT_RF</f>
        <v>365</v>
      </c>
      <c r="D69" s="17">
        <f>C69+LT_5G</f>
        <v>462.636363636364</v>
      </c>
      <c r="E69" s="29">
        <f>TOBE_M+INT(D69/24)</f>
        <v>46588.0</v>
      </c>
      <c r="F69" s="30">
        <f>IF(AND(D69&gt;=0,D69&lt;TOBE_H),1,0)</f>
        <v>1</v>
      </c>
      <c r="G69" s="17">
        <f>OFFSET_H+B69*INT_RF</f>
        <v>395</v>
      </c>
      <c r="H69" s="17">
        <f>G69+LT_5G</f>
        <v>492.636363636364</v>
      </c>
      <c r="I69" s="29">
        <f>TOBE_M+INT(H69/24)</f>
        <v>46589.0</v>
      </c>
      <c r="J69" s="30">
        <f>IF(AND(H69&gt;=0,H69&lt;TOBE_H),1,0)</f>
        <v>1</v>
      </c>
    </row>
    <row r="70">
      <c r="B70" s="30" t="n">
        <v>6</v>
      </c>
      <c r="C70" s="17">
        <f>0+B70*INT_RF</f>
        <v>438</v>
      </c>
      <c r="D70" s="17">
        <f>C70+LT_5G</f>
        <v>535.636363636364</v>
      </c>
      <c r="E70" s="29">
        <f>TOBE_M+INT(D70/24)</f>
        <v>46591.0</v>
      </c>
      <c r="F70" s="30">
        <f>IF(AND(D70&gt;=0,D70&lt;TOBE_H),1,0)</f>
        <v>1</v>
      </c>
      <c r="G70" s="17">
        <f>OFFSET_H+B70*INT_RF</f>
        <v>468</v>
      </c>
      <c r="H70" s="17">
        <f>G70+LT_5G</f>
        <v>565.636363636364</v>
      </c>
      <c r="I70" s="29">
        <f>TOBE_M+INT(H70/24)</f>
        <v>46592.0</v>
      </c>
      <c r="J70" s="30">
        <f>IF(AND(H70&gt;=0,H70&lt;TOBE_H),1,0)</f>
        <v>1</v>
      </c>
    </row>
    <row r="71">
      <c r="B71" s="30" t="n">
        <v>7</v>
      </c>
      <c r="C71" s="17">
        <f>0+B71*INT_RF</f>
        <v>511</v>
      </c>
      <c r="D71" s="17">
        <f>C71+LT_5G</f>
        <v>608.636363636364</v>
      </c>
      <c r="E71" s="29">
        <f>TOBE_M+INT(D71/24)</f>
        <v>46594.0</v>
      </c>
      <c r="F71" s="30">
        <f>IF(AND(D71&gt;=0,D71&lt;TOBE_H),1,0)</f>
        <v>1</v>
      </c>
      <c r="G71" s="17">
        <f>OFFSET_H+B71*INT_RF</f>
        <v>541</v>
      </c>
      <c r="H71" s="17">
        <f>G71+LT_5G</f>
        <v>638.636363636364</v>
      </c>
      <c r="I71" s="29">
        <f>TOBE_M+INT(H71/24)</f>
        <v>46595.0</v>
      </c>
      <c r="J71" s="30">
        <f>IF(AND(H71&gt;=0,H71&lt;TOBE_H),1,0)</f>
        <v>1</v>
      </c>
    </row>
    <row r="72">
      <c r="B72" s="30" t="n">
        <v>8</v>
      </c>
      <c r="C72" s="17">
        <f>0+B72*INT_RF</f>
        <v>584</v>
      </c>
      <c r="D72" s="17">
        <f>C72+LT_5G</f>
        <v>681.636363636364</v>
      </c>
      <c r="E72" s="29">
        <f>TOBE_M+INT(D72/24)</f>
        <v>46597.0</v>
      </c>
      <c r="F72" s="30">
        <f>IF(AND(D72&gt;=0,D72&lt;TOBE_H),1,0)</f>
        <v>1</v>
      </c>
      <c r="G72" s="17">
        <f>OFFSET_H+B72*INT_RF</f>
        <v>614</v>
      </c>
      <c r="H72" s="17">
        <f>G72+LT_5G</f>
        <v>711.636363636364</v>
      </c>
      <c r="I72" s="29">
        <f>TOBE_M+INT(H72/24)</f>
        <v>46598.0</v>
      </c>
      <c r="J72" s="30">
        <f>IF(AND(H72&gt;=0,H72&lt;TOBE_H),1,0)</f>
        <v>1</v>
      </c>
    </row>
    <row r="73">
      <c r="B73" s="30" t="n">
        <v>9</v>
      </c>
      <c r="C73" s="17">
        <f>0+B73*INT_RF</f>
        <v>657</v>
      </c>
      <c r="D73" s="17">
        <f>C73+LT_5G</f>
        <v>754.636363636364</v>
      </c>
      <c r="E73" s="29">
        <f>TOBE_M+INT(D73/24)</f>
        <v>46600.0</v>
      </c>
      <c r="F73" s="30">
        <f>IF(AND(D73&gt;=0,D73&lt;TOBE_H),1,0)</f>
        <v>0</v>
      </c>
      <c r="G73" s="17">
        <f>OFFSET_H+B73*INT_RF</f>
        <v>687</v>
      </c>
      <c r="H73" s="17">
        <f>G73+LT_5G</f>
        <v>784.636363636364</v>
      </c>
      <c r="I73" s="29">
        <f>TOBE_M+INT(H73/24)</f>
        <v>46601.0</v>
      </c>
      <c r="J73" s="30">
        <f>IF(AND(H73&gt;=0,H73&lt;TOBE_H),1,0)</f>
        <v>0</v>
      </c>
    </row>
    <row r="74">
      <c r="B74" s="30" t="n">
        <v>10</v>
      </c>
      <c r="C74" s="17">
        <f>0+B74*INT_RF</f>
        <v>730</v>
      </c>
      <c r="D74" s="17">
        <f>C74+LT_5G</f>
        <v>827.636363636364</v>
      </c>
      <c r="E74" s="29">
        <f>TOBE_M+INT(D74/24)</f>
        <v>46603.0</v>
      </c>
      <c r="F74" s="30">
        <f>IF(AND(D74&gt;=0,D74&lt;TOBE_H),1,0)</f>
        <v>0</v>
      </c>
      <c r="G74" s="17">
        <f>OFFSET_H+B74*INT_RF</f>
        <v>760</v>
      </c>
      <c r="H74" s="17">
        <f>G74+LT_5G</f>
        <v>857.636363636364</v>
      </c>
      <c r="I74" s="29">
        <f>TOBE_M+INT(H74/24)</f>
        <v>46604.0</v>
      </c>
      <c r="J74" s="30">
        <f>IF(AND(H74&gt;=0,H74&lt;TOBE_H),1,0)</f>
        <v>0</v>
      </c>
    </row>
    <row r="75">
      <c r="B75" s="30" t="n">
        <v>11</v>
      </c>
      <c r="C75" s="17">
        <f>0+B75*INT_RF</f>
        <v>803</v>
      </c>
      <c r="D75" s="17">
        <f>C75+LT_5G</f>
        <v>900.636363636364</v>
      </c>
      <c r="E75" s="29">
        <f>TOBE_M+INT(D75/24)</f>
        <v>46606.0</v>
      </c>
      <c r="F75" s="30">
        <f>IF(AND(D75&gt;=0,D75&lt;TOBE_H),1,0)</f>
        <v>0</v>
      </c>
      <c r="G75" s="17">
        <f>OFFSET_H+B75*INT_RF</f>
        <v>833</v>
      </c>
      <c r="H75" s="17">
        <f>G75+LT_5G</f>
        <v>930.636363636364</v>
      </c>
      <c r="I75" s="29">
        <f>TOBE_M+INT(H75/24)</f>
        <v>46607.0</v>
      </c>
      <c r="J75" s="30">
        <f>IF(AND(H75&gt;=0,H75&lt;TOBE_H),1,0)</f>
        <v>0</v>
      </c>
    </row>
    <row r="76">
      <c r="B76" s="30" t="n">
        <v>12</v>
      </c>
      <c r="C76" s="17">
        <f>0+B76*INT_RF</f>
        <v>876</v>
      </c>
      <c r="D76" s="17">
        <f>C76+LT_5G</f>
        <v>973.636363636364</v>
      </c>
      <c r="E76" s="29">
        <f>TOBE_M+INT(D76/24)</f>
        <v>46609.0</v>
      </c>
      <c r="F76" s="30">
        <f>IF(AND(D76&gt;=0,D76&lt;TOBE_H),1,0)</f>
        <v>0</v>
      </c>
      <c r="G76" s="17">
        <f>OFFSET_H+B76*INT_RF</f>
        <v>906</v>
      </c>
      <c r="H76" s="17">
        <f>G76+LT_5G</f>
        <v>1003.63636363636</v>
      </c>
      <c r="I76" s="29">
        <f>TOBE_M+INT(H76/24)</f>
        <v>46610.0</v>
      </c>
      <c r="J76" s="30">
        <f>IF(AND(H76&gt;=0,H76&lt;TOBE_H),1,0)</f>
        <v>0</v>
      </c>
    </row>
    <row r="77">
      <c r="B77" s="36" t="inlineStr">
        <is>
          <t>이 달 완료 Batch / kg</t>
        </is>
      </c>
      <c r="C77" s="31">
        <f>SUM(F61:F76)+SUM(J61:J76)</f>
        <v>20</v>
      </c>
      <c r="D77" s="32">
        <f>C77*KG_B</f>
        <v>3960</v>
      </c>
    </row>
    <row r="78">
      <c r="B78" s="10" t="inlineStr">
        <is>
          <t>정제기 2대 계획 월 Batch</t>
        </is>
      </c>
      <c r="C78" s="33">
        <f>MB_TWO</f>
        <v>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B002C"/>
    <outlinePr summaryBelow="1" summaryRight="1"/>
    <pageSetUpPr/>
  </sheetPr>
  <dimension ref="B1:G1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0" customWidth="1" min="8" max="8"/>
  </cols>
  <sheetData>
    <row r="1">
      <c r="B1" s="1" t="inlineStr">
        <is>
          <t>04_Capa기준 | 월 Batch 기준 생산능력 · 리플럭스 도입 일정 (Case별)</t>
        </is>
      </c>
    </row>
    <row r="2">
      <c r="B2" s="2" t="inlineStr">
        <is>
          <t>kg/Batch = Batch size 200 kg × Yield 99% = 198 kg.</t>
        </is>
      </c>
    </row>
    <row r="4" ht="20" customHeight="1">
      <c r="B4" s="7" t="inlineStr">
        <is>
          <t>① 생산능력 기준</t>
        </is>
      </c>
    </row>
    <row r="5">
      <c r="B5" s="8" t="inlineStr">
        <is>
          <t>구분</t>
        </is>
      </c>
      <c r="C5" s="9" t="inlineStr">
        <is>
          <t>월 Batch</t>
        </is>
      </c>
      <c r="D5" s="9" t="inlineStr">
        <is>
          <t>kg/월</t>
        </is>
      </c>
      <c r="E5" s="9" t="inlineStr">
        <is>
          <t>연간 (t)</t>
        </is>
      </c>
      <c r="F5" s="9" t="inlineStr">
        <is>
          <t>적용</t>
        </is>
      </c>
      <c r="G5" s="8" t="inlineStr">
        <is>
          <t>비고</t>
        </is>
      </c>
    </row>
    <row r="6">
      <c r="B6" s="10" t="inlineStr">
        <is>
          <t>정제기 1대 (현재)</t>
        </is>
      </c>
      <c r="C6" s="30">
        <f>MB_ONE</f>
        <v>12</v>
      </c>
      <c r="D6" s="32">
        <f>C6*KG_B</f>
        <v>2376</v>
      </c>
      <c r="E6" s="35">
        <f>D6*12/1000</f>
        <v>28.512</v>
      </c>
      <c r="F6" s="5" t="inlineStr">
        <is>
          <t>1대 운영 기간</t>
        </is>
      </c>
      <c r="G6" s="18" t="inlineStr">
        <is>
          <t>12 × 198 kg</t>
        </is>
      </c>
    </row>
    <row r="7">
      <c r="B7" s="10" t="inlineStr">
        <is>
          <t>정제기 2대 (리플럭스 후)</t>
        </is>
      </c>
      <c r="C7" s="30">
        <f>MB_TWO</f>
        <v>20</v>
      </c>
      <c r="D7" s="32">
        <f>C7*KG_B</f>
        <v>3960</v>
      </c>
      <c r="E7" s="35">
        <f>D7*12/1000</f>
        <v>47.52</v>
      </c>
      <c r="F7" s="5" t="inlineStr">
        <is>
          <t>운전 시작 다음 달~</t>
        </is>
      </c>
      <c r="G7" s="18" t="inlineStr">
        <is>
          <t>20 × 198 kg · 47.2톤 계획 수준</t>
        </is>
      </c>
    </row>
    <row r="8">
      <c r="B8" s="10" t="inlineStr">
        <is>
          <t>대정비 월 ('27.4)</t>
        </is>
      </c>
      <c r="C8" s="30">
        <f>MB_MAINT</f>
        <v>6</v>
      </c>
      <c r="D8" s="32">
        <f>C8*KG_B</f>
        <v>1188</v>
      </c>
      <c r="E8" s="35" t="inlineStr">
        <is>
          <t>-</t>
        </is>
      </c>
      <c r="F8" s="5" t="inlineStr">
        <is>
          <t>'27.4</t>
        </is>
      </c>
      <c r="G8" s="18" t="inlineStr">
        <is>
          <t>6 × 198 kg</t>
        </is>
      </c>
    </row>
    <row r="9">
      <c r="B9" s="10" t="inlineStr">
        <is>
          <t>리플럭스 도입 다음 달 (Case I·II '27.2)</t>
        </is>
      </c>
      <c r="C9" s="30">
        <f>16</f>
        <v>16</v>
      </c>
      <c r="D9" s="32">
        <f>C9*KG_B</f>
        <v>3168</v>
      </c>
      <c r="E9" s="35" t="inlineStr">
        <is>
          <t>-</t>
        </is>
      </c>
      <c r="F9" s="5" t="inlineStr">
        <is>
          <t>'27.2</t>
        </is>
      </c>
      <c r="G9" s="18" t="inlineStr">
        <is>
          <t>16 × 198 kg (가동 시작 월)</t>
        </is>
      </c>
    </row>
    <row r="10">
      <c r="B10" s="10" t="inlineStr">
        <is>
          <t>참고: 현재 Capa. 26.2톤 · 리플럭스 47.2톤</t>
        </is>
      </c>
      <c r="C10" s="28">
        <f>CAPA_NOW*1000/12/KG_B</f>
        <v>11.026936026936</v>
      </c>
      <c r="D10" s="25">
        <f>CAPA_NOW*1000/12</f>
        <v>2183.33333333333</v>
      </c>
      <c r="E10" s="35">
        <f>CAPA_RF</f>
        <v>47.2</v>
      </c>
      <c r="G10" s="18" t="inlineStr">
        <is>
          <t>월 Batch는 26.2톤 기준 환산</t>
        </is>
      </c>
    </row>
    <row r="12" ht="20" customHeight="1">
      <c r="B12" s="7" t="inlineStr">
        <is>
          <t>② Case별 리플럭스 도입 일정</t>
        </is>
      </c>
    </row>
    <row r="13">
      <c r="B13" s="8" t="inlineStr">
        <is>
          <t>Case</t>
        </is>
      </c>
      <c r="C13" s="8" t="inlineStr">
        <is>
          <t>판매</t>
        </is>
      </c>
      <c r="D13" s="8" t="inlineStr">
        <is>
          <t>리플럭스 도입</t>
        </is>
      </c>
      <c r="E13" s="8" t="inlineStr">
        <is>
          <t>운전 시작</t>
        </is>
      </c>
      <c r="F13" s="8" t="inlineStr">
        <is>
          <t>비고</t>
        </is>
      </c>
    </row>
    <row r="14">
      <c r="B14" s="10" t="inlineStr">
        <is>
          <t>Case I</t>
        </is>
      </c>
      <c r="C14" s="37" t="inlineStr">
        <is>
          <t>계획 比 CXMT·이지켐 조정</t>
        </is>
      </c>
      <c r="D14" s="15" t="n">
        <v>46388</v>
      </c>
      <c r="E14" s="15" t="n">
        <v>46419</v>
      </c>
      <c r="F14" s="18" t="inlineStr"/>
    </row>
    <row r="15">
      <c r="B15" s="10" t="inlineStr">
        <is>
          <t>Case II</t>
        </is>
      </c>
      <c r="C15" s="37" t="inlineStr">
        <is>
          <t>추가 물량 (월 300 kg)</t>
        </is>
      </c>
      <c r="D15" s="15" t="n">
        <v>46388</v>
      </c>
      <c r="E15" s="15" t="n">
        <v>46419</v>
      </c>
      <c r="F15" s="18" t="inlineStr"/>
    </row>
    <row r="16">
      <c r="B16" s="10" t="inlineStr">
        <is>
          <t>Case III</t>
        </is>
      </c>
      <c r="C16" s="37" t="inlineStr">
        <is>
          <t>추가 물량 (월 300 kg)</t>
        </is>
      </c>
      <c r="D16" s="15" t="n">
        <v>46478</v>
      </c>
      <c r="E16" s="15" t="n">
        <v>46508</v>
      </c>
      <c r="F16" s="18" t="inlineStr">
        <is>
          <t>외부 상품 도입 반영 필요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7900"/>
    <outlinePr summaryBelow="1" summaryRight="1"/>
    <pageSetUpPr/>
  </sheetPr>
  <dimension ref="B1:S24"/>
  <sheetViews>
    <sheetView showGridLines="0" zoomScale="9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10" customWidth="1" min="19" max="19"/>
  </cols>
  <sheetData>
    <row r="1">
      <c r="B1" s="1" t="inlineStr">
        <is>
          <t>05_Case1 | Case I — 2026.9 ~ 2027.12 생산 · 판매 · 재고 (kg)</t>
        </is>
      </c>
    </row>
    <row r="2">
      <c r="B2" s="2" t="inlineStr">
        <is>
          <t>파란 글자 = 협의 자료 입력 · 검정 = 계산 (생산 = Batch × kg/Batch, 재고 = 전월 재고 + 생산 − 판매).</t>
        </is>
      </c>
    </row>
    <row r="3">
      <c r="B3" s="38" t="inlineStr">
        <is>
          <t>판매 : 계획 比 CXMT, 이지켐 물량 조정</t>
        </is>
      </c>
    </row>
    <row r="4">
      <c r="B4" s="38" t="inlineStr">
        <is>
          <t>생산 : 1월 Reflux Column 도입 운영 (2월 운전)</t>
        </is>
      </c>
    </row>
    <row r="5">
      <c r="B5" s="39" t="inlineStr"/>
    </row>
    <row r="7">
      <c r="B7" s="9" t="inlineStr"/>
      <c r="C7" s="9" t="inlineStr">
        <is>
          <t>2026년</t>
        </is>
      </c>
      <c r="D7" s="26" t="n"/>
      <c r="E7" s="26" t="n"/>
      <c r="F7" s="27" t="n"/>
      <c r="G7" s="9" t="inlineStr">
        <is>
          <t>2027년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7" t="n"/>
      <c r="S7" s="9" t="inlineStr"/>
    </row>
    <row r="8">
      <c r="B8" s="8" t="inlineStr">
        <is>
          <t>구분 (kg)</t>
        </is>
      </c>
      <c r="C8" s="40" t="n">
        <v>46266</v>
      </c>
      <c r="D8" s="40" t="n">
        <v>46296</v>
      </c>
      <c r="E8" s="40" t="n">
        <v>46327</v>
      </c>
      <c r="F8" s="40" t="n">
        <v>46357</v>
      </c>
      <c r="G8" s="40" t="n">
        <v>46388</v>
      </c>
      <c r="H8" s="40" t="n">
        <v>46419</v>
      </c>
      <c r="I8" s="40" t="n">
        <v>46447</v>
      </c>
      <c r="J8" s="40" t="n">
        <v>46478</v>
      </c>
      <c r="K8" s="40" t="n">
        <v>46508</v>
      </c>
      <c r="L8" s="40" t="n">
        <v>46539</v>
      </c>
      <c r="M8" s="40" t="n">
        <v>46569</v>
      </c>
      <c r="N8" s="40" t="n">
        <v>46600</v>
      </c>
      <c r="O8" s="40" t="n">
        <v>46631</v>
      </c>
      <c r="P8" s="40" t="n">
        <v>46661</v>
      </c>
      <c r="Q8" s="40" t="n">
        <v>46692</v>
      </c>
      <c r="R8" s="40" t="n">
        <v>46722</v>
      </c>
      <c r="S8" s="9" t="inlineStr">
        <is>
          <t>27년 합계</t>
        </is>
      </c>
    </row>
    <row r="9">
      <c r="B9" s="10" t="inlineStr">
        <is>
          <t>Batch (월)</t>
        </is>
      </c>
      <c r="C9" s="30" t="inlineStr">
        <is>
          <t>-</t>
        </is>
      </c>
      <c r="D9" s="14" t="n">
        <v>12</v>
      </c>
      <c r="E9" s="14" t="n">
        <v>12</v>
      </c>
      <c r="F9" s="14" t="n">
        <v>12</v>
      </c>
      <c r="G9" s="14" t="n">
        <v>12</v>
      </c>
      <c r="H9" s="14" t="n">
        <v>16</v>
      </c>
      <c r="I9" s="14" t="n">
        <v>20</v>
      </c>
      <c r="J9" s="14" t="n">
        <v>6</v>
      </c>
      <c r="K9" s="14" t="n">
        <v>20</v>
      </c>
      <c r="L9" s="14" t="n">
        <v>20</v>
      </c>
      <c r="M9" s="14" t="n">
        <v>20</v>
      </c>
      <c r="N9" s="14" t="n">
        <v>20</v>
      </c>
      <c r="O9" s="14" t="n">
        <v>20</v>
      </c>
      <c r="P9" s="14" t="n">
        <v>20</v>
      </c>
      <c r="Q9" s="14" t="n">
        <v>20</v>
      </c>
      <c r="R9" s="14" t="n">
        <v>20</v>
      </c>
      <c r="S9" s="31">
        <f>SUM(G9:R9)</f>
        <v>214</v>
      </c>
    </row>
    <row r="10">
      <c r="B10" s="36" t="inlineStr">
        <is>
          <t>생산</t>
        </is>
      </c>
      <c r="C10" s="41" t="n">
        <v>1770</v>
      </c>
      <c r="D10" s="32">
        <f>D9*KG_B</f>
        <v>2376</v>
      </c>
      <c r="E10" s="32">
        <f>E9*KG_B</f>
        <v>2376</v>
      </c>
      <c r="F10" s="32">
        <f>F9*KG_B</f>
        <v>2376</v>
      </c>
      <c r="G10" s="32">
        <f>G9*KG_B</f>
        <v>2376</v>
      </c>
      <c r="H10" s="32">
        <f>H9*KG_B</f>
        <v>3168</v>
      </c>
      <c r="I10" s="32">
        <f>I9*KG_B</f>
        <v>3960</v>
      </c>
      <c r="J10" s="32">
        <f>J9*KG_B</f>
        <v>1188</v>
      </c>
      <c r="K10" s="32">
        <f>K9*KG_B</f>
        <v>3960</v>
      </c>
      <c r="L10" s="32">
        <f>L9*KG_B</f>
        <v>3960</v>
      </c>
      <c r="M10" s="32">
        <f>M9*KG_B</f>
        <v>3960</v>
      </c>
      <c r="N10" s="32">
        <f>N9*KG_B</f>
        <v>3960</v>
      </c>
      <c r="O10" s="32">
        <f>O9*KG_B</f>
        <v>3960</v>
      </c>
      <c r="P10" s="32">
        <f>P9*KG_B</f>
        <v>3960</v>
      </c>
      <c r="Q10" s="32">
        <f>Q9*KG_B</f>
        <v>3960</v>
      </c>
      <c r="R10" s="32">
        <f>R9*KG_B</f>
        <v>3960</v>
      </c>
      <c r="S10" s="32">
        <f>SUM(G10:R10)</f>
        <v>42372</v>
      </c>
    </row>
    <row r="11">
      <c r="B11" s="36" t="inlineStr">
        <is>
          <t>판매</t>
        </is>
      </c>
      <c r="C11" s="41" t="n">
        <v>2090</v>
      </c>
      <c r="D11" s="41" t="n">
        <v>2120</v>
      </c>
      <c r="E11" s="41" t="n">
        <v>2080</v>
      </c>
      <c r="F11" s="41" t="n">
        <v>2100</v>
      </c>
      <c r="G11" s="32">
        <f>SUM(G12:G15)</f>
        <v>2460</v>
      </c>
      <c r="H11" s="32">
        <f>SUM(H12:H15)</f>
        <v>2260</v>
      </c>
      <c r="I11" s="32">
        <f>SUM(I12:I15)</f>
        <v>2460</v>
      </c>
      <c r="J11" s="32">
        <f>SUM(J12:J15)</f>
        <v>3020</v>
      </c>
      <c r="K11" s="32">
        <f>SUM(K12:K15)</f>
        <v>3000</v>
      </c>
      <c r="L11" s="32">
        <f>SUM(L12:L15)</f>
        <v>3280</v>
      </c>
      <c r="M11" s="32">
        <f>SUM(M12:M15)</f>
        <v>3520</v>
      </c>
      <c r="N11" s="32">
        <f>SUM(N12:N15)</f>
        <v>3520</v>
      </c>
      <c r="O11" s="32">
        <f>SUM(O12:O15)</f>
        <v>3560</v>
      </c>
      <c r="P11" s="32">
        <f>SUM(P12:P15)</f>
        <v>3560</v>
      </c>
      <c r="Q11" s="32">
        <f>SUM(Q12:Q15)</f>
        <v>3560</v>
      </c>
      <c r="R11" s="32">
        <f>SUM(R12:R15)</f>
        <v>3620</v>
      </c>
      <c r="S11" s="32">
        <f>SUM(G11:R11)</f>
        <v>37820</v>
      </c>
    </row>
    <row r="12">
      <c r="B12" s="10" t="inlineStr">
        <is>
          <t>SKH</t>
        </is>
      </c>
      <c r="C12" s="41" t="n">
        <v>1640</v>
      </c>
      <c r="D12" s="41" t="n">
        <v>1420</v>
      </c>
      <c r="E12" s="41" t="n">
        <v>1520</v>
      </c>
      <c r="F12" s="41" t="n">
        <v>1400</v>
      </c>
      <c r="G12" s="41" t="n">
        <v>1900</v>
      </c>
      <c r="H12" s="41" t="n">
        <v>1700</v>
      </c>
      <c r="I12" s="41" t="n">
        <v>1900</v>
      </c>
      <c r="J12" s="41" t="n">
        <v>1880</v>
      </c>
      <c r="K12" s="41" t="n">
        <v>1860</v>
      </c>
      <c r="L12" s="41" t="n">
        <v>1860</v>
      </c>
      <c r="M12" s="41" t="n">
        <v>1900</v>
      </c>
      <c r="N12" s="41" t="n">
        <v>1900</v>
      </c>
      <c r="O12" s="41" t="n">
        <v>1940</v>
      </c>
      <c r="P12" s="41" t="n">
        <v>1940</v>
      </c>
      <c r="Q12" s="41" t="n">
        <v>1940</v>
      </c>
      <c r="R12" s="41" t="n">
        <v>2000</v>
      </c>
      <c r="S12" s="32">
        <f>SUM(G12:R12)</f>
        <v>22720</v>
      </c>
    </row>
    <row r="13">
      <c r="B13" s="10" t="inlineStr">
        <is>
          <t>CXMT</t>
        </is>
      </c>
      <c r="C13" s="25" t="n"/>
      <c r="D13" s="25" t="n"/>
      <c r="E13" s="25" t="n"/>
      <c r="F13" s="25" t="n"/>
      <c r="G13" s="41" t="n">
        <v>0</v>
      </c>
      <c r="H13" s="41" t="n">
        <v>0</v>
      </c>
      <c r="I13" s="41" t="n">
        <v>0</v>
      </c>
      <c r="J13" s="41" t="n">
        <v>580</v>
      </c>
      <c r="K13" s="41" t="n">
        <v>580</v>
      </c>
      <c r="L13" s="41" t="n">
        <v>580</v>
      </c>
      <c r="M13" s="41" t="n">
        <v>780</v>
      </c>
      <c r="N13" s="41" t="n">
        <v>780</v>
      </c>
      <c r="O13" s="41" t="n">
        <v>780</v>
      </c>
      <c r="P13" s="41" t="n">
        <v>780</v>
      </c>
      <c r="Q13" s="41" t="n">
        <v>780</v>
      </c>
      <c r="R13" s="41" t="n">
        <v>780</v>
      </c>
      <c r="S13" s="32">
        <f>SUM(G13:R13)</f>
        <v>6420</v>
      </c>
    </row>
    <row r="14">
      <c r="B14" s="10" t="inlineStr">
        <is>
          <t>이지켐</t>
        </is>
      </c>
      <c r="C14" s="41" t="n">
        <v>450</v>
      </c>
      <c r="D14" s="41" t="n">
        <v>560</v>
      </c>
      <c r="E14" s="41" t="n">
        <v>560</v>
      </c>
      <c r="F14" s="41" t="n">
        <v>560</v>
      </c>
      <c r="G14" s="41" t="n">
        <v>560</v>
      </c>
      <c r="H14" s="41" t="n">
        <v>560</v>
      </c>
      <c r="I14" s="41" t="n">
        <v>560</v>
      </c>
      <c r="J14" s="41" t="n">
        <v>560</v>
      </c>
      <c r="K14" s="41" t="n">
        <v>560</v>
      </c>
      <c r="L14" s="41" t="n">
        <v>840</v>
      </c>
      <c r="M14" s="41" t="n">
        <v>840</v>
      </c>
      <c r="N14" s="41" t="n">
        <v>840</v>
      </c>
      <c r="O14" s="41" t="n">
        <v>840</v>
      </c>
      <c r="P14" s="41" t="n">
        <v>840</v>
      </c>
      <c r="Q14" s="41" t="n">
        <v>840</v>
      </c>
      <c r="R14" s="41" t="n">
        <v>840</v>
      </c>
      <c r="S14" s="32">
        <f>SUM(G14:R14)</f>
        <v>8680</v>
      </c>
    </row>
    <row r="15">
      <c r="B15" s="10" t="inlineStr">
        <is>
          <t>추가</t>
        </is>
      </c>
      <c r="C15" s="25" t="n"/>
      <c r="D15" s="25" t="n"/>
      <c r="E15" s="25" t="n"/>
      <c r="F15" s="25" t="n"/>
      <c r="G15" s="41" t="n">
        <v>0</v>
      </c>
      <c r="H15" s="41" t="n">
        <v>0</v>
      </c>
      <c r="I15" s="41" t="n">
        <v>0</v>
      </c>
      <c r="J15" s="41" t="n">
        <v>0</v>
      </c>
      <c r="K15" s="41" t="n">
        <v>0</v>
      </c>
      <c r="L15" s="41" t="n">
        <v>0</v>
      </c>
      <c r="M15" s="41" t="n">
        <v>0</v>
      </c>
      <c r="N15" s="41" t="n">
        <v>0</v>
      </c>
      <c r="O15" s="41" t="n">
        <v>0</v>
      </c>
      <c r="P15" s="41" t="n">
        <v>0</v>
      </c>
      <c r="Q15" s="41" t="n">
        <v>0</v>
      </c>
      <c r="R15" s="41" t="n">
        <v>0</v>
      </c>
      <c r="S15" s="32">
        <f>SUM(G15:R15)</f>
        <v>0</v>
      </c>
    </row>
    <row r="16">
      <c r="B16" s="10" t="inlineStr">
        <is>
          <t>SKHY + CXMT</t>
        </is>
      </c>
      <c r="C16" s="25">
        <f>N(C12)+N(C13)</f>
        <v>1640</v>
      </c>
      <c r="D16" s="25">
        <f>N(D12)+N(D13)</f>
        <v>1420</v>
      </c>
      <c r="E16" s="25">
        <f>N(E12)+N(E13)</f>
        <v>1520</v>
      </c>
      <c r="F16" s="25">
        <f>N(F12)+N(F13)</f>
        <v>1400</v>
      </c>
      <c r="G16" s="25">
        <f>N(G12)+N(G13)</f>
        <v>1900</v>
      </c>
      <c r="H16" s="25">
        <f>N(H12)+N(H13)</f>
        <v>1700</v>
      </c>
      <c r="I16" s="25">
        <f>N(I12)+N(I13)</f>
        <v>1900</v>
      </c>
      <c r="J16" s="25">
        <f>N(J12)+N(J13)</f>
        <v>2460</v>
      </c>
      <c r="K16" s="25">
        <f>N(K12)+N(K13)</f>
        <v>2440</v>
      </c>
      <c r="L16" s="25">
        <f>N(L12)+N(L13)</f>
        <v>2440</v>
      </c>
      <c r="M16" s="25">
        <f>N(M12)+N(M13)</f>
        <v>2680</v>
      </c>
      <c r="N16" s="25">
        <f>N(N12)+N(N13)</f>
        <v>2680</v>
      </c>
      <c r="O16" s="25">
        <f>N(O12)+N(O13)</f>
        <v>2720</v>
      </c>
      <c r="P16" s="25">
        <f>N(P12)+N(P13)</f>
        <v>2720</v>
      </c>
      <c r="Q16" s="25">
        <f>N(Q12)+N(Q13)</f>
        <v>2720</v>
      </c>
      <c r="R16" s="25">
        <f>N(R12)+N(R13)</f>
        <v>2780</v>
      </c>
      <c r="S16" s="32">
        <f>SUM(G16:R16)</f>
        <v>29140</v>
      </c>
    </row>
    <row r="17">
      <c r="B17" s="10" t="inlineStr">
        <is>
          <t>생산 − 판매</t>
        </is>
      </c>
      <c r="C17" s="42">
        <f>C10-C11</f>
        <v>-320</v>
      </c>
      <c r="D17" s="42">
        <f>D10-D11</f>
        <v>256</v>
      </c>
      <c r="E17" s="42">
        <f>E10-E11</f>
        <v>296</v>
      </c>
      <c r="F17" s="42">
        <f>F10-F11</f>
        <v>276</v>
      </c>
      <c r="G17" s="42">
        <f>G10-G11</f>
        <v>-84</v>
      </c>
      <c r="H17" s="42">
        <f>H10-H11</f>
        <v>908</v>
      </c>
      <c r="I17" s="42">
        <f>I10-I11</f>
        <v>1500</v>
      </c>
      <c r="J17" s="42">
        <f>J10-J11</f>
        <v>-1832</v>
      </c>
      <c r="K17" s="42">
        <f>K10-K11</f>
        <v>960</v>
      </c>
      <c r="L17" s="42">
        <f>L10-L11</f>
        <v>680</v>
      </c>
      <c r="M17" s="42">
        <f>M10-M11</f>
        <v>440</v>
      </c>
      <c r="N17" s="42">
        <f>N10-N11</f>
        <v>440</v>
      </c>
      <c r="O17" s="42">
        <f>O10-O11</f>
        <v>400</v>
      </c>
      <c r="P17" s="42">
        <f>P10-P11</f>
        <v>400</v>
      </c>
      <c r="Q17" s="42">
        <f>Q10-Q11</f>
        <v>400</v>
      </c>
      <c r="R17" s="42">
        <f>R10-R11</f>
        <v>340</v>
      </c>
      <c r="S17" s="43">
        <f>SUM(G17:R17)</f>
        <v>4552</v>
      </c>
    </row>
    <row r="18">
      <c r="B18" s="36" t="inlineStr">
        <is>
          <t>재고</t>
        </is>
      </c>
      <c r="C18" s="41" t="n">
        <v>2300</v>
      </c>
      <c r="D18" s="32">
        <f>C18+D10-D11</f>
        <v>2556</v>
      </c>
      <c r="E18" s="32">
        <f>D18+E10-E11</f>
        <v>2852</v>
      </c>
      <c r="F18" s="32">
        <f>E18+F10-F11</f>
        <v>3128</v>
      </c>
      <c r="G18" s="32">
        <f>F18+G10-G11</f>
        <v>3044</v>
      </c>
      <c r="H18" s="32">
        <f>G18+H10-H11</f>
        <v>3952</v>
      </c>
      <c r="I18" s="32">
        <f>H18+I10-I11</f>
        <v>5452</v>
      </c>
      <c r="J18" s="32">
        <f>I18+J10-J11</f>
        <v>3620</v>
      </c>
      <c r="K18" s="32">
        <f>J18+K10-K11</f>
        <v>4580</v>
      </c>
      <c r="L18" s="32">
        <f>K18+L10-L11</f>
        <v>5260</v>
      </c>
      <c r="M18" s="32">
        <f>L18+M10-M11</f>
        <v>5700</v>
      </c>
      <c r="N18" s="32">
        <f>M18+N10-N11</f>
        <v>6140</v>
      </c>
      <c r="O18" s="32">
        <f>N18+O10-O11</f>
        <v>6540</v>
      </c>
      <c r="P18" s="32">
        <f>O18+P10-P11</f>
        <v>6940</v>
      </c>
      <c r="Q18" s="32">
        <f>P18+Q10-Q11</f>
        <v>7340</v>
      </c>
      <c r="R18" s="32">
        <f>Q18+R10-R11</f>
        <v>7680</v>
      </c>
      <c r="S18" s="32">
        <f>R18</f>
        <v>7680</v>
      </c>
    </row>
    <row r="19">
      <c r="B19" s="10" t="inlineStr">
        <is>
          <t>재고일 (총판매량, 개월)</t>
        </is>
      </c>
      <c r="C19" s="44" t="n">
        <v>1.7</v>
      </c>
      <c r="D19" s="44" t="n">
        <v>1.6</v>
      </c>
      <c r="E19" s="44" t="n">
        <v>1.6</v>
      </c>
      <c r="F19" s="44" t="n">
        <v>1.6</v>
      </c>
      <c r="G19" s="44" t="n">
        <v>1.4</v>
      </c>
      <c r="H19" s="44" t="n">
        <v>1.8</v>
      </c>
      <c r="I19" s="44" t="n">
        <v>2.4</v>
      </c>
      <c r="J19" s="44" t="n">
        <v>1.5</v>
      </c>
      <c r="K19" s="44" t="n">
        <v>1.8</v>
      </c>
      <c r="L19" s="44" t="n">
        <v>1.9</v>
      </c>
      <c r="M19" s="44" t="n">
        <v>1.8</v>
      </c>
      <c r="N19" s="44" t="n">
        <v>1.9</v>
      </c>
      <c r="O19" s="44" t="n">
        <v>1.9</v>
      </c>
      <c r="P19" s="44" t="n">
        <v>2</v>
      </c>
      <c r="Q19" s="44" t="n">
        <v>2.1</v>
      </c>
      <c r="R19" s="44" t="n">
        <v>2.2</v>
      </c>
      <c r="S19" s="5" t="inlineStr"/>
    </row>
    <row r="20">
      <c r="B20" s="10" t="inlineStr">
        <is>
          <t>재고일 (SKHY 물량 기준)</t>
        </is>
      </c>
      <c r="C20" s="44" t="n">
        <v>1.7</v>
      </c>
      <c r="D20" s="44" t="n">
        <v>1.7</v>
      </c>
      <c r="E20" s="44" t="n">
        <v>1.9</v>
      </c>
      <c r="F20" s="44" t="n">
        <v>2</v>
      </c>
      <c r="G20" s="44" t="n">
        <v>2.1</v>
      </c>
      <c r="H20" s="44" t="n">
        <v>2.5</v>
      </c>
      <c r="I20" s="44" t="n">
        <v>3.3</v>
      </c>
      <c r="J20" s="44" t="n">
        <v>2</v>
      </c>
      <c r="K20" s="44" t="n">
        <v>2.5</v>
      </c>
      <c r="L20" s="44" t="n">
        <v>2.8</v>
      </c>
      <c r="M20" s="44" t="n">
        <v>3.1</v>
      </c>
      <c r="N20" s="44" t="n">
        <v>3.3</v>
      </c>
      <c r="O20" s="44" t="n">
        <v>3.5</v>
      </c>
      <c r="P20" s="44" t="n">
        <v>3.6</v>
      </c>
      <c r="Q20" s="44" t="n">
        <v>3.8</v>
      </c>
      <c r="R20" s="44" t="n">
        <v>4</v>
      </c>
      <c r="S20" s="5" t="inlineStr"/>
    </row>
    <row r="21">
      <c r="B21" s="10" t="inlineStr">
        <is>
          <t>재고일 (SKHY·CXMT 합계 기준)</t>
        </is>
      </c>
      <c r="C21" s="45" t="n"/>
      <c r="D21" s="45" t="n"/>
      <c r="E21" s="45" t="n"/>
      <c r="F21" s="45" t="n"/>
      <c r="G21" s="45" t="n"/>
      <c r="H21" s="45" t="n"/>
      <c r="I21" s="45" t="n"/>
      <c r="J21" s="44" t="n">
        <v>2</v>
      </c>
      <c r="K21" s="44" t="n">
        <v>2.3</v>
      </c>
      <c r="L21" s="44" t="n">
        <v>2.3</v>
      </c>
      <c r="M21" s="44" t="n">
        <v>2.3</v>
      </c>
      <c r="N21" s="44" t="n">
        <v>2.4</v>
      </c>
      <c r="O21" s="44" t="n">
        <v>2.5</v>
      </c>
      <c r="P21" s="44" t="n">
        <v>2.6</v>
      </c>
      <c r="Q21" s="44" t="n">
        <v>2.7</v>
      </c>
      <c r="R21" s="44" t="n">
        <v>2.8</v>
      </c>
      <c r="S21" s="5" t="inlineStr"/>
    </row>
    <row r="23">
      <c r="B23" s="10" t="inlineStr">
        <is>
          <t>26년 연간 (협의 자료)</t>
        </is>
      </c>
      <c r="C23" s="5" t="inlineStr">
        <is>
          <t>생산</t>
        </is>
      </c>
      <c r="D23" s="41" t="n">
        <v>20908</v>
      </c>
      <c r="E23" s="5" t="inlineStr">
        <is>
          <t>판매</t>
        </is>
      </c>
      <c r="F23" s="41" t="n">
        <v>19740</v>
      </c>
      <c r="G23" s="5" t="inlineStr">
        <is>
          <t>재고</t>
        </is>
      </c>
      <c r="H23" s="25">
        <f>F18</f>
        <v>3128</v>
      </c>
    </row>
    <row r="24">
      <c r="B24" s="18" t="inlineStr">
        <is>
          <t>재고일은 협의 자료 값 (산식 확인 필요) · 2026년 판매는 협의 자료 합계 그대로 (10·12월 고객 합과 140 kg 차이)</t>
        </is>
      </c>
    </row>
  </sheetData>
  <mergeCells count="2">
    <mergeCell ref="C7:F7"/>
    <mergeCell ref="G7:R7"/>
  </mergeCells>
  <conditionalFormatting sqref="C18:S18">
    <cfRule type="cellIs" priority="1" operator="lessThan" dxfId="0">
      <formula>500</formula>
    </cfRule>
  </conditionalFormatting>
  <conditionalFormatting sqref="C19:R21"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7900"/>
    <outlinePr summaryBelow="1" summaryRight="1"/>
    <pageSetUpPr/>
  </sheetPr>
  <dimension ref="B1:S24"/>
  <sheetViews>
    <sheetView showGridLines="0" zoomScale="9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10" customWidth="1" min="19" max="19"/>
  </cols>
  <sheetData>
    <row r="1">
      <c r="B1" s="1" t="inlineStr">
        <is>
          <t>06_Case2 | Case II — 2026.9 ~ 2027.12 생산 · 판매 · 재고 (kg)</t>
        </is>
      </c>
    </row>
    <row r="2">
      <c r="B2" s="2" t="inlineStr">
        <is>
          <t>파란 글자 = 협의 자료 입력 · 검정 = 계산 (생산 = Batch × kg/Batch, 재고 = 전월 재고 + 생산 − 판매).</t>
        </is>
      </c>
    </row>
    <row r="3">
      <c r="B3" s="38" t="inlineStr">
        <is>
          <t>판매 : 추가 물량</t>
        </is>
      </c>
    </row>
    <row r="4">
      <c r="B4" s="38" t="inlineStr">
        <is>
          <t>생산 : 1월 Reflux Column 도입 운영 (2월 운전)</t>
        </is>
      </c>
    </row>
    <row r="5">
      <c r="B5" s="39" t="inlineStr"/>
    </row>
    <row r="7">
      <c r="B7" s="9" t="inlineStr"/>
      <c r="C7" s="9" t="inlineStr">
        <is>
          <t>2026년</t>
        </is>
      </c>
      <c r="D7" s="26" t="n"/>
      <c r="E7" s="26" t="n"/>
      <c r="F7" s="27" t="n"/>
      <c r="G7" s="9" t="inlineStr">
        <is>
          <t>2027년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7" t="n"/>
      <c r="S7" s="9" t="inlineStr"/>
    </row>
    <row r="8">
      <c r="B8" s="8" t="inlineStr">
        <is>
          <t>구분 (kg)</t>
        </is>
      </c>
      <c r="C8" s="40" t="n">
        <v>46266</v>
      </c>
      <c r="D8" s="40" t="n">
        <v>46296</v>
      </c>
      <c r="E8" s="40" t="n">
        <v>46327</v>
      </c>
      <c r="F8" s="40" t="n">
        <v>46357</v>
      </c>
      <c r="G8" s="40" t="n">
        <v>46388</v>
      </c>
      <c r="H8" s="40" t="n">
        <v>46419</v>
      </c>
      <c r="I8" s="40" t="n">
        <v>46447</v>
      </c>
      <c r="J8" s="40" t="n">
        <v>46478</v>
      </c>
      <c r="K8" s="40" t="n">
        <v>46508</v>
      </c>
      <c r="L8" s="40" t="n">
        <v>46539</v>
      </c>
      <c r="M8" s="40" t="n">
        <v>46569</v>
      </c>
      <c r="N8" s="40" t="n">
        <v>46600</v>
      </c>
      <c r="O8" s="40" t="n">
        <v>46631</v>
      </c>
      <c r="P8" s="40" t="n">
        <v>46661</v>
      </c>
      <c r="Q8" s="40" t="n">
        <v>46692</v>
      </c>
      <c r="R8" s="40" t="n">
        <v>46722</v>
      </c>
      <c r="S8" s="9" t="inlineStr">
        <is>
          <t>27년 합계</t>
        </is>
      </c>
    </row>
    <row r="9">
      <c r="B9" s="10" t="inlineStr">
        <is>
          <t>Batch (월)</t>
        </is>
      </c>
      <c r="C9" s="30" t="inlineStr">
        <is>
          <t>-</t>
        </is>
      </c>
      <c r="D9" s="14" t="n">
        <v>12</v>
      </c>
      <c r="E9" s="14" t="n">
        <v>12</v>
      </c>
      <c r="F9" s="14" t="n">
        <v>12</v>
      </c>
      <c r="G9" s="14" t="n">
        <v>12</v>
      </c>
      <c r="H9" s="14" t="n">
        <v>16</v>
      </c>
      <c r="I9" s="14" t="n">
        <v>20</v>
      </c>
      <c r="J9" s="14" t="n">
        <v>6</v>
      </c>
      <c r="K9" s="14" t="n">
        <v>20</v>
      </c>
      <c r="L9" s="14" t="n">
        <v>20</v>
      </c>
      <c r="M9" s="14" t="n">
        <v>20</v>
      </c>
      <c r="N9" s="14" t="n">
        <v>20</v>
      </c>
      <c r="O9" s="14" t="n">
        <v>20</v>
      </c>
      <c r="P9" s="14" t="n">
        <v>20</v>
      </c>
      <c r="Q9" s="14" t="n">
        <v>20</v>
      </c>
      <c r="R9" s="14" t="n">
        <v>20</v>
      </c>
      <c r="S9" s="31">
        <f>SUM(G9:R9)</f>
        <v>214</v>
      </c>
    </row>
    <row r="10">
      <c r="B10" s="36" t="inlineStr">
        <is>
          <t>생산</t>
        </is>
      </c>
      <c r="C10" s="41" t="n">
        <v>1770</v>
      </c>
      <c r="D10" s="32">
        <f>D9*KG_B</f>
        <v>2376</v>
      </c>
      <c r="E10" s="32">
        <f>E9*KG_B</f>
        <v>2376</v>
      </c>
      <c r="F10" s="32">
        <f>F9*KG_B</f>
        <v>2376</v>
      </c>
      <c r="G10" s="32">
        <f>G9*KG_B</f>
        <v>2376</v>
      </c>
      <c r="H10" s="32">
        <f>H9*KG_B</f>
        <v>3168</v>
      </c>
      <c r="I10" s="32">
        <f>I9*KG_B</f>
        <v>3960</v>
      </c>
      <c r="J10" s="32">
        <f>J9*KG_B</f>
        <v>1188</v>
      </c>
      <c r="K10" s="32">
        <f>K9*KG_B</f>
        <v>3960</v>
      </c>
      <c r="L10" s="32">
        <f>L9*KG_B</f>
        <v>3960</v>
      </c>
      <c r="M10" s="32">
        <f>M9*KG_B</f>
        <v>3960</v>
      </c>
      <c r="N10" s="32">
        <f>N9*KG_B</f>
        <v>3960</v>
      </c>
      <c r="O10" s="32">
        <f>O9*KG_B</f>
        <v>3960</v>
      </c>
      <c r="P10" s="32">
        <f>P9*KG_B</f>
        <v>3960</v>
      </c>
      <c r="Q10" s="32">
        <f>Q9*KG_B</f>
        <v>3960</v>
      </c>
      <c r="R10" s="32">
        <f>R9*KG_B</f>
        <v>3960</v>
      </c>
      <c r="S10" s="32">
        <f>SUM(G10:R10)</f>
        <v>42372</v>
      </c>
    </row>
    <row r="11">
      <c r="B11" s="36" t="inlineStr">
        <is>
          <t>판매</t>
        </is>
      </c>
      <c r="C11" s="41" t="n">
        <v>2090</v>
      </c>
      <c r="D11" s="41" t="n">
        <v>2120</v>
      </c>
      <c r="E11" s="41" t="n">
        <v>2080</v>
      </c>
      <c r="F11" s="41" t="n">
        <v>2100</v>
      </c>
      <c r="G11" s="32">
        <f>SUM(G12:G15)</f>
        <v>2760</v>
      </c>
      <c r="H11" s="32">
        <f>SUM(H12:H15)</f>
        <v>2560</v>
      </c>
      <c r="I11" s="32">
        <f>SUM(I12:I15)</f>
        <v>2760</v>
      </c>
      <c r="J11" s="32">
        <f>SUM(J12:J15)</f>
        <v>3320</v>
      </c>
      <c r="K11" s="32">
        <f>SUM(K12:K15)</f>
        <v>3300</v>
      </c>
      <c r="L11" s="32">
        <f>SUM(L12:L15)</f>
        <v>3580</v>
      </c>
      <c r="M11" s="32">
        <f>SUM(M12:M15)</f>
        <v>3820</v>
      </c>
      <c r="N11" s="32">
        <f>SUM(N12:N15)</f>
        <v>3820</v>
      </c>
      <c r="O11" s="32">
        <f>SUM(O12:O15)</f>
        <v>3860</v>
      </c>
      <c r="P11" s="32">
        <f>SUM(P12:P15)</f>
        <v>3860</v>
      </c>
      <c r="Q11" s="32">
        <f>SUM(Q12:Q15)</f>
        <v>3860</v>
      </c>
      <c r="R11" s="32">
        <f>SUM(R12:R15)</f>
        <v>3920</v>
      </c>
      <c r="S11" s="32">
        <f>SUM(G11:R11)</f>
        <v>41420</v>
      </c>
    </row>
    <row r="12">
      <c r="B12" s="10" t="inlineStr">
        <is>
          <t>SKH</t>
        </is>
      </c>
      <c r="C12" s="41" t="n">
        <v>1640</v>
      </c>
      <c r="D12" s="41" t="n">
        <v>1420</v>
      </c>
      <c r="E12" s="41" t="n">
        <v>1520</v>
      </c>
      <c r="F12" s="41" t="n">
        <v>1400</v>
      </c>
      <c r="G12" s="41" t="n">
        <v>1900</v>
      </c>
      <c r="H12" s="41" t="n">
        <v>1700</v>
      </c>
      <c r="I12" s="41" t="n">
        <v>1900</v>
      </c>
      <c r="J12" s="41" t="n">
        <v>1880</v>
      </c>
      <c r="K12" s="41" t="n">
        <v>1860</v>
      </c>
      <c r="L12" s="41" t="n">
        <v>1860</v>
      </c>
      <c r="M12" s="41" t="n">
        <v>1900</v>
      </c>
      <c r="N12" s="41" t="n">
        <v>1900</v>
      </c>
      <c r="O12" s="41" t="n">
        <v>1940</v>
      </c>
      <c r="P12" s="41" t="n">
        <v>1940</v>
      </c>
      <c r="Q12" s="41" t="n">
        <v>1940</v>
      </c>
      <c r="R12" s="41" t="n">
        <v>2000</v>
      </c>
      <c r="S12" s="32">
        <f>SUM(G12:R12)</f>
        <v>22720</v>
      </c>
    </row>
    <row r="13">
      <c r="B13" s="10" t="inlineStr">
        <is>
          <t>CXMT</t>
        </is>
      </c>
      <c r="C13" s="25" t="n"/>
      <c r="D13" s="25" t="n"/>
      <c r="E13" s="25" t="n"/>
      <c r="F13" s="25" t="n"/>
      <c r="G13" s="41" t="n">
        <v>0</v>
      </c>
      <c r="H13" s="41" t="n">
        <v>0</v>
      </c>
      <c r="I13" s="41" t="n">
        <v>0</v>
      </c>
      <c r="J13" s="41" t="n">
        <v>580</v>
      </c>
      <c r="K13" s="41" t="n">
        <v>580</v>
      </c>
      <c r="L13" s="41" t="n">
        <v>580</v>
      </c>
      <c r="M13" s="41" t="n">
        <v>780</v>
      </c>
      <c r="N13" s="41" t="n">
        <v>780</v>
      </c>
      <c r="O13" s="41" t="n">
        <v>780</v>
      </c>
      <c r="P13" s="41" t="n">
        <v>780</v>
      </c>
      <c r="Q13" s="41" t="n">
        <v>780</v>
      </c>
      <c r="R13" s="41" t="n">
        <v>780</v>
      </c>
      <c r="S13" s="32">
        <f>SUM(G13:R13)</f>
        <v>6420</v>
      </c>
    </row>
    <row r="14">
      <c r="B14" s="10" t="inlineStr">
        <is>
          <t>이지켐</t>
        </is>
      </c>
      <c r="C14" s="41" t="n">
        <v>450</v>
      </c>
      <c r="D14" s="41" t="n">
        <v>560</v>
      </c>
      <c r="E14" s="41" t="n">
        <v>560</v>
      </c>
      <c r="F14" s="41" t="n">
        <v>560</v>
      </c>
      <c r="G14" s="41" t="n">
        <v>560</v>
      </c>
      <c r="H14" s="41" t="n">
        <v>560</v>
      </c>
      <c r="I14" s="41" t="n">
        <v>560</v>
      </c>
      <c r="J14" s="41" t="n">
        <v>560</v>
      </c>
      <c r="K14" s="41" t="n">
        <v>560</v>
      </c>
      <c r="L14" s="41" t="n">
        <v>840</v>
      </c>
      <c r="M14" s="41" t="n">
        <v>840</v>
      </c>
      <c r="N14" s="41" t="n">
        <v>840</v>
      </c>
      <c r="O14" s="41" t="n">
        <v>840</v>
      </c>
      <c r="P14" s="41" t="n">
        <v>840</v>
      </c>
      <c r="Q14" s="41" t="n">
        <v>840</v>
      </c>
      <c r="R14" s="41" t="n">
        <v>840</v>
      </c>
      <c r="S14" s="32">
        <f>SUM(G14:R14)</f>
        <v>8680</v>
      </c>
    </row>
    <row r="15">
      <c r="B15" s="10" t="inlineStr">
        <is>
          <t>추가</t>
        </is>
      </c>
      <c r="C15" s="25" t="n"/>
      <c r="D15" s="25" t="n"/>
      <c r="E15" s="25" t="n"/>
      <c r="F15" s="25" t="n"/>
      <c r="G15" s="41" t="n">
        <v>300</v>
      </c>
      <c r="H15" s="41" t="n">
        <v>300</v>
      </c>
      <c r="I15" s="41" t="n">
        <v>300</v>
      </c>
      <c r="J15" s="41" t="n">
        <v>300</v>
      </c>
      <c r="K15" s="41" t="n">
        <v>300</v>
      </c>
      <c r="L15" s="41" t="n">
        <v>300</v>
      </c>
      <c r="M15" s="41" t="n">
        <v>300</v>
      </c>
      <c r="N15" s="41" t="n">
        <v>300</v>
      </c>
      <c r="O15" s="41" t="n">
        <v>300</v>
      </c>
      <c r="P15" s="41" t="n">
        <v>300</v>
      </c>
      <c r="Q15" s="41" t="n">
        <v>300</v>
      </c>
      <c r="R15" s="41" t="n">
        <v>300</v>
      </c>
      <c r="S15" s="32">
        <f>SUM(G15:R15)</f>
        <v>3600</v>
      </c>
    </row>
    <row r="16">
      <c r="B16" s="10" t="inlineStr">
        <is>
          <t>SKHY + CXMT</t>
        </is>
      </c>
      <c r="C16" s="25">
        <f>N(C12)+N(C13)</f>
        <v>1640</v>
      </c>
      <c r="D16" s="25">
        <f>N(D12)+N(D13)</f>
        <v>1420</v>
      </c>
      <c r="E16" s="25">
        <f>N(E12)+N(E13)</f>
        <v>1520</v>
      </c>
      <c r="F16" s="25">
        <f>N(F12)+N(F13)</f>
        <v>1400</v>
      </c>
      <c r="G16" s="25">
        <f>N(G12)+N(G13)</f>
        <v>1900</v>
      </c>
      <c r="H16" s="25">
        <f>N(H12)+N(H13)</f>
        <v>1700</v>
      </c>
      <c r="I16" s="25">
        <f>N(I12)+N(I13)</f>
        <v>1900</v>
      </c>
      <c r="J16" s="25">
        <f>N(J12)+N(J13)</f>
        <v>2460</v>
      </c>
      <c r="K16" s="25">
        <f>N(K12)+N(K13)</f>
        <v>2440</v>
      </c>
      <c r="L16" s="25">
        <f>N(L12)+N(L13)</f>
        <v>2440</v>
      </c>
      <c r="M16" s="25">
        <f>N(M12)+N(M13)</f>
        <v>2680</v>
      </c>
      <c r="N16" s="25">
        <f>N(N12)+N(N13)</f>
        <v>2680</v>
      </c>
      <c r="O16" s="25">
        <f>N(O12)+N(O13)</f>
        <v>2720</v>
      </c>
      <c r="P16" s="25">
        <f>N(P12)+N(P13)</f>
        <v>2720</v>
      </c>
      <c r="Q16" s="25">
        <f>N(Q12)+N(Q13)</f>
        <v>2720</v>
      </c>
      <c r="R16" s="25">
        <f>N(R12)+N(R13)</f>
        <v>2780</v>
      </c>
      <c r="S16" s="32">
        <f>SUM(G16:R16)</f>
        <v>29140</v>
      </c>
    </row>
    <row r="17">
      <c r="B17" s="10" t="inlineStr">
        <is>
          <t>생산 − 판매</t>
        </is>
      </c>
      <c r="C17" s="42">
        <f>C10-C11</f>
        <v>-320</v>
      </c>
      <c r="D17" s="42">
        <f>D10-D11</f>
        <v>256</v>
      </c>
      <c r="E17" s="42">
        <f>E10-E11</f>
        <v>296</v>
      </c>
      <c r="F17" s="42">
        <f>F10-F11</f>
        <v>276</v>
      </c>
      <c r="G17" s="42">
        <f>G10-G11</f>
        <v>-384</v>
      </c>
      <c r="H17" s="42">
        <f>H10-H11</f>
        <v>608</v>
      </c>
      <c r="I17" s="42">
        <f>I10-I11</f>
        <v>1200</v>
      </c>
      <c r="J17" s="42">
        <f>J10-J11</f>
        <v>-2132</v>
      </c>
      <c r="K17" s="42">
        <f>K10-K11</f>
        <v>660</v>
      </c>
      <c r="L17" s="42">
        <f>L10-L11</f>
        <v>380</v>
      </c>
      <c r="M17" s="42">
        <f>M10-M11</f>
        <v>140</v>
      </c>
      <c r="N17" s="42">
        <f>N10-N11</f>
        <v>140</v>
      </c>
      <c r="O17" s="42">
        <f>O10-O11</f>
        <v>100</v>
      </c>
      <c r="P17" s="42">
        <f>P10-P11</f>
        <v>100</v>
      </c>
      <c r="Q17" s="42">
        <f>Q10-Q11</f>
        <v>100</v>
      </c>
      <c r="R17" s="42">
        <f>R10-R11</f>
        <v>40</v>
      </c>
      <c r="S17" s="43">
        <f>SUM(G17:R17)</f>
        <v>952</v>
      </c>
    </row>
    <row r="18">
      <c r="B18" s="36" t="inlineStr">
        <is>
          <t>재고</t>
        </is>
      </c>
      <c r="C18" s="41" t="n">
        <v>2300</v>
      </c>
      <c r="D18" s="32">
        <f>C18+D10-D11</f>
        <v>2556</v>
      </c>
      <c r="E18" s="32">
        <f>D18+E10-E11</f>
        <v>2852</v>
      </c>
      <c r="F18" s="32">
        <f>E18+F10-F11</f>
        <v>3128</v>
      </c>
      <c r="G18" s="32">
        <f>F18+G10-G11</f>
        <v>2744</v>
      </c>
      <c r="H18" s="32">
        <f>G18+H10-H11</f>
        <v>3352</v>
      </c>
      <c r="I18" s="32">
        <f>H18+I10-I11</f>
        <v>4552</v>
      </c>
      <c r="J18" s="32">
        <f>I18+J10-J11</f>
        <v>2420</v>
      </c>
      <c r="K18" s="32">
        <f>J18+K10-K11</f>
        <v>3080</v>
      </c>
      <c r="L18" s="32">
        <f>K18+L10-L11</f>
        <v>3460</v>
      </c>
      <c r="M18" s="32">
        <f>L18+M10-M11</f>
        <v>3600</v>
      </c>
      <c r="N18" s="32">
        <f>M18+N10-N11</f>
        <v>3740</v>
      </c>
      <c r="O18" s="32">
        <f>N18+O10-O11</f>
        <v>3840</v>
      </c>
      <c r="P18" s="32">
        <f>O18+P10-P11</f>
        <v>3940</v>
      </c>
      <c r="Q18" s="32">
        <f>P18+Q10-Q11</f>
        <v>4040</v>
      </c>
      <c r="R18" s="32">
        <f>Q18+R10-R11</f>
        <v>4080</v>
      </c>
      <c r="S18" s="32">
        <f>R18</f>
        <v>4080</v>
      </c>
    </row>
    <row r="19">
      <c r="B19" s="10" t="inlineStr">
        <is>
          <t>재고일 (총판매량, 개월)</t>
        </is>
      </c>
      <c r="C19" s="44" t="n">
        <v>1.7</v>
      </c>
      <c r="D19" s="44" t="n">
        <v>1.6</v>
      </c>
      <c r="E19" s="44" t="n">
        <v>1.6</v>
      </c>
      <c r="F19" s="44" t="n">
        <v>1.6</v>
      </c>
      <c r="G19" s="44" t="n">
        <v>1.3</v>
      </c>
      <c r="H19" s="44" t="n">
        <v>1.4</v>
      </c>
      <c r="I19" s="44" t="n">
        <v>1.8</v>
      </c>
      <c r="J19" s="44" t="n">
        <v>0.9</v>
      </c>
      <c r="K19" s="44" t="n">
        <v>1.1</v>
      </c>
      <c r="L19" s="44" t="n">
        <v>1.1</v>
      </c>
      <c r="M19" s="44" t="n">
        <v>1.1</v>
      </c>
      <c r="N19" s="44" t="n">
        <v>1</v>
      </c>
      <c r="O19" s="44" t="n">
        <v>1</v>
      </c>
      <c r="P19" s="44" t="n">
        <v>1</v>
      </c>
      <c r="Q19" s="44" t="n">
        <v>1.1</v>
      </c>
      <c r="R19" s="44" t="n">
        <v>1.1</v>
      </c>
      <c r="S19" s="5" t="inlineStr"/>
    </row>
    <row r="20">
      <c r="B20" s="10" t="inlineStr">
        <is>
          <t>재고일 (SKHY 물량 기준)</t>
        </is>
      </c>
      <c r="C20" s="44" t="n">
        <v>1.7</v>
      </c>
      <c r="D20" s="44" t="n">
        <v>1.7</v>
      </c>
      <c r="E20" s="44" t="n">
        <v>1.9</v>
      </c>
      <c r="F20" s="44" t="n">
        <v>2</v>
      </c>
      <c r="G20" s="44" t="n">
        <v>1.9</v>
      </c>
      <c r="H20" s="44" t="n">
        <v>2.1</v>
      </c>
      <c r="I20" s="44" t="n">
        <v>2.7</v>
      </c>
      <c r="J20" s="44" t="n">
        <v>1.3</v>
      </c>
      <c r="K20" s="44" t="n">
        <v>1.7</v>
      </c>
      <c r="L20" s="44" t="n">
        <v>1.8</v>
      </c>
      <c r="M20" s="44" t="n">
        <v>1.9</v>
      </c>
      <c r="N20" s="44" t="n">
        <v>2</v>
      </c>
      <c r="O20" s="44" t="n">
        <v>2</v>
      </c>
      <c r="P20" s="44" t="n">
        <v>2.1</v>
      </c>
      <c r="Q20" s="44" t="n">
        <v>2.1</v>
      </c>
      <c r="R20" s="44" t="n">
        <v>2.1</v>
      </c>
      <c r="S20" s="5" t="inlineStr"/>
    </row>
    <row r="21">
      <c r="B21" s="10" t="inlineStr">
        <is>
          <t>재고일 (SKHY·CXMT 합계 기준)</t>
        </is>
      </c>
      <c r="C21" s="45" t="n"/>
      <c r="D21" s="45" t="n"/>
      <c r="E21" s="45" t="n"/>
      <c r="F21" s="45" t="n"/>
      <c r="G21" s="45" t="n"/>
      <c r="H21" s="45" t="n"/>
      <c r="I21" s="45" t="n"/>
      <c r="J21" s="44" t="n">
        <v>1.3</v>
      </c>
      <c r="K21" s="44" t="n">
        <v>1.5</v>
      </c>
      <c r="L21" s="44" t="n">
        <v>1.5</v>
      </c>
      <c r="M21" s="44" t="n">
        <v>1.5</v>
      </c>
      <c r="N21" s="44" t="n">
        <v>1.5</v>
      </c>
      <c r="O21" s="44" t="n">
        <v>1.5</v>
      </c>
      <c r="P21" s="44" t="n">
        <v>1.5</v>
      </c>
      <c r="Q21" s="44" t="n">
        <v>1.5</v>
      </c>
      <c r="R21" s="44" t="n">
        <v>1.5</v>
      </c>
      <c r="S21" s="5" t="inlineStr"/>
    </row>
    <row r="23">
      <c r="B23" s="10" t="inlineStr">
        <is>
          <t>26년 연간 (협의 자료)</t>
        </is>
      </c>
      <c r="C23" s="5" t="inlineStr">
        <is>
          <t>생산</t>
        </is>
      </c>
      <c r="D23" s="41" t="n">
        <v>20908</v>
      </c>
      <c r="E23" s="5" t="inlineStr">
        <is>
          <t>판매</t>
        </is>
      </c>
      <c r="F23" s="41" t="n">
        <v>19740</v>
      </c>
      <c r="G23" s="5" t="inlineStr">
        <is>
          <t>재고</t>
        </is>
      </c>
      <c r="H23" s="25">
        <f>F18</f>
        <v>3128</v>
      </c>
    </row>
    <row r="24">
      <c r="B24" s="18" t="inlineStr">
        <is>
          <t>재고일은 협의 자료 값 (산식 확인 필요) · 2026년 판매는 협의 자료 합계 그대로 (10·12월 고객 합과 140 kg 차이)</t>
        </is>
      </c>
    </row>
  </sheetData>
  <mergeCells count="2">
    <mergeCell ref="C7:F7"/>
    <mergeCell ref="G7:R7"/>
  </mergeCells>
  <conditionalFormatting sqref="C18:S18">
    <cfRule type="cellIs" priority="1" operator="lessThan" dxfId="0">
      <formula>500</formula>
    </cfRule>
  </conditionalFormatting>
  <conditionalFormatting sqref="C19:R21"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7900"/>
    <outlinePr summaryBelow="1" summaryRight="1"/>
    <pageSetUpPr/>
  </sheetPr>
  <dimension ref="B1:S24"/>
  <sheetViews>
    <sheetView showGridLines="0" zoomScale="9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10" customWidth="1" min="19" max="19"/>
  </cols>
  <sheetData>
    <row r="1">
      <c r="B1" s="1" t="inlineStr">
        <is>
          <t>07_Case3 | Case III — 2026.9 ~ 2027.12 생산 · 판매 · 재고 (kg)</t>
        </is>
      </c>
    </row>
    <row r="2">
      <c r="B2" s="2" t="inlineStr">
        <is>
          <t>파란 글자 = 협의 자료 입력 · 검정 = 계산 (생산 = Batch × kg/Batch, 재고 = 전월 재고 + 생산 − 판매).</t>
        </is>
      </c>
    </row>
    <row r="3">
      <c r="B3" s="38" t="inlineStr">
        <is>
          <t>판매 : 추가 물량</t>
        </is>
      </c>
    </row>
    <row r="4">
      <c r="B4" s="38" t="inlineStr">
        <is>
          <t>생산 : 4월 Reflux Column 도입 운영 (5월 운전)</t>
        </is>
      </c>
    </row>
    <row r="5">
      <c r="B5" s="39" t="inlineStr">
        <is>
          <t>→ 외부 상품 도입 반영 필요</t>
        </is>
      </c>
    </row>
    <row r="7">
      <c r="B7" s="9" t="inlineStr"/>
      <c r="C7" s="9" t="inlineStr">
        <is>
          <t>2026년</t>
        </is>
      </c>
      <c r="D7" s="26" t="n"/>
      <c r="E7" s="26" t="n"/>
      <c r="F7" s="27" t="n"/>
      <c r="G7" s="9" t="inlineStr">
        <is>
          <t>2027년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7" t="n"/>
      <c r="S7" s="9" t="inlineStr"/>
    </row>
    <row r="8">
      <c r="B8" s="8" t="inlineStr">
        <is>
          <t>구분 (kg)</t>
        </is>
      </c>
      <c r="C8" s="40" t="n">
        <v>46266</v>
      </c>
      <c r="D8" s="40" t="n">
        <v>46296</v>
      </c>
      <c r="E8" s="40" t="n">
        <v>46327</v>
      </c>
      <c r="F8" s="40" t="n">
        <v>46357</v>
      </c>
      <c r="G8" s="40" t="n">
        <v>46388</v>
      </c>
      <c r="H8" s="40" t="n">
        <v>46419</v>
      </c>
      <c r="I8" s="40" t="n">
        <v>46447</v>
      </c>
      <c r="J8" s="40" t="n">
        <v>46478</v>
      </c>
      <c r="K8" s="40" t="n">
        <v>46508</v>
      </c>
      <c r="L8" s="40" t="n">
        <v>46539</v>
      </c>
      <c r="M8" s="40" t="n">
        <v>46569</v>
      </c>
      <c r="N8" s="40" t="n">
        <v>46600</v>
      </c>
      <c r="O8" s="40" t="n">
        <v>46631</v>
      </c>
      <c r="P8" s="40" t="n">
        <v>46661</v>
      </c>
      <c r="Q8" s="40" t="n">
        <v>46692</v>
      </c>
      <c r="R8" s="40" t="n">
        <v>46722</v>
      </c>
      <c r="S8" s="9" t="inlineStr">
        <is>
          <t>27년 합계</t>
        </is>
      </c>
    </row>
    <row r="9">
      <c r="B9" s="10" t="inlineStr">
        <is>
          <t>Batch (월)</t>
        </is>
      </c>
      <c r="C9" s="30" t="inlineStr">
        <is>
          <t>-</t>
        </is>
      </c>
      <c r="D9" s="14" t="n">
        <v>12</v>
      </c>
      <c r="E9" s="14" t="n">
        <v>12</v>
      </c>
      <c r="F9" s="14" t="n">
        <v>12</v>
      </c>
      <c r="G9" s="14" t="n">
        <v>12</v>
      </c>
      <c r="H9" s="14" t="n">
        <v>12</v>
      </c>
      <c r="I9" s="14" t="n">
        <v>12</v>
      </c>
      <c r="J9" s="14" t="n">
        <v>6</v>
      </c>
      <c r="K9" s="14" t="n">
        <v>20</v>
      </c>
      <c r="L9" s="14" t="n">
        <v>20</v>
      </c>
      <c r="M9" s="14" t="n">
        <v>20</v>
      </c>
      <c r="N9" s="14" t="n">
        <v>20</v>
      </c>
      <c r="O9" s="14" t="n">
        <v>20</v>
      </c>
      <c r="P9" s="14" t="n">
        <v>20</v>
      </c>
      <c r="Q9" s="14" t="n">
        <v>20</v>
      </c>
      <c r="R9" s="14" t="n">
        <v>20</v>
      </c>
      <c r="S9" s="31">
        <f>SUM(G9:R9)</f>
        <v>202</v>
      </c>
    </row>
    <row r="10">
      <c r="B10" s="36" t="inlineStr">
        <is>
          <t>생산</t>
        </is>
      </c>
      <c r="C10" s="41" t="n">
        <v>1770</v>
      </c>
      <c r="D10" s="32">
        <f>D9*KG_B</f>
        <v>2376</v>
      </c>
      <c r="E10" s="32">
        <f>E9*KG_B</f>
        <v>2376</v>
      </c>
      <c r="F10" s="32">
        <f>F9*KG_B</f>
        <v>2376</v>
      </c>
      <c r="G10" s="32">
        <f>G9*KG_B</f>
        <v>2376</v>
      </c>
      <c r="H10" s="32">
        <f>H9*KG_B</f>
        <v>2376</v>
      </c>
      <c r="I10" s="32">
        <f>I9*KG_B</f>
        <v>2376</v>
      </c>
      <c r="J10" s="32">
        <f>J9*KG_B</f>
        <v>1188</v>
      </c>
      <c r="K10" s="32">
        <f>K9*KG_B</f>
        <v>3960</v>
      </c>
      <c r="L10" s="32">
        <f>L9*KG_B</f>
        <v>3960</v>
      </c>
      <c r="M10" s="32">
        <f>M9*KG_B</f>
        <v>3960</v>
      </c>
      <c r="N10" s="32">
        <f>N9*KG_B</f>
        <v>3960</v>
      </c>
      <c r="O10" s="32">
        <f>O9*KG_B</f>
        <v>3960</v>
      </c>
      <c r="P10" s="32">
        <f>P9*KG_B</f>
        <v>3960</v>
      </c>
      <c r="Q10" s="32">
        <f>Q9*KG_B</f>
        <v>3960</v>
      </c>
      <c r="R10" s="32">
        <f>R9*KG_B</f>
        <v>3960</v>
      </c>
      <c r="S10" s="32">
        <f>SUM(G10:R10)</f>
        <v>39996</v>
      </c>
    </row>
    <row r="11">
      <c r="B11" s="36" t="inlineStr">
        <is>
          <t>판매</t>
        </is>
      </c>
      <c r="C11" s="41" t="n">
        <v>2090</v>
      </c>
      <c r="D11" s="41" t="n">
        <v>2120</v>
      </c>
      <c r="E11" s="41" t="n">
        <v>2080</v>
      </c>
      <c r="F11" s="41" t="n">
        <v>2100</v>
      </c>
      <c r="G11" s="32">
        <f>SUM(G12:G15)</f>
        <v>2760</v>
      </c>
      <c r="H11" s="32">
        <f>SUM(H12:H15)</f>
        <v>2560</v>
      </c>
      <c r="I11" s="32">
        <f>SUM(I12:I15)</f>
        <v>2760</v>
      </c>
      <c r="J11" s="32">
        <f>SUM(J12:J15)</f>
        <v>3320</v>
      </c>
      <c r="K11" s="32">
        <f>SUM(K12:K15)</f>
        <v>3300</v>
      </c>
      <c r="L11" s="32">
        <f>SUM(L12:L15)</f>
        <v>3580</v>
      </c>
      <c r="M11" s="32">
        <f>SUM(M12:M15)</f>
        <v>3820</v>
      </c>
      <c r="N11" s="32">
        <f>SUM(N12:N15)</f>
        <v>3820</v>
      </c>
      <c r="O11" s="32">
        <f>SUM(O12:O15)</f>
        <v>3860</v>
      </c>
      <c r="P11" s="32">
        <f>SUM(P12:P15)</f>
        <v>3860</v>
      </c>
      <c r="Q11" s="32">
        <f>SUM(Q12:Q15)</f>
        <v>3860</v>
      </c>
      <c r="R11" s="32">
        <f>SUM(R12:R15)</f>
        <v>3920</v>
      </c>
      <c r="S11" s="32">
        <f>SUM(G11:R11)</f>
        <v>41420</v>
      </c>
    </row>
    <row r="12">
      <c r="B12" s="10" t="inlineStr">
        <is>
          <t>SKH</t>
        </is>
      </c>
      <c r="C12" s="41" t="n">
        <v>1640</v>
      </c>
      <c r="D12" s="41" t="n">
        <v>1420</v>
      </c>
      <c r="E12" s="41" t="n">
        <v>1520</v>
      </c>
      <c r="F12" s="41" t="n">
        <v>1400</v>
      </c>
      <c r="G12" s="41" t="n">
        <v>1900</v>
      </c>
      <c r="H12" s="41" t="n">
        <v>1700</v>
      </c>
      <c r="I12" s="41" t="n">
        <v>1900</v>
      </c>
      <c r="J12" s="41" t="n">
        <v>1880</v>
      </c>
      <c r="K12" s="41" t="n">
        <v>1860</v>
      </c>
      <c r="L12" s="41" t="n">
        <v>1860</v>
      </c>
      <c r="M12" s="41" t="n">
        <v>1900</v>
      </c>
      <c r="N12" s="41" t="n">
        <v>1900</v>
      </c>
      <c r="O12" s="41" t="n">
        <v>1940</v>
      </c>
      <c r="P12" s="41" t="n">
        <v>1940</v>
      </c>
      <c r="Q12" s="41" t="n">
        <v>1940</v>
      </c>
      <c r="R12" s="41" t="n">
        <v>2000</v>
      </c>
      <c r="S12" s="32">
        <f>SUM(G12:R12)</f>
        <v>22720</v>
      </c>
    </row>
    <row r="13">
      <c r="B13" s="10" t="inlineStr">
        <is>
          <t>CXMT</t>
        </is>
      </c>
      <c r="C13" s="25" t="n"/>
      <c r="D13" s="25" t="n"/>
      <c r="E13" s="25" t="n"/>
      <c r="F13" s="25" t="n"/>
      <c r="G13" s="41" t="n">
        <v>0</v>
      </c>
      <c r="H13" s="41" t="n">
        <v>0</v>
      </c>
      <c r="I13" s="41" t="n">
        <v>0</v>
      </c>
      <c r="J13" s="41" t="n">
        <v>580</v>
      </c>
      <c r="K13" s="41" t="n">
        <v>580</v>
      </c>
      <c r="L13" s="41" t="n">
        <v>580</v>
      </c>
      <c r="M13" s="41" t="n">
        <v>780</v>
      </c>
      <c r="N13" s="41" t="n">
        <v>780</v>
      </c>
      <c r="O13" s="41" t="n">
        <v>780</v>
      </c>
      <c r="P13" s="41" t="n">
        <v>780</v>
      </c>
      <c r="Q13" s="41" t="n">
        <v>780</v>
      </c>
      <c r="R13" s="41" t="n">
        <v>780</v>
      </c>
      <c r="S13" s="32">
        <f>SUM(G13:R13)</f>
        <v>6420</v>
      </c>
    </row>
    <row r="14">
      <c r="B14" s="10" t="inlineStr">
        <is>
          <t>이지켐</t>
        </is>
      </c>
      <c r="C14" s="41" t="n">
        <v>450</v>
      </c>
      <c r="D14" s="41" t="n">
        <v>560</v>
      </c>
      <c r="E14" s="41" t="n">
        <v>560</v>
      </c>
      <c r="F14" s="41" t="n">
        <v>560</v>
      </c>
      <c r="G14" s="41" t="n">
        <v>560</v>
      </c>
      <c r="H14" s="41" t="n">
        <v>560</v>
      </c>
      <c r="I14" s="41" t="n">
        <v>560</v>
      </c>
      <c r="J14" s="41" t="n">
        <v>560</v>
      </c>
      <c r="K14" s="41" t="n">
        <v>560</v>
      </c>
      <c r="L14" s="41" t="n">
        <v>840</v>
      </c>
      <c r="M14" s="41" t="n">
        <v>840</v>
      </c>
      <c r="N14" s="41" t="n">
        <v>840</v>
      </c>
      <c r="O14" s="41" t="n">
        <v>840</v>
      </c>
      <c r="P14" s="41" t="n">
        <v>840</v>
      </c>
      <c r="Q14" s="41" t="n">
        <v>840</v>
      </c>
      <c r="R14" s="41" t="n">
        <v>840</v>
      </c>
      <c r="S14" s="32">
        <f>SUM(G14:R14)</f>
        <v>8680</v>
      </c>
    </row>
    <row r="15">
      <c r="B15" s="10" t="inlineStr">
        <is>
          <t>추가</t>
        </is>
      </c>
      <c r="C15" s="25" t="n"/>
      <c r="D15" s="25" t="n"/>
      <c r="E15" s="25" t="n"/>
      <c r="F15" s="25" t="n"/>
      <c r="G15" s="41" t="n">
        <v>300</v>
      </c>
      <c r="H15" s="41" t="n">
        <v>300</v>
      </c>
      <c r="I15" s="41" t="n">
        <v>300</v>
      </c>
      <c r="J15" s="41" t="n">
        <v>300</v>
      </c>
      <c r="K15" s="41" t="n">
        <v>300</v>
      </c>
      <c r="L15" s="41" t="n">
        <v>300</v>
      </c>
      <c r="M15" s="41" t="n">
        <v>300</v>
      </c>
      <c r="N15" s="41" t="n">
        <v>300</v>
      </c>
      <c r="O15" s="41" t="n">
        <v>300</v>
      </c>
      <c r="P15" s="41" t="n">
        <v>300</v>
      </c>
      <c r="Q15" s="41" t="n">
        <v>300</v>
      </c>
      <c r="R15" s="41" t="n">
        <v>300</v>
      </c>
      <c r="S15" s="32">
        <f>SUM(G15:R15)</f>
        <v>3600</v>
      </c>
    </row>
    <row r="16">
      <c r="B16" s="10" t="inlineStr">
        <is>
          <t>SKHY + CXMT</t>
        </is>
      </c>
      <c r="C16" s="25">
        <f>N(C12)+N(C13)</f>
        <v>1640</v>
      </c>
      <c r="D16" s="25">
        <f>N(D12)+N(D13)</f>
        <v>1420</v>
      </c>
      <c r="E16" s="25">
        <f>N(E12)+N(E13)</f>
        <v>1520</v>
      </c>
      <c r="F16" s="25">
        <f>N(F12)+N(F13)</f>
        <v>1400</v>
      </c>
      <c r="G16" s="25">
        <f>N(G12)+N(G13)</f>
        <v>1900</v>
      </c>
      <c r="H16" s="25">
        <f>N(H12)+N(H13)</f>
        <v>1700</v>
      </c>
      <c r="I16" s="25">
        <f>N(I12)+N(I13)</f>
        <v>1900</v>
      </c>
      <c r="J16" s="25">
        <f>N(J12)+N(J13)</f>
        <v>2460</v>
      </c>
      <c r="K16" s="25">
        <f>N(K12)+N(K13)</f>
        <v>2440</v>
      </c>
      <c r="L16" s="25">
        <f>N(L12)+N(L13)</f>
        <v>2440</v>
      </c>
      <c r="M16" s="25">
        <f>N(M12)+N(M13)</f>
        <v>2680</v>
      </c>
      <c r="N16" s="25">
        <f>N(N12)+N(N13)</f>
        <v>2680</v>
      </c>
      <c r="O16" s="25">
        <f>N(O12)+N(O13)</f>
        <v>2720</v>
      </c>
      <c r="P16" s="25">
        <f>N(P12)+N(P13)</f>
        <v>2720</v>
      </c>
      <c r="Q16" s="25">
        <f>N(Q12)+N(Q13)</f>
        <v>2720</v>
      </c>
      <c r="R16" s="25">
        <f>N(R12)+N(R13)</f>
        <v>2780</v>
      </c>
      <c r="S16" s="32">
        <f>SUM(G16:R16)</f>
        <v>29140</v>
      </c>
    </row>
    <row r="17">
      <c r="B17" s="10" t="inlineStr">
        <is>
          <t>생산 − 판매</t>
        </is>
      </c>
      <c r="C17" s="42">
        <f>C10-C11</f>
        <v>-320</v>
      </c>
      <c r="D17" s="42">
        <f>D10-D11</f>
        <v>256</v>
      </c>
      <c r="E17" s="42">
        <f>E10-E11</f>
        <v>296</v>
      </c>
      <c r="F17" s="42">
        <f>F10-F11</f>
        <v>276</v>
      </c>
      <c r="G17" s="42">
        <f>G10-G11</f>
        <v>-384</v>
      </c>
      <c r="H17" s="42">
        <f>H10-H11</f>
        <v>-184</v>
      </c>
      <c r="I17" s="42">
        <f>I10-I11</f>
        <v>-384</v>
      </c>
      <c r="J17" s="42">
        <f>J10-J11</f>
        <v>-2132</v>
      </c>
      <c r="K17" s="42">
        <f>K10-K11</f>
        <v>660</v>
      </c>
      <c r="L17" s="42">
        <f>L10-L11</f>
        <v>380</v>
      </c>
      <c r="M17" s="42">
        <f>M10-M11</f>
        <v>140</v>
      </c>
      <c r="N17" s="42">
        <f>N10-N11</f>
        <v>140</v>
      </c>
      <c r="O17" s="42">
        <f>O10-O11</f>
        <v>100</v>
      </c>
      <c r="P17" s="42">
        <f>P10-P11</f>
        <v>100</v>
      </c>
      <c r="Q17" s="42">
        <f>Q10-Q11</f>
        <v>100</v>
      </c>
      <c r="R17" s="42">
        <f>R10-R11</f>
        <v>40</v>
      </c>
      <c r="S17" s="43">
        <f>SUM(G17:R17)</f>
        <v>-1424</v>
      </c>
    </row>
    <row r="18">
      <c r="B18" s="36" t="inlineStr">
        <is>
          <t>재고</t>
        </is>
      </c>
      <c r="C18" s="41" t="n">
        <v>2300</v>
      </c>
      <c r="D18" s="32">
        <f>C18+D10-D11</f>
        <v>2556</v>
      </c>
      <c r="E18" s="32">
        <f>D18+E10-E11</f>
        <v>2852</v>
      </c>
      <c r="F18" s="32">
        <f>E18+F10-F11</f>
        <v>3128</v>
      </c>
      <c r="G18" s="32">
        <f>F18+G10-G11</f>
        <v>2744</v>
      </c>
      <c r="H18" s="32">
        <f>G18+H10-H11</f>
        <v>2560</v>
      </c>
      <c r="I18" s="32">
        <f>H18+I10-I11</f>
        <v>2176</v>
      </c>
      <c r="J18" s="32">
        <f>I18+J10-J11</f>
        <v>44</v>
      </c>
      <c r="K18" s="32">
        <f>J18+K10-K11</f>
        <v>704</v>
      </c>
      <c r="L18" s="32">
        <f>K18+L10-L11</f>
        <v>1084</v>
      </c>
      <c r="M18" s="32">
        <f>L18+M10-M11</f>
        <v>1224</v>
      </c>
      <c r="N18" s="32">
        <f>M18+N10-N11</f>
        <v>1364</v>
      </c>
      <c r="O18" s="32">
        <f>N18+O10-O11</f>
        <v>1464</v>
      </c>
      <c r="P18" s="32">
        <f>O18+P10-P11</f>
        <v>1564</v>
      </c>
      <c r="Q18" s="32">
        <f>P18+Q10-Q11</f>
        <v>1664</v>
      </c>
      <c r="R18" s="32">
        <f>Q18+R10-R11</f>
        <v>1704</v>
      </c>
      <c r="S18" s="32">
        <f>R18</f>
        <v>1704</v>
      </c>
    </row>
    <row r="19">
      <c r="B19" s="10" t="inlineStr">
        <is>
          <t>재고일 (총판매량, 개월)</t>
        </is>
      </c>
      <c r="C19" s="44" t="n">
        <v>1.7</v>
      </c>
      <c r="D19" s="44" t="n">
        <v>1.6</v>
      </c>
      <c r="E19" s="44" t="n">
        <v>1.6</v>
      </c>
      <c r="F19" s="44" t="n">
        <v>1.6</v>
      </c>
      <c r="G19" s="44" t="n">
        <v>1.3</v>
      </c>
      <c r="H19" s="44" t="n">
        <v>1.1</v>
      </c>
      <c r="I19" s="44" t="n">
        <v>0.9</v>
      </c>
      <c r="J19" s="44" t="n">
        <v>0</v>
      </c>
      <c r="K19" s="44" t="n">
        <v>0.2</v>
      </c>
      <c r="L19" s="44" t="n">
        <v>0.3</v>
      </c>
      <c r="M19" s="44" t="n">
        <v>0.4</v>
      </c>
      <c r="N19" s="44" t="n">
        <v>0.4</v>
      </c>
      <c r="O19" s="44" t="n">
        <v>0.4</v>
      </c>
      <c r="P19" s="44" t="n">
        <v>0.4</v>
      </c>
      <c r="Q19" s="44" t="n">
        <v>0.4</v>
      </c>
      <c r="R19" s="44" t="n">
        <v>0.4</v>
      </c>
      <c r="S19" s="5" t="inlineStr"/>
    </row>
    <row r="20">
      <c r="B20" s="10" t="inlineStr">
        <is>
          <t>재고일 (SKHY 물량 기준)</t>
        </is>
      </c>
      <c r="C20" s="44" t="n">
        <v>1.7</v>
      </c>
      <c r="D20" s="44" t="n">
        <v>1.7</v>
      </c>
      <c r="E20" s="44" t="n">
        <v>1.9</v>
      </c>
      <c r="F20" s="44" t="n">
        <v>2</v>
      </c>
      <c r="G20" s="44" t="n">
        <v>1.9</v>
      </c>
      <c r="H20" s="44" t="n">
        <v>1.6</v>
      </c>
      <c r="I20" s="44" t="n">
        <v>1.3</v>
      </c>
      <c r="J20" s="44" t="n">
        <v>0</v>
      </c>
      <c r="K20" s="44" t="n">
        <v>0.4</v>
      </c>
      <c r="L20" s="44" t="n">
        <v>0.6</v>
      </c>
      <c r="M20" s="44" t="n">
        <v>0.7</v>
      </c>
      <c r="N20" s="44" t="n">
        <v>0.7</v>
      </c>
      <c r="O20" s="44" t="n">
        <v>0.8</v>
      </c>
      <c r="P20" s="44" t="n">
        <v>0.8</v>
      </c>
      <c r="Q20" s="44" t="n">
        <v>0.9</v>
      </c>
      <c r="R20" s="44" t="n">
        <v>0.9</v>
      </c>
      <c r="S20" s="5" t="inlineStr"/>
    </row>
    <row r="21">
      <c r="B21" s="10" t="inlineStr">
        <is>
          <t>재고일 (SKHY·CXMT 합계 기준)</t>
        </is>
      </c>
      <c r="C21" s="45" t="n"/>
      <c r="D21" s="45" t="n"/>
      <c r="E21" s="45" t="n"/>
      <c r="F21" s="45" t="n"/>
      <c r="G21" s="45" t="n"/>
      <c r="H21" s="45" t="n"/>
      <c r="I21" s="45" t="n"/>
      <c r="J21" s="44" t="n">
        <v>0</v>
      </c>
      <c r="K21" s="44" t="n">
        <v>0.3</v>
      </c>
      <c r="L21" s="44" t="n">
        <v>0.5</v>
      </c>
      <c r="M21" s="44" t="n">
        <v>0.5</v>
      </c>
      <c r="N21" s="44" t="n">
        <v>0.5</v>
      </c>
      <c r="O21" s="44" t="n">
        <v>0.6</v>
      </c>
      <c r="P21" s="44" t="n">
        <v>0.6</v>
      </c>
      <c r="Q21" s="44" t="n">
        <v>0.6</v>
      </c>
      <c r="R21" s="44" t="n">
        <v>0.6</v>
      </c>
      <c r="S21" s="5" t="inlineStr"/>
    </row>
    <row r="23">
      <c r="B23" s="10" t="inlineStr">
        <is>
          <t>26년 연간 (협의 자료)</t>
        </is>
      </c>
      <c r="C23" s="5" t="inlineStr">
        <is>
          <t>생산</t>
        </is>
      </c>
      <c r="D23" s="41" t="n">
        <v>20908</v>
      </c>
      <c r="E23" s="5" t="inlineStr">
        <is>
          <t>판매</t>
        </is>
      </c>
      <c r="F23" s="41" t="n">
        <v>19740</v>
      </c>
      <c r="G23" s="5" t="inlineStr">
        <is>
          <t>재고</t>
        </is>
      </c>
      <c r="H23" s="25">
        <f>F18</f>
        <v>3128</v>
      </c>
    </row>
    <row r="24">
      <c r="B24" s="18" t="inlineStr">
        <is>
          <t>재고일은 협의 자료 값 (산식 확인 필요) · 2026년 판매는 협의 자료 합계 그대로 (10·12월 고객 합과 140 kg 차이)</t>
        </is>
      </c>
    </row>
  </sheetData>
  <mergeCells count="2">
    <mergeCell ref="C7:F7"/>
    <mergeCell ref="G7:R7"/>
  </mergeCells>
  <conditionalFormatting sqref="C18:S18">
    <cfRule type="cellIs" priority="1" operator="lessThan" dxfId="0">
      <formula>500</formula>
    </cfRule>
  </conditionalFormatting>
  <conditionalFormatting sqref="C19:R21"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7900"/>
    <outlinePr summaryBelow="1" summaryRight="1"/>
    <pageSetUpPr/>
  </sheetPr>
  <dimension ref="B1:R17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B1" s="1" t="inlineStr">
        <is>
          <t>08_Case비교 | Case I · II · III — 2027 생산 · 판매 · 재고</t>
        </is>
      </c>
    </row>
    <row r="2">
      <c r="B2" s="2" t="inlineStr">
        <is>
          <t>재고 = 전월 재고 + 생산 − 판매 (26.9말 재고 2,300 kg에서 시작).</t>
        </is>
      </c>
    </row>
    <row r="4" ht="20" customHeight="1">
      <c r="B4" s="7" t="inlineStr">
        <is>
          <t>① 2027년 Case 비교</t>
        </is>
      </c>
    </row>
    <row r="5">
      <c r="B5" s="8" t="inlineStr">
        <is>
          <t>Case</t>
        </is>
      </c>
      <c r="C5" s="9" t="inlineStr">
        <is>
          <t>리플럭스</t>
        </is>
      </c>
      <c r="D5" s="9" t="inlineStr">
        <is>
          <t>2027 Batch</t>
        </is>
      </c>
      <c r="E5" s="9" t="inlineStr">
        <is>
          <t>2027 생산</t>
        </is>
      </c>
      <c r="F5" s="9" t="inlineStr">
        <is>
          <t>2027 판매</t>
        </is>
      </c>
      <c r="G5" s="9" t="inlineStr">
        <is>
          <t>생산 − 판매</t>
        </is>
      </c>
      <c r="H5" s="9" t="inlineStr">
        <is>
          <t>'27 말 재고</t>
        </is>
      </c>
      <c r="I5" s="9" t="inlineStr">
        <is>
          <t>최저 재고</t>
        </is>
      </c>
      <c r="J5" s="9" t="inlineStr">
        <is>
          <t>최저 시점</t>
        </is>
      </c>
      <c r="K5" s="9" t="inlineStr">
        <is>
          <t>최저 재고일 (총판매)</t>
        </is>
      </c>
    </row>
    <row r="6">
      <c r="B6" s="10" t="inlineStr">
        <is>
          <t>Case I</t>
        </is>
      </c>
      <c r="C6" s="5" t="inlineStr">
        <is>
          <t>'27.1 도입 · '27.2 운전</t>
        </is>
      </c>
      <c r="D6" s="30">
        <f>'05_Case1'!S9</f>
        <v>214</v>
      </c>
      <c r="E6" s="25">
        <f>'05_Case1'!S10</f>
        <v>42372</v>
      </c>
      <c r="F6" s="25">
        <f>'05_Case1'!S11</f>
        <v>37820</v>
      </c>
      <c r="G6" s="43">
        <f>E6-F6</f>
        <v>4552</v>
      </c>
      <c r="H6" s="32">
        <f>'05_Case1'!S18</f>
        <v>7680</v>
      </c>
      <c r="I6" s="32">
        <f>MIN('05_Case1'!$G$18:$R$18)</f>
        <v>3044</v>
      </c>
      <c r="J6" s="46">
        <f>INDEX('05_Case1'!$G$8:$R$8,MATCH(MIN('05_Case1'!$G$18:$R$18),'05_Case1'!$G$18:$R$18,0))</f>
        <v>46388.0</v>
      </c>
      <c r="K6" s="45">
        <f>MIN('05_Case1'!G19:R19)</f>
        <v>1.4</v>
      </c>
    </row>
    <row r="7">
      <c r="B7" s="10" t="inlineStr">
        <is>
          <t>Case II</t>
        </is>
      </c>
      <c r="C7" s="5" t="inlineStr">
        <is>
          <t>'27.1 도입 · '27.2 운전</t>
        </is>
      </c>
      <c r="D7" s="30">
        <f>'06_Case2'!S9</f>
        <v>214</v>
      </c>
      <c r="E7" s="25">
        <f>'06_Case2'!S10</f>
        <v>42372</v>
      </c>
      <c r="F7" s="25">
        <f>'06_Case2'!S11</f>
        <v>41420</v>
      </c>
      <c r="G7" s="43">
        <f>E7-F7</f>
        <v>952</v>
      </c>
      <c r="H7" s="32">
        <f>'06_Case2'!S18</f>
        <v>4080</v>
      </c>
      <c r="I7" s="32">
        <f>MIN('06_Case2'!$G$18:$R$18)</f>
        <v>2420</v>
      </c>
      <c r="J7" s="46">
        <f>INDEX('06_Case2'!$G$8:$R$8,MATCH(MIN('06_Case2'!$G$18:$R$18),'06_Case2'!$G$18:$R$18,0))</f>
        <v>46478.0</v>
      </c>
      <c r="K7" s="45">
        <f>MIN('06_Case2'!G19:R19)</f>
        <v>0.9</v>
      </c>
    </row>
    <row r="8">
      <c r="B8" s="10" t="inlineStr">
        <is>
          <t>Case III</t>
        </is>
      </c>
      <c r="C8" s="5" t="inlineStr">
        <is>
          <t>'27.4 도입 · '27.5 운전</t>
        </is>
      </c>
      <c r="D8" s="30">
        <f>'07_Case3'!S9</f>
        <v>202</v>
      </c>
      <c r="E8" s="25">
        <f>'07_Case3'!S10</f>
        <v>39996</v>
      </c>
      <c r="F8" s="25">
        <f>'07_Case3'!S11</f>
        <v>41420</v>
      </c>
      <c r="G8" s="43">
        <f>E8-F8</f>
        <v>-1424</v>
      </c>
      <c r="H8" s="32">
        <f>'07_Case3'!S18</f>
        <v>1704</v>
      </c>
      <c r="I8" s="32">
        <f>MIN('07_Case3'!$G$18:$R$18)</f>
        <v>44</v>
      </c>
      <c r="J8" s="46">
        <f>INDEX('07_Case3'!$G$8:$R$8,MATCH(MIN('07_Case3'!$G$18:$R$18),'07_Case3'!$G$18:$R$18,0))</f>
        <v>46478.0</v>
      </c>
      <c r="K8" s="45">
        <f>MIN('07_Case3'!G19:R19)</f>
        <v>0</v>
      </c>
    </row>
    <row r="10" ht="20" customHeight="1">
      <c r="B10" s="7" t="inlineStr">
        <is>
          <t>② 월별 재고 (kg) · 재고일 (총판매량, 개월)</t>
        </is>
      </c>
    </row>
    <row r="11">
      <c r="B11" s="8" t="inlineStr">
        <is>
          <t>구분</t>
        </is>
      </c>
      <c r="C11" s="47" t="n">
        <v>46266</v>
      </c>
      <c r="D11" s="47" t="n">
        <v>46296</v>
      </c>
      <c r="E11" s="47" t="n">
        <v>46327</v>
      </c>
      <c r="F11" s="47" t="n">
        <v>46357</v>
      </c>
      <c r="G11" s="47" t="n">
        <v>46388</v>
      </c>
      <c r="H11" s="47" t="n">
        <v>46419</v>
      </c>
      <c r="I11" s="47" t="n">
        <v>46447</v>
      </c>
      <c r="J11" s="47" t="n">
        <v>46478</v>
      </c>
      <c r="K11" s="47" t="n">
        <v>46508</v>
      </c>
      <c r="L11" s="47" t="n">
        <v>46539</v>
      </c>
      <c r="M11" s="47" t="n">
        <v>46569</v>
      </c>
      <c r="N11" s="47" t="n">
        <v>46600</v>
      </c>
      <c r="O11" s="47" t="n">
        <v>46631</v>
      </c>
      <c r="P11" s="47" t="n">
        <v>46661</v>
      </c>
      <c r="Q11" s="47" t="n">
        <v>46692</v>
      </c>
      <c r="R11" s="47" t="n">
        <v>46722</v>
      </c>
    </row>
    <row r="12">
      <c r="B12" s="36" t="inlineStr">
        <is>
          <t>Case I 재고</t>
        </is>
      </c>
      <c r="C12" s="32">
        <f>'05_Case1'!C18</f>
        <v>2300</v>
      </c>
      <c r="D12" s="32">
        <f>'05_Case1'!D18</f>
        <v>2556</v>
      </c>
      <c r="E12" s="32">
        <f>'05_Case1'!E18</f>
        <v>2852</v>
      </c>
      <c r="F12" s="32">
        <f>'05_Case1'!F18</f>
        <v>3128</v>
      </c>
      <c r="G12" s="32">
        <f>'05_Case1'!G18</f>
        <v>3044</v>
      </c>
      <c r="H12" s="32">
        <f>'05_Case1'!H18</f>
        <v>3952</v>
      </c>
      <c r="I12" s="32">
        <f>'05_Case1'!I18</f>
        <v>5452</v>
      </c>
      <c r="J12" s="32">
        <f>'05_Case1'!J18</f>
        <v>3620</v>
      </c>
      <c r="K12" s="32">
        <f>'05_Case1'!K18</f>
        <v>4580</v>
      </c>
      <c r="L12" s="32">
        <f>'05_Case1'!L18</f>
        <v>5260</v>
      </c>
      <c r="M12" s="32">
        <f>'05_Case1'!M18</f>
        <v>5700</v>
      </c>
      <c r="N12" s="32">
        <f>'05_Case1'!N18</f>
        <v>6140</v>
      </c>
      <c r="O12" s="32">
        <f>'05_Case1'!O18</f>
        <v>6540</v>
      </c>
      <c r="P12" s="32">
        <f>'05_Case1'!P18</f>
        <v>6940</v>
      </c>
      <c r="Q12" s="32">
        <f>'05_Case1'!Q18</f>
        <v>7340</v>
      </c>
      <c r="R12" s="32">
        <f>'05_Case1'!R18</f>
        <v>7680</v>
      </c>
    </row>
    <row r="13">
      <c r="B13" s="10" t="inlineStr">
        <is>
          <t>Case I 재고일</t>
        </is>
      </c>
      <c r="C13" s="45">
        <f>'05_Case1'!C19</f>
        <v>1.7</v>
      </c>
      <c r="D13" s="45">
        <f>'05_Case1'!D19</f>
        <v>1.6</v>
      </c>
      <c r="E13" s="45">
        <f>'05_Case1'!E19</f>
        <v>1.6</v>
      </c>
      <c r="F13" s="45">
        <f>'05_Case1'!F19</f>
        <v>1.6</v>
      </c>
      <c r="G13" s="45">
        <f>'05_Case1'!G19</f>
        <v>1.4</v>
      </c>
      <c r="H13" s="45">
        <f>'05_Case1'!H19</f>
        <v>1.8</v>
      </c>
      <c r="I13" s="45">
        <f>'05_Case1'!I19</f>
        <v>2.4</v>
      </c>
      <c r="J13" s="45">
        <f>'05_Case1'!J19</f>
        <v>1.5</v>
      </c>
      <c r="K13" s="45">
        <f>'05_Case1'!K19</f>
        <v>1.8</v>
      </c>
      <c r="L13" s="45">
        <f>'05_Case1'!L19</f>
        <v>1.9</v>
      </c>
      <c r="M13" s="45">
        <f>'05_Case1'!M19</f>
        <v>1.8</v>
      </c>
      <c r="N13" s="45">
        <f>'05_Case1'!N19</f>
        <v>1.9</v>
      </c>
      <c r="O13" s="45">
        <f>'05_Case1'!O19</f>
        <v>1.9</v>
      </c>
      <c r="P13" s="45">
        <f>'05_Case1'!P19</f>
        <v>2</v>
      </c>
      <c r="Q13" s="45">
        <f>'05_Case1'!Q19</f>
        <v>2.1</v>
      </c>
      <c r="R13" s="45">
        <f>'05_Case1'!R19</f>
        <v>2.2</v>
      </c>
    </row>
    <row r="14">
      <c r="B14" s="36" t="inlineStr">
        <is>
          <t>Case II 재고</t>
        </is>
      </c>
      <c r="C14" s="32">
        <f>'06_Case2'!C18</f>
        <v>2300</v>
      </c>
      <c r="D14" s="32">
        <f>'06_Case2'!D18</f>
        <v>2556</v>
      </c>
      <c r="E14" s="32">
        <f>'06_Case2'!E18</f>
        <v>2852</v>
      </c>
      <c r="F14" s="32">
        <f>'06_Case2'!F18</f>
        <v>3128</v>
      </c>
      <c r="G14" s="32">
        <f>'06_Case2'!G18</f>
        <v>2744</v>
      </c>
      <c r="H14" s="32">
        <f>'06_Case2'!H18</f>
        <v>3352</v>
      </c>
      <c r="I14" s="32">
        <f>'06_Case2'!I18</f>
        <v>4552</v>
      </c>
      <c r="J14" s="32">
        <f>'06_Case2'!J18</f>
        <v>2420</v>
      </c>
      <c r="K14" s="32">
        <f>'06_Case2'!K18</f>
        <v>3080</v>
      </c>
      <c r="L14" s="32">
        <f>'06_Case2'!L18</f>
        <v>3460</v>
      </c>
      <c r="M14" s="32">
        <f>'06_Case2'!M18</f>
        <v>3600</v>
      </c>
      <c r="N14" s="32">
        <f>'06_Case2'!N18</f>
        <v>3740</v>
      </c>
      <c r="O14" s="32">
        <f>'06_Case2'!O18</f>
        <v>3840</v>
      </c>
      <c r="P14" s="32">
        <f>'06_Case2'!P18</f>
        <v>3940</v>
      </c>
      <c r="Q14" s="32">
        <f>'06_Case2'!Q18</f>
        <v>4040</v>
      </c>
      <c r="R14" s="32">
        <f>'06_Case2'!R18</f>
        <v>4080</v>
      </c>
    </row>
    <row r="15">
      <c r="B15" s="10" t="inlineStr">
        <is>
          <t>Case II 재고일</t>
        </is>
      </c>
      <c r="C15" s="45">
        <f>'06_Case2'!C19</f>
        <v>1.7</v>
      </c>
      <c r="D15" s="45">
        <f>'06_Case2'!D19</f>
        <v>1.6</v>
      </c>
      <c r="E15" s="45">
        <f>'06_Case2'!E19</f>
        <v>1.6</v>
      </c>
      <c r="F15" s="45">
        <f>'06_Case2'!F19</f>
        <v>1.6</v>
      </c>
      <c r="G15" s="45">
        <f>'06_Case2'!G19</f>
        <v>1.3</v>
      </c>
      <c r="H15" s="45">
        <f>'06_Case2'!H19</f>
        <v>1.4</v>
      </c>
      <c r="I15" s="45">
        <f>'06_Case2'!I19</f>
        <v>1.8</v>
      </c>
      <c r="J15" s="45">
        <f>'06_Case2'!J19</f>
        <v>0.9</v>
      </c>
      <c r="K15" s="45">
        <f>'06_Case2'!K19</f>
        <v>1.1</v>
      </c>
      <c r="L15" s="45">
        <f>'06_Case2'!L19</f>
        <v>1.1</v>
      </c>
      <c r="M15" s="45">
        <f>'06_Case2'!M19</f>
        <v>1.1</v>
      </c>
      <c r="N15" s="45">
        <f>'06_Case2'!N19</f>
        <v>1</v>
      </c>
      <c r="O15" s="45">
        <f>'06_Case2'!O19</f>
        <v>1</v>
      </c>
      <c r="P15" s="45">
        <f>'06_Case2'!P19</f>
        <v>1</v>
      </c>
      <c r="Q15" s="45">
        <f>'06_Case2'!Q19</f>
        <v>1.1</v>
      </c>
      <c r="R15" s="45">
        <f>'06_Case2'!R19</f>
        <v>1.1</v>
      </c>
    </row>
    <row r="16">
      <c r="B16" s="36" t="inlineStr">
        <is>
          <t>Case III 재고</t>
        </is>
      </c>
      <c r="C16" s="32">
        <f>'07_Case3'!C18</f>
        <v>2300</v>
      </c>
      <c r="D16" s="32">
        <f>'07_Case3'!D18</f>
        <v>2556</v>
      </c>
      <c r="E16" s="32">
        <f>'07_Case3'!E18</f>
        <v>2852</v>
      </c>
      <c r="F16" s="32">
        <f>'07_Case3'!F18</f>
        <v>3128</v>
      </c>
      <c r="G16" s="32">
        <f>'07_Case3'!G18</f>
        <v>2744</v>
      </c>
      <c r="H16" s="32">
        <f>'07_Case3'!H18</f>
        <v>2560</v>
      </c>
      <c r="I16" s="32">
        <f>'07_Case3'!I18</f>
        <v>2176</v>
      </c>
      <c r="J16" s="32">
        <f>'07_Case3'!J18</f>
        <v>44</v>
      </c>
      <c r="K16" s="32">
        <f>'07_Case3'!K18</f>
        <v>704</v>
      </c>
      <c r="L16" s="32">
        <f>'07_Case3'!L18</f>
        <v>1084</v>
      </c>
      <c r="M16" s="32">
        <f>'07_Case3'!M18</f>
        <v>1224</v>
      </c>
      <c r="N16" s="32">
        <f>'07_Case3'!N18</f>
        <v>1364</v>
      </c>
      <c r="O16" s="32">
        <f>'07_Case3'!O18</f>
        <v>1464</v>
      </c>
      <c r="P16" s="32">
        <f>'07_Case3'!P18</f>
        <v>1564</v>
      </c>
      <c r="Q16" s="32">
        <f>'07_Case3'!Q18</f>
        <v>1664</v>
      </c>
      <c r="R16" s="32">
        <f>'07_Case3'!R18</f>
        <v>1704</v>
      </c>
    </row>
    <row r="17">
      <c r="B17" s="10" t="inlineStr">
        <is>
          <t>Case III 재고일</t>
        </is>
      </c>
      <c r="C17" s="45">
        <f>'07_Case3'!C19</f>
        <v>1.7</v>
      </c>
      <c r="D17" s="45">
        <f>'07_Case3'!D19</f>
        <v>1.6</v>
      </c>
      <c r="E17" s="45">
        <f>'07_Case3'!E19</f>
        <v>1.6</v>
      </c>
      <c r="F17" s="45">
        <f>'07_Case3'!F19</f>
        <v>1.6</v>
      </c>
      <c r="G17" s="45">
        <f>'07_Case3'!G19</f>
        <v>1.3</v>
      </c>
      <c r="H17" s="45">
        <f>'07_Case3'!H19</f>
        <v>1.1</v>
      </c>
      <c r="I17" s="45">
        <f>'07_Case3'!I19</f>
        <v>0.9</v>
      </c>
      <c r="J17" s="45">
        <f>'07_Case3'!J19</f>
        <v>0</v>
      </c>
      <c r="K17" s="45">
        <f>'07_Case3'!K19</f>
        <v>0.2</v>
      </c>
      <c r="L17" s="45">
        <f>'07_Case3'!L19</f>
        <v>0.3</v>
      </c>
      <c r="M17" s="45">
        <f>'07_Case3'!M19</f>
        <v>0.4</v>
      </c>
      <c r="N17" s="45">
        <f>'07_Case3'!N19</f>
        <v>0.4</v>
      </c>
      <c r="O17" s="45">
        <f>'07_Case3'!O19</f>
        <v>0.4</v>
      </c>
      <c r="P17" s="45">
        <f>'07_Case3'!P19</f>
        <v>0.4</v>
      </c>
      <c r="Q17" s="45">
        <f>'07_Case3'!Q19</f>
        <v>0.4</v>
      </c>
      <c r="R17" s="45">
        <f>'07_Case3'!R19</f>
        <v>0.4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B1:O22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09_후공정부하 | 5 Gal · 200 L 충진 · OQC · 검사 (Case II 판매 기준)</t>
        </is>
      </c>
    </row>
    <row r="2">
      <c r="B2" s="2" t="inlineStr">
        <is>
          <t>Case II = 추가 물량 포함 (판매 최대). 추가 물량은 200 L (150 kg/용기) 기준. ARS 시간 미입력 시 수동 8 h.</t>
        </is>
      </c>
    </row>
    <row r="4">
      <c r="B4" s="8" t="inlineStr">
        <is>
          <t>2027 (Case II)</t>
        </is>
      </c>
      <c r="C4" s="40" t="n">
        <v>46388</v>
      </c>
      <c r="D4" s="40" t="n">
        <v>46419</v>
      </c>
      <c r="E4" s="40" t="n">
        <v>46447</v>
      </c>
      <c r="F4" s="40" t="n">
        <v>46478</v>
      </c>
      <c r="G4" s="40" t="n">
        <v>46508</v>
      </c>
      <c r="H4" s="40" t="n">
        <v>46539</v>
      </c>
      <c r="I4" s="40" t="n">
        <v>46569</v>
      </c>
      <c r="J4" s="40" t="n">
        <v>46600</v>
      </c>
      <c r="K4" s="40" t="n">
        <v>46631</v>
      </c>
      <c r="L4" s="40" t="n">
        <v>46661</v>
      </c>
      <c r="M4" s="40" t="n">
        <v>46692</v>
      </c>
      <c r="N4" s="40" t="n">
        <v>46722</v>
      </c>
      <c r="O4" s="9" t="inlineStr">
        <is>
          <t>연간</t>
        </is>
      </c>
    </row>
    <row r="5">
      <c r="B5" s="10" t="inlineStr">
        <is>
          <t>5 Gal 판매 (SKH + CXMT) kg</t>
        </is>
      </c>
      <c r="C5" s="25">
        <f>N('06_Case2'!G12)+N('06_Case2'!G13)</f>
        <v>1900</v>
      </c>
      <c r="D5" s="25">
        <f>N('06_Case2'!H12)+N('06_Case2'!H13)</f>
        <v>1700</v>
      </c>
      <c r="E5" s="25">
        <f>N('06_Case2'!I12)+N('06_Case2'!I13)</f>
        <v>1900</v>
      </c>
      <c r="F5" s="25">
        <f>N('06_Case2'!J12)+N('06_Case2'!J13)</f>
        <v>2460</v>
      </c>
      <c r="G5" s="25">
        <f>N('06_Case2'!K12)+N('06_Case2'!K13)</f>
        <v>2440</v>
      </c>
      <c r="H5" s="25">
        <f>N('06_Case2'!L12)+N('06_Case2'!L13)</f>
        <v>2440</v>
      </c>
      <c r="I5" s="25">
        <f>N('06_Case2'!M12)+N('06_Case2'!M13)</f>
        <v>2680</v>
      </c>
      <c r="J5" s="25">
        <f>N('06_Case2'!N12)+N('06_Case2'!N13)</f>
        <v>2680</v>
      </c>
      <c r="K5" s="25">
        <f>N('06_Case2'!O12)+N('06_Case2'!O13)</f>
        <v>2720</v>
      </c>
      <c r="L5" s="25">
        <f>N('06_Case2'!P12)+N('06_Case2'!P13)</f>
        <v>2720</v>
      </c>
      <c r="M5" s="25">
        <f>N('06_Case2'!Q12)+N('06_Case2'!Q13)</f>
        <v>2720</v>
      </c>
      <c r="N5" s="25">
        <f>N('06_Case2'!R12)+N('06_Case2'!R13)</f>
        <v>2780</v>
      </c>
      <c r="O5" s="32">
        <f>SUM(C5:N5)</f>
        <v>29140</v>
      </c>
    </row>
    <row r="6">
      <c r="B6" s="10" t="inlineStr">
        <is>
          <t>5 Gal 병</t>
        </is>
      </c>
      <c r="C6" s="28">
        <f>C5/KG_BOT</f>
        <v>95</v>
      </c>
      <c r="D6" s="28">
        <f>D5/KG_BOT</f>
        <v>85</v>
      </c>
      <c r="E6" s="28">
        <f>E5/KG_BOT</f>
        <v>95</v>
      </c>
      <c r="F6" s="28">
        <f>F5/KG_BOT</f>
        <v>123</v>
      </c>
      <c r="G6" s="28">
        <f>G5/KG_BOT</f>
        <v>122</v>
      </c>
      <c r="H6" s="28">
        <f>H5/KG_BOT</f>
        <v>122</v>
      </c>
      <c r="I6" s="28">
        <f>I5/KG_BOT</f>
        <v>134</v>
      </c>
      <c r="J6" s="28">
        <f>J5/KG_BOT</f>
        <v>134</v>
      </c>
      <c r="K6" s="28">
        <f>K5/KG_BOT</f>
        <v>136</v>
      </c>
      <c r="L6" s="28">
        <f>L5/KG_BOT</f>
        <v>136</v>
      </c>
      <c r="M6" s="28">
        <f>M5/KG_BOT</f>
        <v>136</v>
      </c>
      <c r="N6" s="28">
        <f>N5/KG_BOT</f>
        <v>139</v>
      </c>
      <c r="O6" s="33">
        <f>SUM(C6:N6)</f>
        <v>1457</v>
      </c>
    </row>
    <row r="7">
      <c r="B7" s="10" t="inlineStr">
        <is>
          <t>5 Gal 충진 h</t>
        </is>
      </c>
      <c r="C7" s="13">
        <f>C6*FILL_5G</f>
        <v>190</v>
      </c>
      <c r="D7" s="13">
        <f>D6*FILL_5G</f>
        <v>170</v>
      </c>
      <c r="E7" s="13">
        <f>E6*FILL_5G</f>
        <v>190</v>
      </c>
      <c r="F7" s="13">
        <f>F6*FILL_5G</f>
        <v>246</v>
      </c>
      <c r="G7" s="13">
        <f>G6*FILL_5G</f>
        <v>244</v>
      </c>
      <c r="H7" s="13">
        <f>H6*FILL_5G</f>
        <v>244</v>
      </c>
      <c r="I7" s="13">
        <f>I6*FILL_5G</f>
        <v>268</v>
      </c>
      <c r="J7" s="13">
        <f>J6*FILL_5G</f>
        <v>268</v>
      </c>
      <c r="K7" s="13">
        <f>K6*FILL_5G</f>
        <v>272</v>
      </c>
      <c r="L7" s="13">
        <f>L6*FILL_5G</f>
        <v>272</v>
      </c>
      <c r="M7" s="13">
        <f>M6*FILL_5G</f>
        <v>272</v>
      </c>
      <c r="N7" s="13">
        <f>N6*FILL_5G</f>
        <v>278</v>
      </c>
      <c r="O7" s="13">
        <f>SUM(C7:N7)</f>
        <v>2914</v>
      </c>
    </row>
    <row r="8">
      <c r="B8" s="10" t="inlineStr">
        <is>
          <t>5 Gal OQC h</t>
        </is>
      </c>
      <c r="C8" s="17">
        <f>C6/BOT_B*OQC_5G</f>
        <v>21.1111111111111</v>
      </c>
      <c r="D8" s="17">
        <f>D6/BOT_B*OQC_5G</f>
        <v>18.8888888888889</v>
      </c>
      <c r="E8" s="17">
        <f>E6/BOT_B*OQC_5G</f>
        <v>21.1111111111111</v>
      </c>
      <c r="F8" s="17">
        <f>F6/BOT_B*OQC_5G</f>
        <v>27.3333333333333</v>
      </c>
      <c r="G8" s="17">
        <f>G6/BOT_B*OQC_5G</f>
        <v>27.1111111111111</v>
      </c>
      <c r="H8" s="17">
        <f>H6/BOT_B*OQC_5G</f>
        <v>27.1111111111111</v>
      </c>
      <c r="I8" s="17">
        <f>I6/BOT_B*OQC_5G</f>
        <v>29.7777777777778</v>
      </c>
      <c r="J8" s="17">
        <f>J6/BOT_B*OQC_5G</f>
        <v>29.7777777777778</v>
      </c>
      <c r="K8" s="17">
        <f>K6/BOT_B*OQC_5G</f>
        <v>30.2222222222222</v>
      </c>
      <c r="L8" s="17">
        <f>L6/BOT_B*OQC_5G</f>
        <v>30.2222222222222</v>
      </c>
      <c r="M8" s="17">
        <f>M6/BOT_B*OQC_5G</f>
        <v>30.2222222222222</v>
      </c>
      <c r="N8" s="17">
        <f>N6/BOT_B*OQC_5G</f>
        <v>30.8888888888889</v>
      </c>
      <c r="O8" s="13">
        <f>SUM(C8:N8)</f>
        <v>323.777777777778</v>
      </c>
    </row>
    <row r="9">
      <c r="B9" s="10" t="inlineStr">
        <is>
          <t>글로브 박스 가용 h (상근조)</t>
        </is>
      </c>
      <c r="C9" s="30">
        <f>WH_DAY*WD_MON</f>
        <v>176</v>
      </c>
      <c r="D9" s="30">
        <f>WH_DAY*WD_MON</f>
        <v>176</v>
      </c>
      <c r="E9" s="30">
        <f>WH_DAY*WD_MON</f>
        <v>176</v>
      </c>
      <c r="F9" s="30">
        <f>WH_DAY*WD_MON</f>
        <v>176</v>
      </c>
      <c r="G9" s="30">
        <f>WH_DAY*WD_MON</f>
        <v>176</v>
      </c>
      <c r="H9" s="30">
        <f>WH_DAY*WD_MON</f>
        <v>176</v>
      </c>
      <c r="I9" s="30">
        <f>WH_DAY*WD_MON</f>
        <v>176</v>
      </c>
      <c r="J9" s="30">
        <f>WH_DAY*WD_MON</f>
        <v>176</v>
      </c>
      <c r="K9" s="30">
        <f>WH_DAY*WD_MON</f>
        <v>176</v>
      </c>
      <c r="L9" s="30">
        <f>WH_DAY*WD_MON</f>
        <v>176</v>
      </c>
      <c r="M9" s="30">
        <f>WH_DAY*WD_MON</f>
        <v>176</v>
      </c>
      <c r="N9" s="30">
        <f>WH_DAY*WD_MON</f>
        <v>176</v>
      </c>
      <c r="O9" s="31">
        <f>C9</f>
        <v>176</v>
      </c>
    </row>
    <row r="10">
      <c r="B10" s="10" t="inlineStr">
        <is>
          <t>글로브 박스 부하율</t>
        </is>
      </c>
      <c r="C10" s="34">
        <f>C7/C9</f>
        <v>1.07954545454545</v>
      </c>
      <c r="D10" s="34">
        <f>D7/D9</f>
        <v>0.965909090909091</v>
      </c>
      <c r="E10" s="34">
        <f>E7/E9</f>
        <v>1.07954545454545</v>
      </c>
      <c r="F10" s="34">
        <f>F7/F9</f>
        <v>1.39772727272727</v>
      </c>
      <c r="G10" s="34">
        <f>G7/G9</f>
        <v>1.38636363636364</v>
      </c>
      <c r="H10" s="34">
        <f>H7/H9</f>
        <v>1.38636363636364</v>
      </c>
      <c r="I10" s="34">
        <f>I7/I9</f>
        <v>1.52272727272727</v>
      </c>
      <c r="J10" s="34">
        <f>J7/J9</f>
        <v>1.52272727272727</v>
      </c>
      <c r="K10" s="34">
        <f>K7/K9</f>
        <v>1.54545454545455</v>
      </c>
      <c r="L10" s="34">
        <f>L7/L9</f>
        <v>1.54545454545455</v>
      </c>
      <c r="M10" s="34">
        <f>M7/M9</f>
        <v>1.54545454545455</v>
      </c>
      <c r="N10" s="34">
        <f>N7/N9</f>
        <v>1.57954545454545</v>
      </c>
      <c r="O10" s="48">
        <f>MAX(C10:N10)</f>
        <v>1.57954545454545</v>
      </c>
    </row>
    <row r="11">
      <c r="B11" s="10" t="inlineStr">
        <is>
          <t>이지켐 용기</t>
        </is>
      </c>
      <c r="C11" s="28">
        <f>N('06_Case2'!G14)/KG_EZ</f>
        <v>4</v>
      </c>
      <c r="D11" s="28">
        <f>N('06_Case2'!H14)/KG_EZ</f>
        <v>4</v>
      </c>
      <c r="E11" s="28">
        <f>N('06_Case2'!I14)/KG_EZ</f>
        <v>4</v>
      </c>
      <c r="F11" s="28">
        <f>N('06_Case2'!J14)/KG_EZ</f>
        <v>4</v>
      </c>
      <c r="G11" s="28">
        <f>N('06_Case2'!K14)/KG_EZ</f>
        <v>4</v>
      </c>
      <c r="H11" s="28">
        <f>N('06_Case2'!L14)/KG_EZ</f>
        <v>6</v>
      </c>
      <c r="I11" s="28">
        <f>N('06_Case2'!M14)/KG_EZ</f>
        <v>6</v>
      </c>
      <c r="J11" s="28">
        <f>N('06_Case2'!N14)/KG_EZ</f>
        <v>6</v>
      </c>
      <c r="K11" s="28">
        <f>N('06_Case2'!O14)/KG_EZ</f>
        <v>6</v>
      </c>
      <c r="L11" s="28">
        <f>N('06_Case2'!P14)/KG_EZ</f>
        <v>6</v>
      </c>
      <c r="M11" s="28">
        <f>N('06_Case2'!Q14)/KG_EZ</f>
        <v>6</v>
      </c>
      <c r="N11" s="28">
        <f>N('06_Case2'!R14)/KG_EZ</f>
        <v>6</v>
      </c>
      <c r="O11" s="33">
        <f>SUM(C11:N11)</f>
        <v>62</v>
      </c>
    </row>
    <row r="12">
      <c r="B12" s="10" t="inlineStr">
        <is>
          <t>이지켐 충진 방식</t>
        </is>
      </c>
      <c r="C12" s="5" t="str">
        <f>IF(C11=0,"-",IF(C$4&gt;=ARS_EZ_S,"ARS","수동"))</f>
        <v>수동</v>
      </c>
      <c r="D12" s="5" t="str">
        <f>IF(D11=0,"-",IF(D$4&gt;=ARS_EZ_S,"ARS","수동"))</f>
        <v>수동</v>
      </c>
      <c r="E12" s="5" t="str">
        <f>IF(E11=0,"-",IF(E$4&gt;=ARS_EZ_S,"ARS","수동"))</f>
        <v>수동</v>
      </c>
      <c r="F12" s="5" t="str">
        <f>IF(F11=0,"-",IF(F$4&gt;=ARS_EZ_S,"ARS","수동"))</f>
        <v>수동</v>
      </c>
      <c r="G12" s="5" t="str">
        <f>IF(G11=0,"-",IF(G$4&gt;=ARS_EZ_S,"ARS","수동"))</f>
        <v>수동</v>
      </c>
      <c r="H12" s="5" t="str">
        <f>IF(H11=0,"-",IF(H$4&gt;=ARS_EZ_S,"ARS","수동"))</f>
        <v>수동</v>
      </c>
      <c r="I12" s="5" t="str">
        <f>IF(I11=0,"-",IF(I$4&gt;=ARS_EZ_S,"ARS","수동"))</f>
        <v>ARS</v>
      </c>
      <c r="J12" s="5" t="str">
        <f>IF(J11=0,"-",IF(J$4&gt;=ARS_EZ_S,"ARS","수동"))</f>
        <v>ARS</v>
      </c>
      <c r="K12" s="5" t="str">
        <f>IF(K11=0,"-",IF(K$4&gt;=ARS_EZ_S,"ARS","수동"))</f>
        <v>ARS</v>
      </c>
      <c r="L12" s="5" t="str">
        <f>IF(L11=0,"-",IF(L$4&gt;=ARS_EZ_S,"ARS","수동"))</f>
        <v>ARS</v>
      </c>
      <c r="M12" s="5" t="str">
        <f>IF(M11=0,"-",IF(M$4&gt;=ARS_EZ_S,"ARS","수동"))</f>
        <v>ARS</v>
      </c>
      <c r="N12" s="5" t="str">
        <f>IF(N11=0,"-",IF(N$4&gt;=ARS_EZ_S,"ARS","수동"))</f>
        <v>ARS</v>
      </c>
      <c r="O12" s="6" t="inlineStr">
        <is>
          <t>-</t>
        </is>
      </c>
    </row>
    <row r="13">
      <c r="B13" s="10" t="inlineStr">
        <is>
          <t>이지켐 충진 h</t>
        </is>
      </c>
      <c r="C13" s="17">
        <f>C11*IF(AND(C12="ARS",ISNUMBER(ARS_EZ_T)),ARS_EZ_T,FILL_EZ)</f>
        <v>32</v>
      </c>
      <c r="D13" s="17">
        <f>D11*IF(AND(D12="ARS",ISNUMBER(ARS_EZ_T)),ARS_EZ_T,FILL_EZ)</f>
        <v>32</v>
      </c>
      <c r="E13" s="17">
        <f>E11*IF(AND(E12="ARS",ISNUMBER(ARS_EZ_T)),ARS_EZ_T,FILL_EZ)</f>
        <v>32</v>
      </c>
      <c r="F13" s="17">
        <f>F11*IF(AND(F12="ARS",ISNUMBER(ARS_EZ_T)),ARS_EZ_T,FILL_EZ)</f>
        <v>32</v>
      </c>
      <c r="G13" s="17">
        <f>G11*IF(AND(G12="ARS",ISNUMBER(ARS_EZ_T)),ARS_EZ_T,FILL_EZ)</f>
        <v>32</v>
      </c>
      <c r="H13" s="17">
        <f>H11*IF(AND(H12="ARS",ISNUMBER(ARS_EZ_T)),ARS_EZ_T,FILL_EZ)</f>
        <v>48</v>
      </c>
      <c r="I13" s="17">
        <f>I11*IF(AND(I12="ARS",ISNUMBER(ARS_EZ_T)),ARS_EZ_T,FILL_EZ)</f>
        <v>48</v>
      </c>
      <c r="J13" s="17">
        <f>J11*IF(AND(J12="ARS",ISNUMBER(ARS_EZ_T)),ARS_EZ_T,FILL_EZ)</f>
        <v>48</v>
      </c>
      <c r="K13" s="17">
        <f>K11*IF(AND(K12="ARS",ISNUMBER(ARS_EZ_T)),ARS_EZ_T,FILL_EZ)</f>
        <v>48</v>
      </c>
      <c r="L13" s="17">
        <f>L11*IF(AND(L12="ARS",ISNUMBER(ARS_EZ_T)),ARS_EZ_T,FILL_EZ)</f>
        <v>48</v>
      </c>
      <c r="M13" s="17">
        <f>M11*IF(AND(M12="ARS",ISNUMBER(ARS_EZ_T)),ARS_EZ_T,FILL_EZ)</f>
        <v>48</v>
      </c>
      <c r="N13" s="17">
        <f>N11*IF(AND(N12="ARS",ISNUMBER(ARS_EZ_T)),ARS_EZ_T,FILL_EZ)</f>
        <v>48</v>
      </c>
      <c r="O13" s="13">
        <f>SUM(C13:N13)</f>
        <v>496</v>
      </c>
    </row>
    <row r="14">
      <c r="B14" s="10" t="inlineStr">
        <is>
          <t>추가 물량 용기 (150 kg)</t>
        </is>
      </c>
      <c r="C14" s="28">
        <f>N('06_Case2'!G15)/KG_HS</f>
        <v>2</v>
      </c>
      <c r="D14" s="28">
        <f>N('06_Case2'!H15)/KG_HS</f>
        <v>2</v>
      </c>
      <c r="E14" s="28">
        <f>N('06_Case2'!I15)/KG_HS</f>
        <v>2</v>
      </c>
      <c r="F14" s="28">
        <f>N('06_Case2'!J15)/KG_HS</f>
        <v>2</v>
      </c>
      <c r="G14" s="28">
        <f>N('06_Case2'!K15)/KG_HS</f>
        <v>2</v>
      </c>
      <c r="H14" s="28">
        <f>N('06_Case2'!L15)/KG_HS</f>
        <v>2</v>
      </c>
      <c r="I14" s="28">
        <f>N('06_Case2'!M15)/KG_HS</f>
        <v>2</v>
      </c>
      <c r="J14" s="28">
        <f>N('06_Case2'!N15)/KG_HS</f>
        <v>2</v>
      </c>
      <c r="K14" s="28">
        <f>N('06_Case2'!O15)/KG_HS</f>
        <v>2</v>
      </c>
      <c r="L14" s="28">
        <f>N('06_Case2'!P15)/KG_HS</f>
        <v>2</v>
      </c>
      <c r="M14" s="28">
        <f>N('06_Case2'!Q15)/KG_HS</f>
        <v>2</v>
      </c>
      <c r="N14" s="28">
        <f>N('06_Case2'!R15)/KG_HS</f>
        <v>2</v>
      </c>
      <c r="O14" s="33">
        <f>SUM(C14:N14)</f>
        <v>24</v>
      </c>
    </row>
    <row r="15">
      <c r="B15" s="10" t="inlineStr">
        <is>
          <t>추가 물량 충진 방식</t>
        </is>
      </c>
      <c r="C15" s="5" t="str">
        <f>IF(C14=0,"-",IF(C$4&gt;=ARS_HS_S,"ARS","수동"))</f>
        <v>수동</v>
      </c>
      <c r="D15" s="5" t="str">
        <f>IF(D14=0,"-",IF(D$4&gt;=ARS_HS_S,"ARS","수동"))</f>
        <v>수동</v>
      </c>
      <c r="E15" s="5" t="str">
        <f>IF(E14=0,"-",IF(E$4&gt;=ARS_HS_S,"ARS","수동"))</f>
        <v>수동</v>
      </c>
      <c r="F15" s="5" t="str">
        <f>IF(F14=0,"-",IF(F$4&gt;=ARS_HS_S,"ARS","수동"))</f>
        <v>수동</v>
      </c>
      <c r="G15" s="5" t="str">
        <f>IF(G14=0,"-",IF(G$4&gt;=ARS_HS_S,"ARS","수동"))</f>
        <v>수동</v>
      </c>
      <c r="H15" s="5" t="str">
        <f>IF(H14=0,"-",IF(H$4&gt;=ARS_HS_S,"ARS","수동"))</f>
        <v>수동</v>
      </c>
      <c r="I15" s="5" t="str">
        <f>IF(I14=0,"-",IF(I$4&gt;=ARS_HS_S,"ARS","수동"))</f>
        <v>ARS</v>
      </c>
      <c r="J15" s="5" t="str">
        <f>IF(J14=0,"-",IF(J$4&gt;=ARS_HS_S,"ARS","수동"))</f>
        <v>ARS</v>
      </c>
      <c r="K15" s="5" t="str">
        <f>IF(K14=0,"-",IF(K$4&gt;=ARS_HS_S,"ARS","수동"))</f>
        <v>ARS</v>
      </c>
      <c r="L15" s="5" t="str">
        <f>IF(L14=0,"-",IF(L$4&gt;=ARS_HS_S,"ARS","수동"))</f>
        <v>ARS</v>
      </c>
      <c r="M15" s="5" t="str">
        <f>IF(M14=0,"-",IF(M$4&gt;=ARS_HS_S,"ARS","수동"))</f>
        <v>ARS</v>
      </c>
      <c r="N15" s="5" t="str">
        <f>IF(N14=0,"-",IF(N$4&gt;=ARS_HS_S,"ARS","수동"))</f>
        <v>ARS</v>
      </c>
      <c r="O15" s="6" t="inlineStr">
        <is>
          <t>-</t>
        </is>
      </c>
    </row>
    <row r="16">
      <c r="B16" s="10" t="inlineStr">
        <is>
          <t>추가 물량 충진 h</t>
        </is>
      </c>
      <c r="C16" s="17">
        <f>C14*IF(AND(C15="ARS",ISNUMBER(ARS_HS_T)),ARS_HS_T,FILL_HS)</f>
        <v>16</v>
      </c>
      <c r="D16" s="17">
        <f>D14*IF(AND(D15="ARS",ISNUMBER(ARS_HS_T)),ARS_HS_T,FILL_HS)</f>
        <v>16</v>
      </c>
      <c r="E16" s="17">
        <f>E14*IF(AND(E15="ARS",ISNUMBER(ARS_HS_T)),ARS_HS_T,FILL_HS)</f>
        <v>16</v>
      </c>
      <c r="F16" s="17">
        <f>F14*IF(AND(F15="ARS",ISNUMBER(ARS_HS_T)),ARS_HS_T,FILL_HS)</f>
        <v>16</v>
      </c>
      <c r="G16" s="17">
        <f>G14*IF(AND(G15="ARS",ISNUMBER(ARS_HS_T)),ARS_HS_T,FILL_HS)</f>
        <v>16</v>
      </c>
      <c r="H16" s="17">
        <f>H14*IF(AND(H15="ARS",ISNUMBER(ARS_HS_T)),ARS_HS_T,FILL_HS)</f>
        <v>16</v>
      </c>
      <c r="I16" s="17">
        <f>I14*IF(AND(I15="ARS",ISNUMBER(ARS_HS_T)),ARS_HS_T,FILL_HS)</f>
        <v>16</v>
      </c>
      <c r="J16" s="17">
        <f>J14*IF(AND(J15="ARS",ISNUMBER(ARS_HS_T)),ARS_HS_T,FILL_HS)</f>
        <v>16</v>
      </c>
      <c r="K16" s="17">
        <f>K14*IF(AND(K15="ARS",ISNUMBER(ARS_HS_T)),ARS_HS_T,FILL_HS)</f>
        <v>16</v>
      </c>
      <c r="L16" s="17">
        <f>L14*IF(AND(L15="ARS",ISNUMBER(ARS_HS_T)),ARS_HS_T,FILL_HS)</f>
        <v>16</v>
      </c>
      <c r="M16" s="17">
        <f>M14*IF(AND(M15="ARS",ISNUMBER(ARS_HS_T)),ARS_HS_T,FILL_HS)</f>
        <v>16</v>
      </c>
      <c r="N16" s="17">
        <f>N14*IF(AND(N15="ARS",ISNUMBER(ARS_HS_T)),ARS_HS_T,FILL_HS)</f>
        <v>16</v>
      </c>
      <c r="O16" s="13">
        <f>SUM(C16:N16)</f>
        <v>192</v>
      </c>
    </row>
    <row r="17">
      <c r="B17" s="10" t="inlineStr">
        <is>
          <t>200 L 충진 h 합계</t>
        </is>
      </c>
      <c r="C17" s="13">
        <f>C13+C16</f>
        <v>48</v>
      </c>
      <c r="D17" s="13">
        <f>D13+D16</f>
        <v>48</v>
      </c>
      <c r="E17" s="13">
        <f>E13+E16</f>
        <v>48</v>
      </c>
      <c r="F17" s="13">
        <f>F13+F16</f>
        <v>48</v>
      </c>
      <c r="G17" s="13">
        <f>G13+G16</f>
        <v>48</v>
      </c>
      <c r="H17" s="13">
        <f>H13+H16</f>
        <v>64</v>
      </c>
      <c r="I17" s="13">
        <f>I13+I16</f>
        <v>64</v>
      </c>
      <c r="J17" s="13">
        <f>J13+J16</f>
        <v>64</v>
      </c>
      <c r="K17" s="13">
        <f>K13+K16</f>
        <v>64</v>
      </c>
      <c r="L17" s="13">
        <f>L13+L16</f>
        <v>64</v>
      </c>
      <c r="M17" s="13">
        <f>M13+M16</f>
        <v>64</v>
      </c>
      <c r="N17" s="13">
        <f>N13+N16</f>
        <v>64</v>
      </c>
      <c r="O17" s="13">
        <f>SUM(C17:N17)</f>
        <v>688</v>
      </c>
    </row>
    <row r="18">
      <c r="B18" s="10" t="inlineStr">
        <is>
          <t>200 L OQC h</t>
        </is>
      </c>
      <c r="C18" s="17">
        <f>(C11+C14)*OQC_200</f>
        <v>12</v>
      </c>
      <c r="D18" s="17">
        <f>(D11+D14)*OQC_200</f>
        <v>12</v>
      </c>
      <c r="E18" s="17">
        <f>(E11+E14)*OQC_200</f>
        <v>12</v>
      </c>
      <c r="F18" s="17">
        <f>(F11+F14)*OQC_200</f>
        <v>12</v>
      </c>
      <c r="G18" s="17">
        <f>(G11+G14)*OQC_200</f>
        <v>12</v>
      </c>
      <c r="H18" s="17">
        <f>(H11+H14)*OQC_200</f>
        <v>16</v>
      </c>
      <c r="I18" s="17">
        <f>(I11+I14)*OQC_200</f>
        <v>16</v>
      </c>
      <c r="J18" s="17">
        <f>(J11+J14)*OQC_200</f>
        <v>16</v>
      </c>
      <c r="K18" s="17">
        <f>(K11+K14)*OQC_200</f>
        <v>16</v>
      </c>
      <c r="L18" s="17">
        <f>(L11+L14)*OQC_200</f>
        <v>16</v>
      </c>
      <c r="M18" s="17">
        <f>(M11+M14)*OQC_200</f>
        <v>16</v>
      </c>
      <c r="N18" s="17">
        <f>(N11+N14)*OQC_200</f>
        <v>16</v>
      </c>
      <c r="O18" s="13">
        <f>SUM(C18:N18)</f>
        <v>172</v>
      </c>
    </row>
    <row r="19">
      <c r="B19" s="10" t="inlineStr">
        <is>
          <t>필요 Batch (판매 ÷ kg/Batch)</t>
        </is>
      </c>
      <c r="C19" s="28">
        <f>(N('06_Case2'!G12)+N('06_Case2'!G13)+N('06_Case2'!G14)+N('06_Case2'!G15))/KG_B</f>
        <v>13.9393939393939</v>
      </c>
      <c r="D19" s="28">
        <f>(N('06_Case2'!H12)+N('06_Case2'!H13)+N('06_Case2'!H14)+N('06_Case2'!H15))/KG_B</f>
        <v>12.9292929292929</v>
      </c>
      <c r="E19" s="28">
        <f>(N('06_Case2'!I12)+N('06_Case2'!I13)+N('06_Case2'!I14)+N('06_Case2'!I15))/KG_B</f>
        <v>13.9393939393939</v>
      </c>
      <c r="F19" s="28">
        <f>(N('06_Case2'!J12)+N('06_Case2'!J13)+N('06_Case2'!J14)+N('06_Case2'!J15))/KG_B</f>
        <v>16.7676767676768</v>
      </c>
      <c r="G19" s="28">
        <f>(N('06_Case2'!K12)+N('06_Case2'!K13)+N('06_Case2'!K14)+N('06_Case2'!K15))/KG_B</f>
        <v>16.6666666666667</v>
      </c>
      <c r="H19" s="28">
        <f>(N('06_Case2'!L12)+N('06_Case2'!L13)+N('06_Case2'!L14)+N('06_Case2'!L15))/KG_B</f>
        <v>18.0808080808081</v>
      </c>
      <c r="I19" s="28">
        <f>(N('06_Case2'!M12)+N('06_Case2'!M13)+N('06_Case2'!M14)+N('06_Case2'!M15))/KG_B</f>
        <v>19.2929292929293</v>
      </c>
      <c r="J19" s="28">
        <f>(N('06_Case2'!N12)+N('06_Case2'!N13)+N('06_Case2'!N14)+N('06_Case2'!N15))/KG_B</f>
        <v>19.2929292929293</v>
      </c>
      <c r="K19" s="28">
        <f>(N('06_Case2'!O12)+N('06_Case2'!O13)+N('06_Case2'!O14)+N('06_Case2'!O15))/KG_B</f>
        <v>19.4949494949495</v>
      </c>
      <c r="L19" s="28">
        <f>(N('06_Case2'!P12)+N('06_Case2'!P13)+N('06_Case2'!P14)+N('06_Case2'!P15))/KG_B</f>
        <v>19.4949494949495</v>
      </c>
      <c r="M19" s="28">
        <f>(N('06_Case2'!Q12)+N('06_Case2'!Q13)+N('06_Case2'!Q14)+N('06_Case2'!Q15))/KG_B</f>
        <v>19.4949494949495</v>
      </c>
      <c r="N19" s="28">
        <f>(N('06_Case2'!R12)+N('06_Case2'!R13)+N('06_Case2'!R14)+N('06_Case2'!R15))/KG_B</f>
        <v>19.7979797979798</v>
      </c>
      <c r="O19" s="33">
        <f>SUM(C19:N19)</f>
        <v>209.191919191919</v>
      </c>
    </row>
    <row r="20">
      <c r="B20" s="10" t="inlineStr">
        <is>
          <t>PQC~이송·FQC h (필요 Batch 기준)</t>
        </is>
      </c>
      <c r="C20" s="17">
        <f>C19*(T_PQC+T_FQC)</f>
        <v>111.515151515152</v>
      </c>
      <c r="D20" s="17">
        <f>D19*(T_PQC+T_FQC)</f>
        <v>103.434343434343</v>
      </c>
      <c r="E20" s="17">
        <f>E19*(T_PQC+T_FQC)</f>
        <v>111.515151515152</v>
      </c>
      <c r="F20" s="17">
        <f>F19*(T_PQC+T_FQC)</f>
        <v>134.141414141414</v>
      </c>
      <c r="G20" s="17">
        <f>G19*(T_PQC+T_FQC)</f>
        <v>133.333333333333</v>
      </c>
      <c r="H20" s="17">
        <f>H19*(T_PQC+T_FQC)</f>
        <v>144.646464646465</v>
      </c>
      <c r="I20" s="17">
        <f>I19*(T_PQC+T_FQC)</f>
        <v>154.343434343434</v>
      </c>
      <c r="J20" s="17">
        <f>J19*(T_PQC+T_FQC)</f>
        <v>154.343434343434</v>
      </c>
      <c r="K20" s="17">
        <f>K19*(T_PQC+T_FQC)</f>
        <v>155.959595959596</v>
      </c>
      <c r="L20" s="17">
        <f>L19*(T_PQC+T_FQC)</f>
        <v>155.959595959596</v>
      </c>
      <c r="M20" s="17">
        <f>M19*(T_PQC+T_FQC)</f>
        <v>155.959595959596</v>
      </c>
      <c r="N20" s="17">
        <f>N19*(T_PQC+T_FQC)</f>
        <v>158.383838383838</v>
      </c>
      <c r="O20" s="13">
        <f>SUM(C20:N20)</f>
        <v>1673.53535353535</v>
      </c>
    </row>
    <row r="22">
      <c r="B22" s="18" t="inlineStr">
        <is>
          <t>연간 열의 부하율은 월 최대</t>
        </is>
      </c>
    </row>
  </sheetData>
  <conditionalFormatting sqref="C10:N10">
    <cfRule type="cellIs" priority="1" operator="greaterThan" dxfId="1">
      <formula>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J31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2" customWidth="1" min="3" max="3"/>
    <col width="40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</cols>
  <sheetData>
    <row r="1">
      <c r="B1" s="1" t="inlineStr">
        <is>
          <t>10_확인사항 | 생산팀 확인 내용 · 조건별 생산량 입력</t>
        </is>
      </c>
    </row>
    <row r="2">
      <c r="B2" s="2" t="inlineStr">
        <is>
          <t>생산·품질·설비·충진 관련 내용만 정리.</t>
        </is>
      </c>
    </row>
    <row r="4" ht="20" customHeight="1">
      <c r="B4" s="7" t="inlineStr">
        <is>
          <t>① 생산팀 확인 내용</t>
        </is>
      </c>
    </row>
    <row r="5">
      <c r="B5" s="8" t="inlineStr">
        <is>
          <t>구분</t>
        </is>
      </c>
      <c r="C5" s="8" t="inlineStr">
        <is>
          <t>생산팀 설명</t>
        </is>
      </c>
      <c r="D5" s="8" t="inlineStr">
        <is>
          <t>자료 반영</t>
        </is>
      </c>
      <c r="E5" s="8" t="inlineStr">
        <is>
          <t>확인 필요</t>
        </is>
      </c>
    </row>
    <row r="6" ht="32" customHeight="1">
      <c r="B6" s="49" t="inlineStr">
        <is>
          <t>공정시간</t>
        </is>
      </c>
      <c r="C6" s="50" t="inlineStr">
        <is>
          <t>57 h에서 IQC·준비·PQC~이송·FQC를 빼면 순수 정제 45 h · 대화 중 57 − 2 − 6 = 49 h 계산도 있음</t>
        </is>
      </c>
      <c r="D6" s="50" t="inlineStr">
        <is>
          <t>IQC~FQC 57 h, 순수 정제 45 h (차감 계산)</t>
        </is>
      </c>
      <c r="E6" s="50" t="inlineStr">
        <is>
          <t>원자료 시간 측정의 시작점·종료점</t>
        </is>
      </c>
    </row>
    <row r="7" ht="32" customHeight="1">
      <c r="B7" s="49" t="inlineStr">
        <is>
          <t>과거 시간</t>
        </is>
      </c>
      <c r="C7" s="50" t="inlineStr">
        <is>
          <t>과거 약 72 h, 최근 약 53 h 언급</t>
        </is>
      </c>
      <c r="D7" s="50" t="inlineStr">
        <is>
          <t>원자료 설명으로 보존 (57 h 기준 유지)</t>
        </is>
      </c>
      <c r="E7" s="50" t="inlineStr">
        <is>
          <t>두 값의 측정 범위가 같은지</t>
        </is>
      </c>
    </row>
    <row r="8" ht="32" customHeight="1">
      <c r="B8" s="49" t="inlineStr">
        <is>
          <t>정제기 2대</t>
        </is>
      </c>
      <c r="C8" s="50" t="inlineStr">
        <is>
          <t>정제기 1 투입 후 초류 진행에 맞춰 정제기 2 투입 (다음 날 / 초류 중간 / 초류 종료 무렵 언급)</t>
        </is>
      </c>
      <c r="D8" s="50" t="inlineStr">
        <is>
          <t>투입 시점을 엇갈려 병행 운전 · 운전 예시 시차 30 h는 가정</t>
        </is>
      </c>
      <c r="E8" s="50" t="inlineStr">
        <is>
          <t>정제기 2 투입 시점 · 설비 번호(2070·2060) 도면 대조 · 개조/신규 여부</t>
        </is>
      </c>
    </row>
    <row r="9" ht="32" customHeight="1">
      <c r="B9" s="49" t="inlineStr">
        <is>
          <t>생산물 도착 간격</t>
        </is>
      </c>
      <c r="C9" s="50" t="inlineStr">
        <is>
          <t>57 ÷ 2 = 28.5 h는 이상적인 경우의 도착 간격 설명</t>
        </is>
      </c>
      <c r="D9" s="50" t="inlineStr">
        <is>
          <t>정제기별 Batch 시간으로 사용하지 않음</t>
        </is>
      </c>
      <c r="E9" s="50" t="inlineStr">
        <is>
          <t>-</t>
        </is>
      </c>
    </row>
    <row r="10" ht="32" customHeight="1">
      <c r="B10" s="49" t="inlineStr">
        <is>
          <t>Capa. 2배 아님</t>
        </is>
      </c>
      <c r="C10" s="50" t="inlineStr">
        <is>
          <t>추가 투입용 Mix·Premix 준비 등에 설비 시간이 필요</t>
        </is>
      </c>
      <c r="D10" s="50" t="inlineStr">
        <is>
          <t>47.2톤 (현재 26.2톤의 2배 52.4톤 아님)</t>
        </is>
      </c>
      <c r="E10" s="50" t="inlineStr">
        <is>
          <t>Mix·Premix 준비시간 · 사용 설비</t>
        </is>
      </c>
    </row>
    <row r="11" ht="32" customHeight="1">
      <c r="B11" s="49" t="inlineStr">
        <is>
          <t>리플럭스 목적</t>
        </is>
      </c>
      <c r="C11" s="50" t="inlineStr">
        <is>
          <t>하이닉스 요구 품질 대응을 위한 정제 기능 개선 · 환류 운전은 회수 속도와 Batch 시간에 영향</t>
        </is>
      </c>
      <c r="D11" s="50" t="inlineStr">
        <is>
          <t>품질 대응 + 생산능력 확대 · 온도 상승 효과와 2대 효과 구분</t>
        </is>
      </c>
      <c r="E11" s="50" t="inlineStr">
        <is>
          <t>환류 운전 시 Batch 시간</t>
        </is>
      </c>
    </row>
    <row r="12" ht="32" customHeight="1">
      <c r="B12" s="49" t="inlineStr">
        <is>
          <t>회수량</t>
        </is>
      </c>
      <c r="C12" s="50" t="inlineStr">
        <is>
          <t>조건별 약 160~170 kg / 추가 투입 시 약 220 kg / 전체 약 195~200 kg (197 kg) / Crude 200 kg × 75~80% ≈ 150~160 kg</t>
        </is>
      </c>
      <c r="D12" s="50" t="inlineStr">
        <is>
          <t>생산량은 협의 기준 198 kg/Batch · 조건별 실측 입력란</t>
        </is>
      </c>
      <c r="E12" s="50" t="inlineStr">
        <is>
          <t>조건별 투입·회수·양품·잔량 실측</t>
        </is>
      </c>
    </row>
    <row r="13" ht="32" customHeight="1">
      <c r="B13" s="49" t="inlineStr">
        <is>
          <t>수율 표현</t>
        </is>
      </c>
      <c r="C13" s="50" t="inlineStr">
        <is>
          <t>"65%에서 5% 올렸다"</t>
        </is>
      </c>
      <c r="D13" s="50" t="inlineStr">
        <is>
          <t>65→70% 개선으로 단정하지 않음</t>
        </is>
      </c>
      <c r="E13" s="50" t="inlineStr">
        <is>
          <t>수치 정의</t>
        </is>
      </c>
    </row>
    <row r="14" ht="32" customHeight="1">
      <c r="B14" s="49" t="inlineStr">
        <is>
          <t>135 · 120</t>
        </is>
      </c>
      <c r="C14" s="50" t="inlineStr">
        <is>
          <t>Mix 유무에 따라 언급</t>
        </is>
      </c>
      <c r="D14" s="50" t="inlineStr">
        <is>
          <t>kg 생산량으로 입력하지 않음</t>
        </is>
      </c>
      <c r="E14" s="50" t="inlineStr">
        <is>
          <t>단위 · 색도 등 품질 지표인지</t>
        </is>
      </c>
    </row>
    <row r="15" ht="32" customHeight="1">
      <c r="B15" s="49" t="inlineStr">
        <is>
          <t>이지켐 색도</t>
        </is>
      </c>
      <c r="C15" s="50" t="inlineStr">
        <is>
          <t>색도 조건 때문에 추가 투입 제한</t>
        </is>
      </c>
      <c r="D15" s="50" t="inlineStr">
        <is>
          <t>고객별 품질 조건 별도</t>
        </is>
      </c>
      <c r="E15" s="50" t="inlineStr">
        <is>
          <t>고객별 품질·색도 규격 · 합격률</t>
        </is>
      </c>
    </row>
    <row r="16" ht="32" customHeight="1">
      <c r="B16" s="49" t="inlineStr">
        <is>
          <t>5 Gal 충진</t>
        </is>
      </c>
      <c r="C16" s="50" t="inlineStr">
        <is>
          <t>9병 18 h 작업 · 충진은 보통 상근조(08:00~17:00, 점심 12~13시 제외 = 8 h/일)만 진행 → 약 2일 · 개선 방향 1~1.5일 · 18 h → 9 h 방안 검토</t>
        </is>
      </c>
      <c r="D16" s="50" t="inlineStr">
        <is>
          <t>2 h/병 · 18 h 유지 · 상근조 8 h/일 기준 약 2일 (개선은 미반영)</t>
        </is>
      </c>
      <c r="E16" s="50" t="inlineStr">
        <is>
          <t>18 h ÷ 8 h = 2.25일 → 9병째가 3일차로 넘어가는지 · 연장근무·교대 충진 가능 여부 · 인원</t>
        </is>
      </c>
    </row>
    <row r="17" ht="32" customHeight="1">
      <c r="B17" s="49" t="inlineStr">
        <is>
          <t>ARS</t>
        </is>
      </c>
      <c r="C17" s="50" t="inlineStr">
        <is>
          <t>ARS 자체 충진은 더 길 수 있으나 용기 투입·반출·퍼지 포함 시 전체 시간은 비슷할 수 있음</t>
        </is>
      </c>
      <c r="D17" s="50" t="inlineStr">
        <is>
          <t>ARS 시간 미입력 시 수동 8 h 적용 · Capa. 가산 없음</t>
        </is>
      </c>
      <c r="E17" s="50" t="inlineStr">
        <is>
          <t>ARS 작업 단계별 시간 (용기 준비~설비 전환)</t>
        </is>
      </c>
    </row>
    <row r="18" ht="32" customHeight="1">
      <c r="B18" s="49" t="inlineStr">
        <is>
          <t>한솔 충진</t>
        </is>
      </c>
      <c r="C18" s="50" t="inlineStr">
        <is>
          <t>200 L 수동 충진</t>
        </is>
      </c>
      <c r="D18" s="50" t="inlineStr">
        <is>
          <t>8 h/용기 반영</t>
        </is>
      </c>
      <c r="E18" s="50" t="inlineStr">
        <is>
          <t>ARS 전환 후 시간</t>
        </is>
      </c>
    </row>
    <row r="19" ht="32" customHeight="1">
      <c r="B19" s="49" t="inlineStr">
        <is>
          <t>Batch 기준 (협의)</t>
        </is>
      </c>
      <c r="C19" s="50" t="inlineStr">
        <is>
          <t>Batch size 200 kg · Yield 99% → 198 kg/Batch · Batch time 55 h · 원단위 1.010</t>
        </is>
      </c>
      <c r="D19" s="50" t="inlineStr">
        <is>
          <t>생산 = 월 Batch × 198 kg (1대 12 · 2대 20 Batch)</t>
        </is>
      </c>
      <c r="E19" s="50" t="inlineStr">
        <is>
          <t>Batch time 55 h의 구성 (IQC 제외 57 h와 일치 여부)</t>
        </is>
      </c>
    </row>
    <row r="20" ht="32" customHeight="1">
      <c r="B20" s="49" t="inlineStr">
        <is>
          <t>Case (협의)</t>
        </is>
      </c>
      <c r="C20" s="50" t="inlineStr">
        <is>
          <t>Case I 계획 比 CXMT·이지켐 조정 / Case II 추가 물량 / Case III 추가 물량 + 4월 도입</t>
        </is>
      </c>
      <c r="D20" s="50" t="inlineStr">
        <is>
          <t>2026.9~2027.12 Case별 생산·판매·재고</t>
        </is>
      </c>
      <c r="E20" s="50" t="inlineStr">
        <is>
          <t>Case III 외부 상품 도입 물량 · 시점</t>
        </is>
      </c>
    </row>
    <row r="21" ht="32" customHeight="1">
      <c r="B21" s="49" t="inlineStr">
        <is>
          <t>재고일</t>
        </is>
      </c>
      <c r="C21" s="50" t="inlineStr">
        <is>
          <t>총판매량 · SKHY · SKHY+CXMT 기준 개월 수</t>
        </is>
      </c>
      <c r="D21" s="50" t="inlineStr">
        <is>
          <t>협의 자료 값 그대로 반영</t>
        </is>
      </c>
      <c r="E21" s="50" t="inlineStr">
        <is>
          <t>재고일 산식 (재고 ÷ 판매로는 재현 안 됨)</t>
        </is>
      </c>
    </row>
    <row r="22" ht="32" customHeight="1">
      <c r="B22" s="49" t="inlineStr">
        <is>
          <t>2026 판매</t>
        </is>
      </c>
      <c r="C22" s="50" t="inlineStr">
        <is>
          <t>10·12월 판매 합계가 고객별 합보다 140 kg 큼 · 26년 SKH 합계 9,960 / 17,210 (Case별 표기 다름)</t>
        </is>
      </c>
      <c r="D22" s="50" t="inlineStr">
        <is>
          <t>판매 합계 값 그대로 사용</t>
        </is>
      </c>
      <c r="E22" s="50" t="inlineStr">
        <is>
          <t>고객별 물량 · 연간 합계</t>
        </is>
      </c>
    </row>
    <row r="24" ht="20" customHeight="1">
      <c r="B24" s="7" t="inlineStr">
        <is>
          <t>② 조건별 생산량 (실측 입력 — 구두 언급치는 참고)</t>
        </is>
      </c>
    </row>
    <row r="25">
      <c r="B25" s="8" t="inlineStr">
        <is>
          <t>조건</t>
        </is>
      </c>
      <c r="C25" s="8" t="inlineStr">
        <is>
          <t>구두 언급</t>
        </is>
      </c>
      <c r="D25" s="9" t="inlineStr">
        <is>
          <t>신규 Crude (kg)</t>
        </is>
      </c>
      <c r="E25" s="9" t="inlineStr">
        <is>
          <t>재투입·Mix (kg)</t>
        </is>
      </c>
      <c r="F25" s="9" t="inlineStr">
        <is>
          <t>총 투입 (kg)</t>
        </is>
      </c>
      <c r="G25" s="9" t="inlineStr">
        <is>
          <t>회수량 (kg)</t>
        </is>
      </c>
      <c r="H25" s="9" t="inlineStr">
        <is>
          <t>양품량 (kg)</t>
        </is>
      </c>
      <c r="I25" s="9" t="inlineStr">
        <is>
          <t>잔량·이월 (kg)</t>
        </is>
      </c>
      <c r="J25" s="9" t="inlineStr">
        <is>
          <t>회수율 (회수÷총투입)</t>
        </is>
      </c>
    </row>
    <row r="26">
      <c r="B26" s="10" t="inlineStr">
        <is>
          <t>일부 운전 조건</t>
        </is>
      </c>
      <c r="C26" s="37" t="inlineStr">
        <is>
          <t>약 160~170 kg</t>
        </is>
      </c>
      <c r="D26" s="51" t="n"/>
      <c r="E26" s="51" t="n"/>
      <c r="F26" s="25">
        <f>IF(COUNT(D26:E26)=0,"",N(D26)+N(E26))</f>
      </c>
      <c r="G26" s="51" t="n"/>
      <c r="H26" s="51" t="n"/>
      <c r="I26" s="51" t="n"/>
      <c r="J26" s="34">
        <f>IF(AND(ISNUMBER(F26),ISNUMBER(G26)),G26/F26,"")</f>
      </c>
    </row>
    <row r="27">
      <c r="B27" s="10" t="inlineStr">
        <is>
          <t>추가 투입 · Make-up</t>
        </is>
      </c>
      <c r="C27" s="37" t="inlineStr">
        <is>
          <t>약 220 kg</t>
        </is>
      </c>
      <c r="D27" s="51" t="n"/>
      <c r="E27" s="51" t="n"/>
      <c r="F27" s="25">
        <f>IF(COUNT(D27:E27)=0,"",N(D27)+N(E27))</f>
      </c>
      <c r="G27" s="51" t="n"/>
      <c r="H27" s="51" t="n"/>
      <c r="I27" s="51" t="n"/>
      <c r="J27" s="34">
        <f>IF(AND(ISNUMBER(F27),ISNUMBER(G27)),G27/F27,"")</f>
      </c>
    </row>
    <row r="28">
      <c r="B28" s="10" t="inlineStr">
        <is>
          <t>전체 평균</t>
        </is>
      </c>
      <c r="C28" s="37" t="inlineStr">
        <is>
          <t>약 195~200 kg (197 kg)</t>
        </is>
      </c>
      <c r="D28" s="51" t="n"/>
      <c r="E28" s="51" t="n"/>
      <c r="F28" s="25">
        <f>IF(COUNT(D28:E28)=0,"",N(D28)+N(E28))</f>
      </c>
      <c r="G28" s="51" t="n"/>
      <c r="H28" s="51" t="n"/>
      <c r="I28" s="51" t="n"/>
      <c r="J28" s="34">
        <f>IF(AND(ISNUMBER(F28),ISNUMBER(G28)),G28/F28,"")</f>
      </c>
    </row>
    <row r="29">
      <c r="B29" s="10" t="inlineStr">
        <is>
          <t>Crude만 (참고)</t>
        </is>
      </c>
      <c r="C29" s="37" t="inlineStr">
        <is>
          <t>200 kg × 75~80% ≈ 150~160 kg</t>
        </is>
      </c>
      <c r="D29" s="51" t="n"/>
      <c r="E29" s="51" t="n"/>
      <c r="F29" s="25">
        <f>IF(COUNT(D29:E29)=0,"",N(D29)+N(E29))</f>
      </c>
      <c r="G29" s="51" t="n"/>
      <c r="H29" s="51" t="n"/>
      <c r="I29" s="51" t="n"/>
      <c r="J29" s="34">
        <f>IF(AND(ISNUMBER(F29),ISNUMBER(G29)),G29/F29,"")</f>
      </c>
    </row>
    <row r="30">
      <c r="B30" s="10" t="inlineStr">
        <is>
          <t>이지켐 (색도 제한)</t>
        </is>
      </c>
      <c r="C30" s="37" t="inlineStr">
        <is>
          <t>추가 투입 제한</t>
        </is>
      </c>
      <c r="D30" s="51" t="n"/>
      <c r="E30" s="51" t="n"/>
      <c r="F30" s="25">
        <f>IF(COUNT(D30:E30)=0,"",N(D30)+N(E30))</f>
      </c>
      <c r="G30" s="51" t="n"/>
      <c r="H30" s="51" t="n"/>
      <c r="I30" s="51" t="n"/>
      <c r="J30" s="34">
        <f>IF(AND(ISNUMBER(F30),ISNUMBER(G30)),G30/F30,"")</f>
      </c>
    </row>
    <row r="31">
      <c r="B31" s="18" t="inlineStr">
        <is>
          <t>수율은 총 투입(신규 + 재투입) 기준 · 신규 Crude만 분모로 쓰지 않음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/>
  </sheetPr>
  <dimension ref="B1:H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2" customWidth="1" min="3" max="3"/>
    <col width="8" customWidth="1" min="4" max="4"/>
    <col width="10" customWidth="1" min="6" max="6"/>
    <col width="12" customWidth="1" min="7" max="7"/>
    <col width="12" customWidth="1" min="8" max="8"/>
  </cols>
  <sheetData>
    <row r="1">
      <c r="B1" s="1" t="inlineStr">
        <is>
          <t>11_과거Batch_참고 | 2026 생산계획 표시일자 (원자료 보존 · 참고용)</t>
        </is>
      </c>
    </row>
    <row r="2">
      <c r="B2" s="2" t="inlineStr">
        <is>
          <t>표시일자 = 해당 Batch의 생산 및 충진 완료 예정일 (생산계획 · 실적 아님).</t>
        </is>
      </c>
    </row>
    <row r="4">
      <c r="B4" s="9" t="inlineStr">
        <is>
          <t>Batch</t>
        </is>
      </c>
      <c r="C4" s="9" t="inlineStr">
        <is>
          <t>표시일자</t>
        </is>
      </c>
      <c r="D4" s="9" t="inlineStr">
        <is>
          <t>월</t>
        </is>
      </c>
      <c r="F4" s="9" t="inlineStr">
        <is>
          <t>월</t>
        </is>
      </c>
      <c r="G4" s="9" t="inlineStr">
        <is>
          <t>번호 개수</t>
        </is>
      </c>
      <c r="H4" s="9" t="inlineStr">
        <is>
          <t>원자료 Total</t>
        </is>
      </c>
    </row>
    <row r="5">
      <c r="B5" s="14" t="n">
        <v>37</v>
      </c>
      <c r="C5" s="15" t="n">
        <v>46165</v>
      </c>
      <c r="D5" s="30">
        <f>MONTH(C5)</f>
        <v>5</v>
      </c>
      <c r="F5" s="10" t="inlineStr">
        <is>
          <t>5월</t>
        </is>
      </c>
      <c r="G5" s="30">
        <f>COUNTIF($D$5:$D$60,5)</f>
        <v>2</v>
      </c>
      <c r="H5" s="52" t="n"/>
    </row>
    <row r="6">
      <c r="B6" s="14" t="n">
        <v>38</v>
      </c>
      <c r="C6" s="15" t="n">
        <v>46168</v>
      </c>
      <c r="D6" s="30">
        <f>MONTH(C6)</f>
        <v>5</v>
      </c>
      <c r="F6" s="10" t="inlineStr">
        <is>
          <t>6월</t>
        </is>
      </c>
      <c r="G6" s="30">
        <f>COUNTIF($D$5:$D$60,6)</f>
        <v>11</v>
      </c>
      <c r="H6" s="14" t="n">
        <v>8</v>
      </c>
    </row>
    <row r="7">
      <c r="B7" s="14" t="n">
        <v>39</v>
      </c>
      <c r="C7" s="15" t="n">
        <v>46175</v>
      </c>
      <c r="D7" s="30">
        <f>MONTH(C7)</f>
        <v>6</v>
      </c>
      <c r="F7" s="10" t="inlineStr">
        <is>
          <t>7월</t>
        </is>
      </c>
      <c r="G7" s="30">
        <f>COUNTIF($D$5:$D$60,7)</f>
        <v>11</v>
      </c>
      <c r="H7" s="14" t="n">
        <v>11</v>
      </c>
    </row>
    <row r="8">
      <c r="B8" s="14" t="n">
        <v>40</v>
      </c>
      <c r="C8" s="15" t="n">
        <v>46178</v>
      </c>
      <c r="D8" s="30">
        <f>MONTH(C8)</f>
        <v>6</v>
      </c>
      <c r="F8" s="10" t="inlineStr">
        <is>
          <t>8월</t>
        </is>
      </c>
      <c r="G8" s="30">
        <f>COUNTIF($D$5:$D$60,8)</f>
        <v>11</v>
      </c>
      <c r="H8" s="14" t="n">
        <v>8</v>
      </c>
    </row>
    <row r="9">
      <c r="B9" s="14" t="n">
        <v>41</v>
      </c>
      <c r="C9" s="15" t="n">
        <v>46181</v>
      </c>
      <c r="D9" s="30">
        <f>MONTH(C9)</f>
        <v>6</v>
      </c>
      <c r="F9" s="10" t="inlineStr">
        <is>
          <t>9월</t>
        </is>
      </c>
      <c r="G9" s="30">
        <f>COUNTIF($D$5:$D$60,9)</f>
        <v>10</v>
      </c>
      <c r="H9" s="14" t="n">
        <v>8</v>
      </c>
    </row>
    <row r="10">
      <c r="B10" s="14" t="n">
        <v>42</v>
      </c>
      <c r="C10" s="15" t="n">
        <v>46184</v>
      </c>
      <c r="D10" s="30">
        <f>MONTH(C10)</f>
        <v>6</v>
      </c>
      <c r="F10" s="10" t="inlineStr">
        <is>
          <t>10월</t>
        </is>
      </c>
      <c r="G10" s="30">
        <f>COUNTIF($D$5:$D$60,10)</f>
        <v>11</v>
      </c>
      <c r="H10" s="14" t="n">
        <v>11</v>
      </c>
    </row>
    <row r="11">
      <c r="B11" s="14" t="n">
        <v>43</v>
      </c>
      <c r="C11" s="15" t="n">
        <v>46187</v>
      </c>
      <c r="D11" s="30">
        <f>MONTH(C11)</f>
        <v>6</v>
      </c>
    </row>
    <row r="12">
      <c r="B12" s="14" t="n">
        <v>44</v>
      </c>
      <c r="C12" s="15" t="n">
        <v>46190</v>
      </c>
      <c r="D12" s="30">
        <f>MONTH(C12)</f>
        <v>6</v>
      </c>
      <c r="F12" s="18" t="inlineStr">
        <is>
          <t>5월은 #37·#38 일부만 제공</t>
        </is>
      </c>
    </row>
    <row r="13">
      <c r="B13" s="14" t="n">
        <v>45</v>
      </c>
      <c r="C13" s="15" t="n">
        <v>46193</v>
      </c>
      <c r="D13" s="30">
        <f>MONTH(C13)</f>
        <v>6</v>
      </c>
    </row>
    <row r="14">
      <c r="B14" s="14" t="n">
        <v>46</v>
      </c>
      <c r="C14" s="15" t="n">
        <v>46196</v>
      </c>
      <c r="D14" s="30">
        <f>MONTH(C14)</f>
        <v>6</v>
      </c>
    </row>
    <row r="15">
      <c r="B15" s="14" t="n">
        <v>47</v>
      </c>
      <c r="C15" s="15" t="n">
        <v>46198</v>
      </c>
      <c r="D15" s="30">
        <f>MONTH(C15)</f>
        <v>6</v>
      </c>
    </row>
    <row r="16">
      <c r="B16" s="14" t="n">
        <v>48</v>
      </c>
      <c r="C16" s="15" t="n">
        <v>46200</v>
      </c>
      <c r="D16" s="30">
        <f>MONTH(C16)</f>
        <v>6</v>
      </c>
    </row>
    <row r="17">
      <c r="B17" s="14" t="n">
        <v>49</v>
      </c>
      <c r="C17" s="15" t="n">
        <v>46201</v>
      </c>
      <c r="D17" s="30">
        <f>MONTH(C17)</f>
        <v>6</v>
      </c>
    </row>
    <row r="18">
      <c r="B18" s="14" t="n">
        <v>50</v>
      </c>
      <c r="C18" s="15" t="n">
        <v>46204</v>
      </c>
      <c r="D18" s="30">
        <f>MONTH(C18)</f>
        <v>7</v>
      </c>
    </row>
    <row r="19">
      <c r="B19" s="14" t="n">
        <v>51</v>
      </c>
      <c r="C19" s="15" t="n">
        <v>46206</v>
      </c>
      <c r="D19" s="30">
        <f>MONTH(C19)</f>
        <v>7</v>
      </c>
    </row>
    <row r="20">
      <c r="B20" s="14" t="n">
        <v>52</v>
      </c>
      <c r="C20" s="15" t="n">
        <v>46209</v>
      </c>
      <c r="D20" s="30">
        <f>MONTH(C20)</f>
        <v>7</v>
      </c>
    </row>
    <row r="21">
      <c r="B21" s="14" t="n">
        <v>53</v>
      </c>
      <c r="C21" s="15" t="n">
        <v>46211</v>
      </c>
      <c r="D21" s="30">
        <f>MONTH(C21)</f>
        <v>7</v>
      </c>
    </row>
    <row r="22">
      <c r="B22" s="14" t="n">
        <v>54</v>
      </c>
      <c r="C22" s="15" t="n">
        <v>46214</v>
      </c>
      <c r="D22" s="30">
        <f>MONTH(C22)</f>
        <v>7</v>
      </c>
    </row>
    <row r="23">
      <c r="B23" s="14" t="n">
        <v>55</v>
      </c>
      <c r="C23" s="15" t="n">
        <v>46217</v>
      </c>
      <c r="D23" s="30">
        <f>MONTH(C23)</f>
        <v>7</v>
      </c>
    </row>
    <row r="24">
      <c r="B24" s="14" t="n">
        <v>56</v>
      </c>
      <c r="C24" s="15" t="n">
        <v>46220</v>
      </c>
      <c r="D24" s="30">
        <f>MONTH(C24)</f>
        <v>7</v>
      </c>
    </row>
    <row r="25">
      <c r="B25" s="14" t="n">
        <v>57</v>
      </c>
      <c r="C25" s="15" t="n">
        <v>46223</v>
      </c>
      <c r="D25" s="30">
        <f>MONTH(C25)</f>
        <v>7</v>
      </c>
    </row>
    <row r="26">
      <c r="B26" s="14" t="n">
        <v>58</v>
      </c>
      <c r="C26" s="15" t="n">
        <v>46226</v>
      </c>
      <c r="D26" s="30">
        <f>MONTH(C26)</f>
        <v>7</v>
      </c>
    </row>
    <row r="27">
      <c r="B27" s="14" t="n">
        <v>59</v>
      </c>
      <c r="C27" s="15" t="n">
        <v>46229</v>
      </c>
      <c r="D27" s="30">
        <f>MONTH(C27)</f>
        <v>7</v>
      </c>
    </row>
    <row r="28">
      <c r="B28" s="14" t="n">
        <v>60</v>
      </c>
      <c r="C28" s="15" t="n">
        <v>46232</v>
      </c>
      <c r="D28" s="30">
        <f>MONTH(C28)</f>
        <v>7</v>
      </c>
    </row>
    <row r="29">
      <c r="B29" s="14" t="n">
        <v>61</v>
      </c>
      <c r="C29" s="15" t="n">
        <v>46235</v>
      </c>
      <c r="D29" s="30">
        <f>MONTH(C29)</f>
        <v>8</v>
      </c>
    </row>
    <row r="30">
      <c r="B30" s="14" t="n">
        <v>62</v>
      </c>
      <c r="C30" s="15" t="n">
        <v>46238</v>
      </c>
      <c r="D30" s="30">
        <f>MONTH(C30)</f>
        <v>8</v>
      </c>
    </row>
    <row r="31">
      <c r="B31" s="14" t="n">
        <v>63</v>
      </c>
      <c r="C31" s="15" t="n">
        <v>46241</v>
      </c>
      <c r="D31" s="30">
        <f>MONTH(C31)</f>
        <v>8</v>
      </c>
    </row>
    <row r="32">
      <c r="B32" s="14" t="n">
        <v>64</v>
      </c>
      <c r="C32" s="15" t="n">
        <v>46244</v>
      </c>
      <c r="D32" s="30">
        <f>MONTH(C32)</f>
        <v>8</v>
      </c>
    </row>
    <row r="33">
      <c r="B33" s="14" t="n">
        <v>65</v>
      </c>
      <c r="C33" s="15" t="n">
        <v>46247</v>
      </c>
      <c r="D33" s="30">
        <f>MONTH(C33)</f>
        <v>8</v>
      </c>
    </row>
    <row r="34">
      <c r="B34" s="14" t="n">
        <v>66</v>
      </c>
      <c r="C34" s="15" t="n">
        <v>46250</v>
      </c>
      <c r="D34" s="30">
        <f>MONTH(C34)</f>
        <v>8</v>
      </c>
    </row>
    <row r="35">
      <c r="B35" s="14" t="n">
        <v>67</v>
      </c>
      <c r="C35" s="15" t="n">
        <v>46253</v>
      </c>
      <c r="D35" s="30">
        <f>MONTH(C35)</f>
        <v>8</v>
      </c>
    </row>
    <row r="36">
      <c r="B36" s="14" t="n">
        <v>68</v>
      </c>
      <c r="C36" s="15" t="n">
        <v>46256</v>
      </c>
      <c r="D36" s="30">
        <f>MONTH(C36)</f>
        <v>8</v>
      </c>
    </row>
    <row r="37">
      <c r="B37" s="14" t="n">
        <v>69</v>
      </c>
      <c r="C37" s="15" t="n">
        <v>46259</v>
      </c>
      <c r="D37" s="30">
        <f>MONTH(C37)</f>
        <v>8</v>
      </c>
    </row>
    <row r="38">
      <c r="B38" s="14" t="n">
        <v>70</v>
      </c>
      <c r="C38" s="15" t="n">
        <v>46262</v>
      </c>
      <c r="D38" s="30">
        <f>MONTH(C38)</f>
        <v>8</v>
      </c>
    </row>
    <row r="39">
      <c r="B39" s="14" t="n">
        <v>71</v>
      </c>
      <c r="C39" s="15" t="n">
        <v>46265</v>
      </c>
      <c r="D39" s="30">
        <f>MONTH(C39)</f>
        <v>8</v>
      </c>
    </row>
    <row r="40">
      <c r="B40" s="14" t="n">
        <v>72</v>
      </c>
      <c r="C40" s="15" t="n">
        <v>46268</v>
      </c>
      <c r="D40" s="30">
        <f>MONTH(C40)</f>
        <v>9</v>
      </c>
    </row>
    <row r="41">
      <c r="B41" s="14" t="n">
        <v>73</v>
      </c>
      <c r="C41" s="15" t="n">
        <v>46270</v>
      </c>
      <c r="D41" s="30">
        <f>MONTH(C41)</f>
        <v>9</v>
      </c>
    </row>
    <row r="42">
      <c r="B42" s="14" t="n">
        <v>74</v>
      </c>
      <c r="C42" s="15" t="n">
        <v>46272</v>
      </c>
      <c r="D42" s="30">
        <f>MONTH(C42)</f>
        <v>9</v>
      </c>
    </row>
    <row r="43">
      <c r="B43" s="14" t="n">
        <v>75</v>
      </c>
      <c r="C43" s="15" t="n">
        <v>46274</v>
      </c>
      <c r="D43" s="30">
        <f>MONTH(C43)</f>
        <v>9</v>
      </c>
    </row>
    <row r="44">
      <c r="B44" s="14" t="n">
        <v>76</v>
      </c>
      <c r="C44" s="15" t="n">
        <v>46276</v>
      </c>
      <c r="D44" s="30">
        <f>MONTH(C44)</f>
        <v>9</v>
      </c>
    </row>
    <row r="45">
      <c r="B45" s="14" t="n">
        <v>77</v>
      </c>
      <c r="C45" s="15" t="n">
        <v>46279</v>
      </c>
      <c r="D45" s="30">
        <f>MONTH(C45)</f>
        <v>9</v>
      </c>
    </row>
    <row r="46">
      <c r="B46" s="14" t="n">
        <v>78</v>
      </c>
      <c r="C46" s="15" t="n">
        <v>46284</v>
      </c>
      <c r="D46" s="30">
        <f>MONTH(C46)</f>
        <v>9</v>
      </c>
    </row>
    <row r="47">
      <c r="B47" s="14" t="n">
        <v>79</v>
      </c>
      <c r="C47" s="15" t="n">
        <v>46288</v>
      </c>
      <c r="D47" s="30">
        <f>MONTH(C47)</f>
        <v>9</v>
      </c>
    </row>
    <row r="48">
      <c r="B48" s="14" t="n">
        <v>80</v>
      </c>
      <c r="C48" s="15" t="n">
        <v>46291</v>
      </c>
      <c r="D48" s="30">
        <f>MONTH(C48)</f>
        <v>9</v>
      </c>
    </row>
    <row r="49">
      <c r="B49" s="14" t="n">
        <v>81</v>
      </c>
      <c r="C49" s="15" t="n">
        <v>46293</v>
      </c>
      <c r="D49" s="30">
        <f>MONTH(C49)</f>
        <v>9</v>
      </c>
    </row>
    <row r="50">
      <c r="B50" s="14" t="n">
        <v>82</v>
      </c>
      <c r="C50" s="15" t="n">
        <v>46296</v>
      </c>
      <c r="D50" s="30">
        <f>MONTH(C50)</f>
        <v>10</v>
      </c>
    </row>
    <row r="51">
      <c r="B51" s="14" t="n">
        <v>83</v>
      </c>
      <c r="C51" s="15" t="n">
        <v>46299</v>
      </c>
      <c r="D51" s="30">
        <f>MONTH(C51)</f>
        <v>10</v>
      </c>
    </row>
    <row r="52">
      <c r="B52" s="14" t="n">
        <v>84</v>
      </c>
      <c r="C52" s="15" t="n">
        <v>46302</v>
      </c>
      <c r="D52" s="30">
        <f>MONTH(C52)</f>
        <v>10</v>
      </c>
    </row>
    <row r="53">
      <c r="B53" s="14" t="n">
        <v>85</v>
      </c>
      <c r="C53" s="15" t="n">
        <v>46305</v>
      </c>
      <c r="D53" s="30">
        <f>MONTH(C53)</f>
        <v>10</v>
      </c>
    </row>
    <row r="54">
      <c r="B54" s="14" t="n">
        <v>86</v>
      </c>
      <c r="C54" s="15" t="n">
        <v>46307</v>
      </c>
      <c r="D54" s="30">
        <f>MONTH(C54)</f>
        <v>10</v>
      </c>
    </row>
    <row r="55">
      <c r="B55" s="14" t="n">
        <v>87</v>
      </c>
      <c r="C55" s="15" t="n">
        <v>46310</v>
      </c>
      <c r="D55" s="30">
        <f>MONTH(C55)</f>
        <v>10</v>
      </c>
    </row>
    <row r="56">
      <c r="B56" s="14" t="n">
        <v>88</v>
      </c>
      <c r="C56" s="15" t="n">
        <v>46313</v>
      </c>
      <c r="D56" s="30">
        <f>MONTH(C56)</f>
        <v>10</v>
      </c>
    </row>
    <row r="57">
      <c r="B57" s="14" t="n">
        <v>89</v>
      </c>
      <c r="C57" s="15" t="n">
        <v>46315</v>
      </c>
      <c r="D57" s="30">
        <f>MONTH(C57)</f>
        <v>10</v>
      </c>
    </row>
    <row r="58">
      <c r="B58" s="14" t="n">
        <v>90</v>
      </c>
      <c r="C58" s="15" t="n">
        <v>46318</v>
      </c>
      <c r="D58" s="30">
        <f>MONTH(C58)</f>
        <v>10</v>
      </c>
    </row>
    <row r="59">
      <c r="B59" s="14" t="n">
        <v>91</v>
      </c>
      <c r="C59" s="15" t="n">
        <v>46321</v>
      </c>
      <c r="D59" s="30">
        <f>MONTH(C59)</f>
        <v>10</v>
      </c>
    </row>
    <row r="60">
      <c r="B60" s="14" t="n">
        <v>92</v>
      </c>
      <c r="C60" s="15" t="n">
        <v>46324</v>
      </c>
      <c r="D60" s="30">
        <f>MONTH(C60)</f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2026-10-02T23:48:29Z</dcterms:created>
  <dcterms:modified xmlns:dcterms="http://purl.org/dc/terms/" xmlns:xsi="http://www.w3.org/2001/XMLSchema-instance" xsi:type="dcterms:W3CDTF">2026-10-02T23:48:29Z</dcterms:modified>
</cp:coreProperties>
</file>